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uvra\Downloads\"/>
    </mc:Choice>
  </mc:AlternateContent>
  <xr:revisionPtr revIDLastSave="0" documentId="13_ncr:1_{9975E301-61DF-4026-8426-FF749E64EE4B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Dataset" sheetId="1" r:id="rId1"/>
    <sheet name="Pivot" sheetId="2" r:id="rId2"/>
    <sheet name="Dashboard" sheetId="3" r:id="rId3"/>
    <sheet name="_Helpers" sheetId="4" state="hidden" r:id="rId4"/>
  </sheets>
  <definedNames>
    <definedName name="Slicer_City">#N/A</definedName>
    <definedName name="Slicer_Department">#N/A</definedName>
    <definedName name="Slicer_Experience_Group">#N/A</definedName>
    <definedName name="Slicer_Gender">#N/A</definedName>
    <definedName name="Slicer_Performance_Rating">#N/A</definedName>
    <definedName name="Slicer_Salary_Band">#N/A</definedName>
  </definedNames>
  <calcPr calcId="191029" iterateDelta="1E-4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4" l="1"/>
  <c r="A11" i="4"/>
  <c r="B10" i="4"/>
  <c r="A10" i="4"/>
  <c r="B9" i="4"/>
  <c r="A9" i="4"/>
  <c r="B8" i="4"/>
  <c r="A8" i="4"/>
  <c r="D7" i="4"/>
  <c r="D9" i="4" s="1"/>
  <c r="B7" i="4"/>
  <c r="A7" i="4"/>
  <c r="B6" i="4"/>
  <c r="D2" i="4" s="1"/>
  <c r="A6" i="4"/>
  <c r="B5" i="4"/>
  <c r="A5" i="4"/>
  <c r="B4" i="4"/>
  <c r="A4" i="4"/>
  <c r="B3" i="4"/>
  <c r="A3" i="4"/>
  <c r="B2" i="4"/>
  <c r="D4" i="4" s="1"/>
  <c r="A2" i="4"/>
  <c r="V1001" i="1" a="1"/>
  <c r="V1001" i="1" s="1"/>
  <c r="U1001" i="1" a="1"/>
  <c r="U1001" i="1"/>
  <c r="T1001" i="1"/>
  <c r="Q1001" i="1" a="1"/>
  <c r="Q1001" i="1" s="1"/>
  <c r="R1001" i="1" s="1"/>
  <c r="S1001" i="1" s="1"/>
  <c r="P1001" i="1"/>
  <c r="O1001" i="1"/>
  <c r="N1001" i="1" a="1"/>
  <c r="N1001" i="1"/>
  <c r="M1001" i="1" a="1"/>
  <c r="M1001" i="1"/>
  <c r="L1001" i="1" a="1"/>
  <c r="L1001" i="1" s="1"/>
  <c r="V1000" i="1" a="1"/>
  <c r="V1000" i="1" s="1"/>
  <c r="U1000" i="1" a="1"/>
  <c r="U1000" i="1" s="1"/>
  <c r="T1000" i="1"/>
  <c r="Q1000" i="1" a="1"/>
  <c r="Q1000" i="1" s="1"/>
  <c r="R1000" i="1" s="1"/>
  <c r="S1000" i="1" s="1"/>
  <c r="P1000" i="1"/>
  <c r="O1000" i="1"/>
  <c r="N1000" i="1" a="1"/>
  <c r="N1000" i="1" s="1"/>
  <c r="M1000" i="1" a="1"/>
  <c r="M1000" i="1"/>
  <c r="L1000" i="1" a="1"/>
  <c r="L1000" i="1"/>
  <c r="V999" i="1" a="1"/>
  <c r="V999" i="1" s="1"/>
  <c r="U999" i="1" a="1"/>
  <c r="U999" i="1" s="1"/>
  <c r="T999" i="1"/>
  <c r="Q999" i="1" a="1"/>
  <c r="Q999" i="1" s="1"/>
  <c r="R999" i="1" s="1"/>
  <c r="S999" i="1" s="1"/>
  <c r="P999" i="1"/>
  <c r="O999" i="1"/>
  <c r="N999" i="1" a="1"/>
  <c r="N999" i="1" s="1"/>
  <c r="M999" i="1" a="1"/>
  <c r="M999" i="1"/>
  <c r="L999" i="1" a="1"/>
  <c r="L999" i="1"/>
  <c r="V998" i="1" a="1"/>
  <c r="V998" i="1" s="1"/>
  <c r="U998" i="1" a="1"/>
  <c r="U998" i="1" s="1"/>
  <c r="T998" i="1"/>
  <c r="R998" i="1"/>
  <c r="S998" i="1" s="1"/>
  <c r="Q998" i="1" a="1"/>
  <c r="Q998" i="1" s="1"/>
  <c r="P998" i="1"/>
  <c r="O998" i="1"/>
  <c r="N998" i="1" a="1"/>
  <c r="N998" i="1"/>
  <c r="M998" i="1" a="1"/>
  <c r="M998" i="1" s="1"/>
  <c r="L998" i="1" a="1"/>
  <c r="L998" i="1"/>
  <c r="V997" i="1" a="1"/>
  <c r="V997" i="1" s="1"/>
  <c r="U997" i="1" a="1"/>
  <c r="U997" i="1" s="1"/>
  <c r="T997" i="1"/>
  <c r="Q997" i="1" a="1"/>
  <c r="Q997" i="1" s="1"/>
  <c r="R997" i="1" s="1"/>
  <c r="S997" i="1" s="1"/>
  <c r="P997" i="1"/>
  <c r="O997" i="1"/>
  <c r="N997" i="1" a="1"/>
  <c r="N997" i="1"/>
  <c r="M997" i="1" a="1"/>
  <c r="M997" i="1"/>
  <c r="L997" i="1" a="1"/>
  <c r="L997" i="1"/>
  <c r="V996" i="1" a="1"/>
  <c r="V996" i="1"/>
  <c r="U996" i="1" a="1"/>
  <c r="U996" i="1" s="1"/>
  <c r="T996" i="1"/>
  <c r="Q996" i="1" a="1"/>
  <c r="Q996" i="1" s="1"/>
  <c r="R996" i="1" s="1"/>
  <c r="S996" i="1" s="1"/>
  <c r="P996" i="1"/>
  <c r="O996" i="1"/>
  <c r="N996" i="1" a="1"/>
  <c r="N996" i="1" s="1"/>
  <c r="M996" i="1" a="1"/>
  <c r="M996" i="1"/>
  <c r="L996" i="1" a="1"/>
  <c r="L996" i="1"/>
  <c r="V995" i="1" a="1"/>
  <c r="V995" i="1" s="1"/>
  <c r="U995" i="1" a="1"/>
  <c r="U995" i="1"/>
  <c r="T995" i="1"/>
  <c r="R995" i="1"/>
  <c r="S995" i="1" s="1"/>
  <c r="Q995" i="1" a="1"/>
  <c r="Q995" i="1"/>
  <c r="P995" i="1"/>
  <c r="O995" i="1"/>
  <c r="N995" i="1" a="1"/>
  <c r="N995" i="1"/>
  <c r="M995" i="1" a="1"/>
  <c r="M995" i="1"/>
  <c r="L995" i="1" a="1"/>
  <c r="L995" i="1"/>
  <c r="V994" i="1" a="1"/>
  <c r="V994" i="1"/>
  <c r="U994" i="1" a="1"/>
  <c r="U994" i="1"/>
  <c r="T994" i="1"/>
  <c r="Q994" i="1" a="1"/>
  <c r="Q994" i="1" s="1"/>
  <c r="R994" i="1" s="1"/>
  <c r="S994" i="1" s="1"/>
  <c r="P994" i="1"/>
  <c r="O994" i="1"/>
  <c r="N994" i="1" a="1"/>
  <c r="N994" i="1" s="1"/>
  <c r="M994" i="1" a="1"/>
  <c r="M994" i="1" s="1"/>
  <c r="L994" i="1" a="1"/>
  <c r="L994" i="1"/>
  <c r="V993" i="1" a="1"/>
  <c r="V993" i="1"/>
  <c r="U993" i="1" a="1"/>
  <c r="U993" i="1" s="1"/>
  <c r="T993" i="1"/>
  <c r="S993" i="1"/>
  <c r="R993" i="1"/>
  <c r="Q993" i="1" a="1"/>
  <c r="Q993" i="1"/>
  <c r="P993" i="1"/>
  <c r="O993" i="1"/>
  <c r="N993" i="1" a="1"/>
  <c r="N993" i="1" s="1"/>
  <c r="M993" i="1" a="1"/>
  <c r="M993" i="1"/>
  <c r="L993" i="1" a="1"/>
  <c r="L993" i="1"/>
  <c r="V992" i="1" a="1"/>
  <c r="V992" i="1"/>
  <c r="U992" i="1" a="1"/>
  <c r="U992" i="1"/>
  <c r="T992" i="1"/>
  <c r="R992" i="1"/>
  <c r="S992" i="1" s="1"/>
  <c r="Q992" i="1" a="1"/>
  <c r="Q992" i="1"/>
  <c r="P992" i="1"/>
  <c r="O992" i="1"/>
  <c r="N992" i="1" a="1"/>
  <c r="N992" i="1"/>
  <c r="M992" i="1" a="1"/>
  <c r="M992" i="1"/>
  <c r="L992" i="1" a="1"/>
  <c r="L992" i="1" s="1"/>
  <c r="V991" i="1" a="1"/>
  <c r="V991" i="1"/>
  <c r="U991" i="1" a="1"/>
  <c r="U991" i="1"/>
  <c r="T991" i="1"/>
  <c r="Q991" i="1" a="1"/>
  <c r="Q991" i="1" s="1"/>
  <c r="R991" i="1" s="1"/>
  <c r="S991" i="1" s="1"/>
  <c r="P991" i="1"/>
  <c r="O991" i="1"/>
  <c r="N991" i="1" a="1"/>
  <c r="N991" i="1"/>
  <c r="M991" i="1" a="1"/>
  <c r="M991" i="1" s="1"/>
  <c r="L991" i="1" a="1"/>
  <c r="L991" i="1"/>
  <c r="V990" i="1" a="1"/>
  <c r="V990" i="1"/>
  <c r="U990" i="1" a="1"/>
  <c r="U990" i="1" s="1"/>
  <c r="T990" i="1"/>
  <c r="S990" i="1"/>
  <c r="Q990" i="1" a="1"/>
  <c r="Q990" i="1"/>
  <c r="R990" i="1" s="1"/>
  <c r="P990" i="1"/>
  <c r="O990" i="1"/>
  <c r="N990" i="1" a="1"/>
  <c r="N990" i="1" s="1"/>
  <c r="M990" i="1" a="1"/>
  <c r="M990" i="1"/>
  <c r="L990" i="1" a="1"/>
  <c r="L990" i="1"/>
  <c r="V989" i="1" a="1"/>
  <c r="V989" i="1" s="1"/>
  <c r="U989" i="1" a="1"/>
  <c r="U989" i="1"/>
  <c r="T989" i="1"/>
  <c r="R989" i="1"/>
  <c r="S989" i="1" s="1"/>
  <c r="Q989" i="1" a="1"/>
  <c r="Q989" i="1"/>
  <c r="P989" i="1"/>
  <c r="O989" i="1"/>
  <c r="N989" i="1" a="1"/>
  <c r="N989" i="1" s="1"/>
  <c r="M989" i="1" a="1"/>
  <c r="M989" i="1"/>
  <c r="L989" i="1" a="1"/>
  <c r="L989" i="1" s="1"/>
  <c r="V988" i="1" a="1"/>
  <c r="V988" i="1"/>
  <c r="U988" i="1" a="1"/>
  <c r="U988" i="1"/>
  <c r="T988" i="1"/>
  <c r="Q988" i="1" a="1"/>
  <c r="Q988" i="1" s="1"/>
  <c r="R988" i="1" s="1"/>
  <c r="S988" i="1" s="1"/>
  <c r="P988" i="1"/>
  <c r="O988" i="1"/>
  <c r="N988" i="1" a="1"/>
  <c r="N988" i="1" s="1"/>
  <c r="M988" i="1" a="1"/>
  <c r="M988" i="1" s="1"/>
  <c r="L988" i="1" a="1"/>
  <c r="L988" i="1"/>
  <c r="V987" i="1" a="1"/>
  <c r="V987" i="1"/>
  <c r="U987" i="1" a="1"/>
  <c r="U987" i="1" s="1"/>
  <c r="T987" i="1"/>
  <c r="S987" i="1"/>
  <c r="Q987" i="1" a="1"/>
  <c r="Q987" i="1"/>
  <c r="R987" i="1" s="1"/>
  <c r="P987" i="1"/>
  <c r="O987" i="1"/>
  <c r="N987" i="1" a="1"/>
  <c r="N987" i="1"/>
  <c r="M987" i="1" a="1"/>
  <c r="M987" i="1"/>
  <c r="L987" i="1" a="1"/>
  <c r="L987" i="1"/>
  <c r="V986" i="1" a="1"/>
  <c r="V986" i="1" s="1"/>
  <c r="U986" i="1" a="1"/>
  <c r="U986" i="1"/>
  <c r="T986" i="1"/>
  <c r="Q986" i="1" a="1"/>
  <c r="Q986" i="1"/>
  <c r="R986" i="1" s="1"/>
  <c r="S986" i="1" s="1"/>
  <c r="P986" i="1"/>
  <c r="O986" i="1"/>
  <c r="N986" i="1" a="1"/>
  <c r="N986" i="1"/>
  <c r="M986" i="1" a="1"/>
  <c r="M986" i="1" s="1"/>
  <c r="L986" i="1" a="1"/>
  <c r="L986" i="1" s="1"/>
  <c r="V985" i="1" a="1"/>
  <c r="V985" i="1" s="1"/>
  <c r="U985" i="1" a="1"/>
  <c r="U985" i="1" s="1"/>
  <c r="T985" i="1"/>
  <c r="Q985" i="1" a="1"/>
  <c r="Q985" i="1" s="1"/>
  <c r="R985" i="1" s="1"/>
  <c r="S985" i="1" s="1"/>
  <c r="P985" i="1"/>
  <c r="O985" i="1"/>
  <c r="N985" i="1" a="1"/>
  <c r="N985" i="1"/>
  <c r="M985" i="1" a="1"/>
  <c r="M985" i="1"/>
  <c r="L985" i="1" a="1"/>
  <c r="L985" i="1" s="1"/>
  <c r="V984" i="1" a="1"/>
  <c r="V984" i="1"/>
  <c r="U984" i="1" a="1"/>
  <c r="U984" i="1" s="1"/>
  <c r="T984" i="1"/>
  <c r="S984" i="1"/>
  <c r="Q984" i="1" a="1"/>
  <c r="Q984" i="1"/>
  <c r="R984" i="1" s="1"/>
  <c r="P984" i="1"/>
  <c r="O984" i="1"/>
  <c r="N984" i="1" a="1"/>
  <c r="N984" i="1" s="1"/>
  <c r="M984" i="1" a="1"/>
  <c r="M984" i="1"/>
  <c r="L984" i="1" a="1"/>
  <c r="L984" i="1"/>
  <c r="V983" i="1" a="1"/>
  <c r="V983" i="1" s="1"/>
  <c r="U983" i="1" a="1"/>
  <c r="U983" i="1"/>
  <c r="T983" i="1"/>
  <c r="R983" i="1"/>
  <c r="S983" i="1" s="1"/>
  <c r="Q983" i="1" a="1"/>
  <c r="Q983" i="1"/>
  <c r="P983" i="1"/>
  <c r="O983" i="1"/>
  <c r="N983" i="1" a="1"/>
  <c r="N983" i="1"/>
  <c r="M983" i="1" a="1"/>
  <c r="M983" i="1"/>
  <c r="L983" i="1" a="1"/>
  <c r="L983" i="1" s="1"/>
  <c r="V982" i="1" a="1"/>
  <c r="V982" i="1"/>
  <c r="U982" i="1" a="1"/>
  <c r="U982" i="1"/>
  <c r="T982" i="1"/>
  <c r="Q982" i="1" a="1"/>
  <c r="Q982" i="1" s="1"/>
  <c r="R982" i="1" s="1"/>
  <c r="S982" i="1" s="1"/>
  <c r="P982" i="1"/>
  <c r="O982" i="1"/>
  <c r="N982" i="1" a="1"/>
  <c r="N982" i="1"/>
  <c r="M982" i="1" a="1"/>
  <c r="M982" i="1" s="1"/>
  <c r="L982" i="1" a="1"/>
  <c r="L982" i="1"/>
  <c r="V981" i="1" a="1"/>
  <c r="V981" i="1"/>
  <c r="U981" i="1" a="1"/>
  <c r="U981" i="1" s="1"/>
  <c r="T981" i="1"/>
  <c r="Q981" i="1" a="1"/>
  <c r="Q981" i="1" s="1"/>
  <c r="R981" i="1" s="1"/>
  <c r="S981" i="1" s="1"/>
  <c r="P981" i="1"/>
  <c r="O981" i="1"/>
  <c r="N981" i="1" a="1"/>
  <c r="N981" i="1" s="1"/>
  <c r="M981" i="1" a="1"/>
  <c r="M981" i="1"/>
  <c r="L981" i="1" a="1"/>
  <c r="L981" i="1"/>
  <c r="V980" i="1" a="1"/>
  <c r="V980" i="1" s="1"/>
  <c r="U980" i="1" a="1"/>
  <c r="U980" i="1" s="1"/>
  <c r="T980" i="1"/>
  <c r="R980" i="1"/>
  <c r="S980" i="1" s="1"/>
  <c r="Q980" i="1" a="1"/>
  <c r="Q980" i="1"/>
  <c r="P980" i="1"/>
  <c r="O980" i="1"/>
  <c r="N980" i="1" a="1"/>
  <c r="N980" i="1"/>
  <c r="M980" i="1" a="1"/>
  <c r="M980" i="1" s="1"/>
  <c r="L980" i="1" a="1"/>
  <c r="L980" i="1" s="1"/>
  <c r="V979" i="1" a="1"/>
  <c r="V979" i="1"/>
  <c r="U979" i="1" a="1"/>
  <c r="U979" i="1"/>
  <c r="T979" i="1"/>
  <c r="Q979" i="1" a="1"/>
  <c r="Q979" i="1" s="1"/>
  <c r="R979" i="1" s="1"/>
  <c r="S979" i="1" s="1"/>
  <c r="P979" i="1"/>
  <c r="O979" i="1"/>
  <c r="N979" i="1" a="1"/>
  <c r="N979" i="1"/>
  <c r="M979" i="1" a="1"/>
  <c r="M979" i="1" s="1"/>
  <c r="L979" i="1" a="1"/>
  <c r="L979" i="1"/>
  <c r="V978" i="1" a="1"/>
  <c r="V978" i="1"/>
  <c r="U978" i="1" a="1"/>
  <c r="U978" i="1"/>
  <c r="T978" i="1"/>
  <c r="S978" i="1"/>
  <c r="Q978" i="1" a="1"/>
  <c r="Q978" i="1"/>
  <c r="R978" i="1" s="1"/>
  <c r="P978" i="1"/>
  <c r="O978" i="1"/>
  <c r="N978" i="1" a="1"/>
  <c r="N978" i="1" s="1"/>
  <c r="M978" i="1" a="1"/>
  <c r="M978" i="1"/>
  <c r="L978" i="1" a="1"/>
  <c r="L978" i="1"/>
  <c r="V977" i="1" a="1"/>
  <c r="V977" i="1" s="1"/>
  <c r="U977" i="1" a="1"/>
  <c r="U977" i="1"/>
  <c r="T977" i="1"/>
  <c r="Q977" i="1" a="1"/>
  <c r="Q977" i="1"/>
  <c r="R977" i="1" s="1"/>
  <c r="S977" i="1" s="1"/>
  <c r="P977" i="1"/>
  <c r="O977" i="1"/>
  <c r="N977" i="1" a="1"/>
  <c r="N977" i="1"/>
  <c r="M977" i="1" a="1"/>
  <c r="M977" i="1"/>
  <c r="L977" i="1" a="1"/>
  <c r="L977" i="1" s="1"/>
  <c r="V976" i="1" a="1"/>
  <c r="V976" i="1"/>
  <c r="U976" i="1" a="1"/>
  <c r="U976" i="1"/>
  <c r="T976" i="1"/>
  <c r="Q976" i="1" a="1"/>
  <c r="Q976" i="1" s="1"/>
  <c r="R976" i="1" s="1"/>
  <c r="S976" i="1" s="1"/>
  <c r="P976" i="1"/>
  <c r="O976" i="1"/>
  <c r="N976" i="1" a="1"/>
  <c r="N976" i="1"/>
  <c r="M976" i="1" a="1"/>
  <c r="M976" i="1" s="1"/>
  <c r="L976" i="1" a="1"/>
  <c r="L976" i="1" s="1"/>
  <c r="V975" i="1" a="1"/>
  <c r="V975" i="1" s="1"/>
  <c r="U975" i="1" a="1"/>
  <c r="U975" i="1" s="1"/>
  <c r="T975" i="1"/>
  <c r="Q975" i="1" a="1"/>
  <c r="Q975" i="1"/>
  <c r="R975" i="1" s="1"/>
  <c r="S975" i="1" s="1"/>
  <c r="P975" i="1"/>
  <c r="O975" i="1"/>
  <c r="N975" i="1" a="1"/>
  <c r="N975" i="1"/>
  <c r="M975" i="1" a="1"/>
  <c r="M975" i="1"/>
  <c r="L975" i="1" a="1"/>
  <c r="L975" i="1"/>
  <c r="V974" i="1" a="1"/>
  <c r="V974" i="1" s="1"/>
  <c r="U974" i="1" a="1"/>
  <c r="U974" i="1"/>
  <c r="T974" i="1"/>
  <c r="Q974" i="1" a="1"/>
  <c r="Q974" i="1"/>
  <c r="R974" i="1" s="1"/>
  <c r="S974" i="1" s="1"/>
  <c r="P974" i="1"/>
  <c r="O974" i="1"/>
  <c r="N974" i="1" a="1"/>
  <c r="N974" i="1"/>
  <c r="M974" i="1" a="1"/>
  <c r="M974" i="1"/>
  <c r="L974" i="1" a="1"/>
  <c r="L974" i="1" s="1"/>
  <c r="V973" i="1" a="1"/>
  <c r="V973" i="1"/>
  <c r="U973" i="1" a="1"/>
  <c r="U973" i="1"/>
  <c r="T973" i="1"/>
  <c r="Q973" i="1" a="1"/>
  <c r="Q973" i="1" s="1"/>
  <c r="R973" i="1" s="1"/>
  <c r="S973" i="1" s="1"/>
  <c r="P973" i="1"/>
  <c r="O973" i="1"/>
  <c r="N973" i="1" a="1"/>
  <c r="N973" i="1"/>
  <c r="M973" i="1" a="1"/>
  <c r="M973" i="1" s="1"/>
  <c r="L973" i="1" a="1"/>
  <c r="L973" i="1"/>
  <c r="V972" i="1" a="1"/>
  <c r="V972" i="1"/>
  <c r="U972" i="1" a="1"/>
  <c r="U972" i="1" s="1"/>
  <c r="T972" i="1"/>
  <c r="Q972" i="1" a="1"/>
  <c r="Q972" i="1" s="1"/>
  <c r="R972" i="1" s="1"/>
  <c r="S972" i="1" s="1"/>
  <c r="P972" i="1"/>
  <c r="O972" i="1"/>
  <c r="N972" i="1" a="1"/>
  <c r="N972" i="1" s="1"/>
  <c r="M972" i="1" a="1"/>
  <c r="M972" i="1"/>
  <c r="L972" i="1" a="1"/>
  <c r="L972" i="1"/>
  <c r="V971" i="1" a="1"/>
  <c r="V971" i="1" s="1"/>
  <c r="U971" i="1" a="1"/>
  <c r="U971" i="1"/>
  <c r="T971" i="1"/>
  <c r="R971" i="1"/>
  <c r="S971" i="1" s="1"/>
  <c r="Q971" i="1" a="1"/>
  <c r="Q971" i="1"/>
  <c r="P971" i="1"/>
  <c r="O971" i="1"/>
  <c r="N971" i="1" a="1"/>
  <c r="N971" i="1"/>
  <c r="M971" i="1" a="1"/>
  <c r="M971" i="1"/>
  <c r="L971" i="1" a="1"/>
  <c r="L971" i="1" s="1"/>
  <c r="V970" i="1" a="1"/>
  <c r="V970" i="1"/>
  <c r="U970" i="1" a="1"/>
  <c r="U970" i="1"/>
  <c r="T970" i="1"/>
  <c r="Q970" i="1" a="1"/>
  <c r="Q970" i="1" s="1"/>
  <c r="R970" i="1" s="1"/>
  <c r="S970" i="1" s="1"/>
  <c r="P970" i="1"/>
  <c r="O970" i="1"/>
  <c r="N970" i="1" a="1"/>
  <c r="N970" i="1" s="1"/>
  <c r="M970" i="1" a="1"/>
  <c r="M970" i="1" s="1"/>
  <c r="L970" i="1" a="1"/>
  <c r="L970" i="1"/>
  <c r="V969" i="1" a="1"/>
  <c r="V969" i="1"/>
  <c r="U969" i="1" a="1"/>
  <c r="U969" i="1" s="1"/>
  <c r="T969" i="1"/>
  <c r="Q969" i="1" a="1"/>
  <c r="Q969" i="1"/>
  <c r="R969" i="1" s="1"/>
  <c r="S969" i="1" s="1"/>
  <c r="P969" i="1"/>
  <c r="O969" i="1"/>
  <c r="N969" i="1" a="1"/>
  <c r="N969" i="1" s="1"/>
  <c r="M969" i="1" a="1"/>
  <c r="M969" i="1"/>
  <c r="L969" i="1" a="1"/>
  <c r="L969" i="1"/>
  <c r="V968" i="1" a="1"/>
  <c r="V968" i="1"/>
  <c r="U968" i="1" a="1"/>
  <c r="U968" i="1"/>
  <c r="T968" i="1"/>
  <c r="R968" i="1"/>
  <c r="S968" i="1" s="1"/>
  <c r="Q968" i="1" a="1"/>
  <c r="Q968" i="1"/>
  <c r="P968" i="1"/>
  <c r="O968" i="1"/>
  <c r="N968" i="1" a="1"/>
  <c r="N968" i="1" s="1"/>
  <c r="M968" i="1" a="1"/>
  <c r="M968" i="1"/>
  <c r="L968" i="1" a="1"/>
  <c r="L968" i="1" s="1"/>
  <c r="V967" i="1" a="1"/>
  <c r="V967" i="1"/>
  <c r="U967" i="1" a="1"/>
  <c r="U967" i="1"/>
  <c r="T967" i="1"/>
  <c r="Q967" i="1" a="1"/>
  <c r="Q967" i="1"/>
  <c r="R967" i="1" s="1"/>
  <c r="S967" i="1" s="1"/>
  <c r="P967" i="1"/>
  <c r="O967" i="1"/>
  <c r="N967" i="1" a="1"/>
  <c r="N967" i="1"/>
  <c r="M967" i="1" a="1"/>
  <c r="M967" i="1" s="1"/>
  <c r="L967" i="1" a="1"/>
  <c r="L967" i="1"/>
  <c r="V966" i="1" a="1"/>
  <c r="V966" i="1"/>
  <c r="U966" i="1" a="1"/>
  <c r="U966" i="1"/>
  <c r="T966" i="1"/>
  <c r="S966" i="1"/>
  <c r="Q966" i="1" a="1"/>
  <c r="Q966" i="1"/>
  <c r="R966" i="1" s="1"/>
  <c r="P966" i="1"/>
  <c r="O966" i="1"/>
  <c r="N966" i="1" a="1"/>
  <c r="N966" i="1" s="1"/>
  <c r="M966" i="1" a="1"/>
  <c r="M966" i="1" s="1"/>
  <c r="L966" i="1" a="1"/>
  <c r="L966" i="1"/>
  <c r="V965" i="1" a="1"/>
  <c r="V965" i="1" s="1"/>
  <c r="U965" i="1" a="1"/>
  <c r="U965" i="1"/>
  <c r="T965" i="1"/>
  <c r="Q965" i="1" a="1"/>
  <c r="Q965" i="1"/>
  <c r="R965" i="1" s="1"/>
  <c r="S965" i="1" s="1"/>
  <c r="P965" i="1"/>
  <c r="O965" i="1"/>
  <c r="N965" i="1" a="1"/>
  <c r="N965" i="1" s="1"/>
  <c r="M965" i="1" a="1"/>
  <c r="M965" i="1"/>
  <c r="L965" i="1" a="1"/>
  <c r="L965" i="1" s="1"/>
  <c r="V964" i="1" a="1"/>
  <c r="V964" i="1"/>
  <c r="U964" i="1" a="1"/>
  <c r="U964" i="1"/>
  <c r="T964" i="1"/>
  <c r="R964" i="1"/>
  <c r="S964" i="1" s="1"/>
  <c r="Q964" i="1" a="1"/>
  <c r="Q964" i="1" s="1"/>
  <c r="P964" i="1"/>
  <c r="O964" i="1"/>
  <c r="N964" i="1" a="1"/>
  <c r="N964" i="1"/>
  <c r="M964" i="1" a="1"/>
  <c r="M964" i="1"/>
  <c r="L964" i="1" a="1"/>
  <c r="L964" i="1"/>
  <c r="V963" i="1" a="1"/>
  <c r="V963" i="1" s="1"/>
  <c r="U963" i="1" a="1"/>
  <c r="U963" i="1" s="1"/>
  <c r="T963" i="1"/>
  <c r="Q963" i="1" a="1"/>
  <c r="Q963" i="1"/>
  <c r="R963" i="1" s="1"/>
  <c r="S963" i="1" s="1"/>
  <c r="P963" i="1"/>
  <c r="O963" i="1"/>
  <c r="N963" i="1" a="1"/>
  <c r="N963" i="1" s="1"/>
  <c r="M963" i="1" a="1"/>
  <c r="M963" i="1"/>
  <c r="L963" i="1" a="1"/>
  <c r="L963" i="1"/>
  <c r="V962" i="1" a="1"/>
  <c r="V962" i="1" s="1"/>
  <c r="U962" i="1" a="1"/>
  <c r="U962" i="1"/>
  <c r="T962" i="1"/>
  <c r="Q962" i="1" a="1"/>
  <c r="Q962" i="1" s="1"/>
  <c r="R962" i="1" s="1"/>
  <c r="S962" i="1" s="1"/>
  <c r="P962" i="1"/>
  <c r="O962" i="1"/>
  <c r="N962" i="1" a="1"/>
  <c r="N962" i="1"/>
  <c r="M962" i="1" a="1"/>
  <c r="M962" i="1"/>
  <c r="L962" i="1" a="1"/>
  <c r="L962" i="1"/>
  <c r="V961" i="1" a="1"/>
  <c r="V961" i="1" s="1"/>
  <c r="U961" i="1" a="1"/>
  <c r="U961" i="1" s="1"/>
  <c r="T961" i="1"/>
  <c r="Q961" i="1" a="1"/>
  <c r="Q961" i="1" s="1"/>
  <c r="R961" i="1" s="1"/>
  <c r="S961" i="1" s="1"/>
  <c r="P961" i="1"/>
  <c r="O961" i="1"/>
  <c r="N961" i="1" a="1"/>
  <c r="N961" i="1" s="1"/>
  <c r="M961" i="1" a="1"/>
  <c r="M961" i="1" s="1"/>
  <c r="L961" i="1" a="1"/>
  <c r="L961" i="1" s="1"/>
  <c r="V960" i="1" a="1"/>
  <c r="V960" i="1"/>
  <c r="U960" i="1" a="1"/>
  <c r="U960" i="1" s="1"/>
  <c r="T960" i="1"/>
  <c r="Q960" i="1" a="1"/>
  <c r="Q960" i="1" s="1"/>
  <c r="R960" i="1" s="1"/>
  <c r="S960" i="1" s="1"/>
  <c r="P960" i="1"/>
  <c r="O960" i="1"/>
  <c r="N960" i="1" a="1"/>
  <c r="N960" i="1" s="1"/>
  <c r="M960" i="1" a="1"/>
  <c r="M960" i="1"/>
  <c r="L960" i="1" a="1"/>
  <c r="L960" i="1"/>
  <c r="V959" i="1" a="1"/>
  <c r="V959" i="1" s="1"/>
  <c r="U959" i="1" a="1"/>
  <c r="U959" i="1" s="1"/>
  <c r="T959" i="1"/>
  <c r="S959" i="1"/>
  <c r="R959" i="1"/>
  <c r="Q959" i="1" a="1"/>
  <c r="Q959" i="1"/>
  <c r="P959" i="1"/>
  <c r="O959" i="1"/>
  <c r="N959" i="1" a="1"/>
  <c r="N959" i="1"/>
  <c r="M959" i="1" a="1"/>
  <c r="M959" i="1"/>
  <c r="L959" i="1" a="1"/>
  <c r="L959" i="1" s="1"/>
  <c r="V958" i="1" a="1"/>
  <c r="V958" i="1"/>
  <c r="U958" i="1" a="1"/>
  <c r="U958" i="1"/>
  <c r="T958" i="1"/>
  <c r="Q958" i="1" a="1"/>
  <c r="Q958" i="1"/>
  <c r="R958" i="1" s="1"/>
  <c r="S958" i="1" s="1"/>
  <c r="P958" i="1"/>
  <c r="O958" i="1"/>
  <c r="N958" i="1" a="1"/>
  <c r="N958" i="1" s="1"/>
  <c r="M958" i="1" a="1"/>
  <c r="M958" i="1" s="1"/>
  <c r="L958" i="1" a="1"/>
  <c r="L958" i="1"/>
  <c r="V957" i="1" a="1"/>
  <c r="V957" i="1"/>
  <c r="U957" i="1" a="1"/>
  <c r="U957" i="1" s="1"/>
  <c r="T957" i="1"/>
  <c r="Q957" i="1" a="1"/>
  <c r="Q957" i="1" s="1"/>
  <c r="R957" i="1" s="1"/>
  <c r="S957" i="1" s="1"/>
  <c r="P957" i="1"/>
  <c r="O957" i="1"/>
  <c r="N957" i="1" a="1"/>
  <c r="N957" i="1" s="1"/>
  <c r="M957" i="1" a="1"/>
  <c r="M957" i="1"/>
  <c r="L957" i="1" a="1"/>
  <c r="L957" i="1" s="1"/>
  <c r="V956" i="1" a="1"/>
  <c r="V956" i="1"/>
  <c r="U956" i="1" a="1"/>
  <c r="U956" i="1"/>
  <c r="T956" i="1"/>
  <c r="R956" i="1"/>
  <c r="S956" i="1" s="1"/>
  <c r="Q956" i="1" a="1"/>
  <c r="Q956" i="1"/>
  <c r="P956" i="1"/>
  <c r="O956" i="1"/>
  <c r="N956" i="1" a="1"/>
  <c r="N956" i="1" s="1"/>
  <c r="M956" i="1" a="1"/>
  <c r="M956" i="1"/>
  <c r="L956" i="1" a="1"/>
  <c r="L956" i="1" s="1"/>
  <c r="V955" i="1" a="1"/>
  <c r="V955" i="1"/>
  <c r="U955" i="1" a="1"/>
  <c r="U955" i="1"/>
  <c r="T955" i="1"/>
  <c r="R955" i="1"/>
  <c r="S955" i="1" s="1"/>
  <c r="Q955" i="1" a="1"/>
  <c r="Q955" i="1" s="1"/>
  <c r="P955" i="1"/>
  <c r="O955" i="1"/>
  <c r="N955" i="1" a="1"/>
  <c r="N955" i="1"/>
  <c r="M955" i="1" a="1"/>
  <c r="M955" i="1" s="1"/>
  <c r="L955" i="1" a="1"/>
  <c r="L955" i="1"/>
  <c r="V954" i="1" a="1"/>
  <c r="V954" i="1"/>
  <c r="U954" i="1" a="1"/>
  <c r="U954" i="1"/>
  <c r="T954" i="1"/>
  <c r="S954" i="1"/>
  <c r="Q954" i="1" a="1"/>
  <c r="Q954" i="1"/>
  <c r="R954" i="1" s="1"/>
  <c r="P954" i="1"/>
  <c r="O954" i="1"/>
  <c r="N954" i="1" a="1"/>
  <c r="N954" i="1"/>
  <c r="M954" i="1" a="1"/>
  <c r="M954" i="1"/>
  <c r="L954" i="1" a="1"/>
  <c r="L954" i="1"/>
  <c r="V953" i="1" a="1"/>
  <c r="V953" i="1" s="1"/>
  <c r="U953" i="1" a="1"/>
  <c r="U953" i="1"/>
  <c r="T953" i="1"/>
  <c r="Q953" i="1" a="1"/>
  <c r="Q953" i="1" s="1"/>
  <c r="R953" i="1" s="1"/>
  <c r="S953" i="1" s="1"/>
  <c r="P953" i="1"/>
  <c r="O953" i="1"/>
  <c r="N953" i="1" a="1"/>
  <c r="N953" i="1" s="1"/>
  <c r="M953" i="1" a="1"/>
  <c r="M953" i="1"/>
  <c r="L953" i="1" a="1"/>
  <c r="L953" i="1" s="1"/>
  <c r="V952" i="1" a="1"/>
  <c r="V952" i="1"/>
  <c r="U952" i="1" a="1"/>
  <c r="U952" i="1"/>
  <c r="T952" i="1"/>
  <c r="Q952" i="1" a="1"/>
  <c r="Q952" i="1" s="1"/>
  <c r="R952" i="1" s="1"/>
  <c r="S952" i="1" s="1"/>
  <c r="P952" i="1"/>
  <c r="O952" i="1"/>
  <c r="N952" i="1" a="1"/>
  <c r="N952" i="1"/>
  <c r="M952" i="1" a="1"/>
  <c r="M952" i="1" s="1"/>
  <c r="L952" i="1" a="1"/>
  <c r="L952" i="1"/>
  <c r="V951" i="1" a="1"/>
  <c r="V951" i="1"/>
  <c r="U951" i="1" a="1"/>
  <c r="U951" i="1" s="1"/>
  <c r="T951" i="1"/>
  <c r="S951" i="1"/>
  <c r="Q951" i="1" a="1"/>
  <c r="Q951" i="1"/>
  <c r="R951" i="1" s="1"/>
  <c r="P951" i="1"/>
  <c r="O951" i="1"/>
  <c r="N951" i="1" a="1"/>
  <c r="N951" i="1"/>
  <c r="M951" i="1" a="1"/>
  <c r="M951" i="1" s="1"/>
  <c r="L951" i="1" a="1"/>
  <c r="L951" i="1"/>
  <c r="V950" i="1" a="1"/>
  <c r="V950" i="1" s="1"/>
  <c r="U950" i="1" a="1"/>
  <c r="U950" i="1"/>
  <c r="T950" i="1"/>
  <c r="R950" i="1"/>
  <c r="S950" i="1" s="1"/>
  <c r="Q950" i="1" a="1"/>
  <c r="Q950" i="1"/>
  <c r="P950" i="1"/>
  <c r="O950" i="1"/>
  <c r="N950" i="1" a="1"/>
  <c r="N950" i="1"/>
  <c r="M950" i="1" a="1"/>
  <c r="M950" i="1"/>
  <c r="L950" i="1" a="1"/>
  <c r="L950" i="1" s="1"/>
  <c r="V949" i="1" a="1"/>
  <c r="V949" i="1"/>
  <c r="U949" i="1" a="1"/>
  <c r="U949" i="1"/>
  <c r="T949" i="1"/>
  <c r="Q949" i="1" a="1"/>
  <c r="Q949" i="1" s="1"/>
  <c r="R949" i="1" s="1"/>
  <c r="S949" i="1" s="1"/>
  <c r="P949" i="1"/>
  <c r="O949" i="1"/>
  <c r="N949" i="1" a="1"/>
  <c r="N949" i="1"/>
  <c r="M949" i="1" a="1"/>
  <c r="M949" i="1" s="1"/>
  <c r="L949" i="1" a="1"/>
  <c r="L949" i="1"/>
  <c r="V948" i="1" a="1"/>
  <c r="V948" i="1"/>
  <c r="U948" i="1" a="1"/>
  <c r="U948" i="1" s="1"/>
  <c r="T948" i="1"/>
  <c r="S948" i="1"/>
  <c r="R948" i="1"/>
  <c r="Q948" i="1" a="1"/>
  <c r="Q948" i="1"/>
  <c r="P948" i="1"/>
  <c r="O948" i="1"/>
  <c r="N948" i="1" a="1"/>
  <c r="N948" i="1" s="1"/>
  <c r="M948" i="1" a="1"/>
  <c r="M948" i="1"/>
  <c r="L948" i="1" a="1"/>
  <c r="L948" i="1"/>
  <c r="V947" i="1" a="1"/>
  <c r="V947" i="1"/>
  <c r="U947" i="1" a="1"/>
  <c r="U947" i="1" s="1"/>
  <c r="T947" i="1"/>
  <c r="S947" i="1"/>
  <c r="R947" i="1"/>
  <c r="Q947" i="1" a="1"/>
  <c r="Q947" i="1"/>
  <c r="P947" i="1"/>
  <c r="O947" i="1"/>
  <c r="N947" i="1" a="1"/>
  <c r="N947" i="1"/>
  <c r="M947" i="1" a="1"/>
  <c r="M947" i="1" s="1"/>
  <c r="L947" i="1" a="1"/>
  <c r="L947" i="1"/>
  <c r="V946" i="1" a="1"/>
  <c r="V946" i="1" s="1"/>
  <c r="U946" i="1" a="1"/>
  <c r="U946" i="1"/>
  <c r="T946" i="1"/>
  <c r="Q946" i="1" a="1"/>
  <c r="Q946" i="1"/>
  <c r="R946" i="1" s="1"/>
  <c r="S946" i="1" s="1"/>
  <c r="P946" i="1"/>
  <c r="O946" i="1"/>
  <c r="N946" i="1" a="1"/>
  <c r="N946" i="1" s="1"/>
  <c r="M946" i="1" a="1"/>
  <c r="M946" i="1" s="1"/>
  <c r="L946" i="1" a="1"/>
  <c r="L946" i="1"/>
  <c r="V945" i="1" a="1"/>
  <c r="V945" i="1"/>
  <c r="U945" i="1" a="1"/>
  <c r="U945" i="1"/>
  <c r="T945" i="1"/>
  <c r="Q945" i="1" a="1"/>
  <c r="Q945" i="1"/>
  <c r="R945" i="1" s="1"/>
  <c r="S945" i="1" s="1"/>
  <c r="P945" i="1"/>
  <c r="O945" i="1"/>
  <c r="N945" i="1" a="1"/>
  <c r="N945" i="1" s="1"/>
  <c r="M945" i="1" a="1"/>
  <c r="M945" i="1"/>
  <c r="L945" i="1" a="1"/>
  <c r="L945" i="1"/>
  <c r="V944" i="1" a="1"/>
  <c r="V944" i="1" s="1"/>
  <c r="U944" i="1" a="1"/>
  <c r="U944" i="1" s="1"/>
  <c r="T944" i="1"/>
  <c r="R944" i="1"/>
  <c r="S944" i="1" s="1"/>
  <c r="Q944" i="1" a="1"/>
  <c r="Q944" i="1"/>
  <c r="P944" i="1"/>
  <c r="O944" i="1"/>
  <c r="N944" i="1" a="1"/>
  <c r="N944" i="1"/>
  <c r="M944" i="1" a="1"/>
  <c r="M944" i="1" s="1"/>
  <c r="L944" i="1" a="1"/>
  <c r="L944" i="1" s="1"/>
  <c r="V943" i="1" a="1"/>
  <c r="V943" i="1"/>
  <c r="U943" i="1" a="1"/>
  <c r="U943" i="1"/>
  <c r="T943" i="1"/>
  <c r="R943" i="1"/>
  <c r="S943" i="1" s="1"/>
  <c r="Q943" i="1" a="1"/>
  <c r="Q943" i="1"/>
  <c r="P943" i="1"/>
  <c r="O943" i="1"/>
  <c r="N943" i="1" a="1"/>
  <c r="N943" i="1"/>
  <c r="M943" i="1" a="1"/>
  <c r="M943" i="1" s="1"/>
  <c r="L943" i="1" a="1"/>
  <c r="L943" i="1"/>
  <c r="V942" i="1" a="1"/>
  <c r="V942" i="1"/>
  <c r="U942" i="1" a="1"/>
  <c r="U942" i="1" s="1"/>
  <c r="T942" i="1"/>
  <c r="Q942" i="1" a="1"/>
  <c r="Q942" i="1"/>
  <c r="R942" i="1" s="1"/>
  <c r="S942" i="1" s="1"/>
  <c r="P942" i="1"/>
  <c r="O942" i="1"/>
  <c r="N942" i="1" a="1"/>
  <c r="N942" i="1"/>
  <c r="M942" i="1" a="1"/>
  <c r="M942" i="1"/>
  <c r="L942" i="1" a="1"/>
  <c r="L942" i="1" s="1"/>
  <c r="V941" i="1" a="1"/>
  <c r="V941" i="1" s="1"/>
  <c r="U941" i="1" a="1"/>
  <c r="U941" i="1"/>
  <c r="T941" i="1"/>
  <c r="Q941" i="1" a="1"/>
  <c r="Q941" i="1" s="1"/>
  <c r="R941" i="1" s="1"/>
  <c r="S941" i="1" s="1"/>
  <c r="P941" i="1"/>
  <c r="O941" i="1"/>
  <c r="N941" i="1" a="1"/>
  <c r="N941" i="1"/>
  <c r="M941" i="1" a="1"/>
  <c r="M941" i="1"/>
  <c r="L941" i="1" a="1"/>
  <c r="L941" i="1" s="1"/>
  <c r="V940" i="1" a="1"/>
  <c r="V940" i="1"/>
  <c r="U940" i="1" a="1"/>
  <c r="U940" i="1"/>
  <c r="T940" i="1"/>
  <c r="Q940" i="1" a="1"/>
  <c r="Q940" i="1" s="1"/>
  <c r="R940" i="1" s="1"/>
  <c r="S940" i="1" s="1"/>
  <c r="P940" i="1"/>
  <c r="O940" i="1"/>
  <c r="N940" i="1" a="1"/>
  <c r="N940" i="1"/>
  <c r="M940" i="1" a="1"/>
  <c r="M940" i="1"/>
  <c r="L940" i="1" a="1"/>
  <c r="L940" i="1"/>
  <c r="V939" i="1" a="1"/>
  <c r="V939" i="1" s="1"/>
  <c r="U939" i="1" a="1"/>
  <c r="U939" i="1" s="1"/>
  <c r="T939" i="1"/>
  <c r="S939" i="1"/>
  <c r="Q939" i="1" a="1"/>
  <c r="Q939" i="1"/>
  <c r="R939" i="1" s="1"/>
  <c r="P939" i="1"/>
  <c r="O939" i="1"/>
  <c r="N939" i="1" a="1"/>
  <c r="N939" i="1" s="1"/>
  <c r="M939" i="1" a="1"/>
  <c r="M939" i="1"/>
  <c r="L939" i="1" a="1"/>
  <c r="L939" i="1"/>
  <c r="V938" i="1" a="1"/>
  <c r="V938" i="1" s="1"/>
  <c r="U938" i="1" a="1"/>
  <c r="U938" i="1"/>
  <c r="T938" i="1"/>
  <c r="Q938" i="1" a="1"/>
  <c r="Q938" i="1"/>
  <c r="R938" i="1" s="1"/>
  <c r="S938" i="1" s="1"/>
  <c r="P938" i="1"/>
  <c r="O938" i="1"/>
  <c r="N938" i="1" a="1"/>
  <c r="N938" i="1"/>
  <c r="M938" i="1" a="1"/>
  <c r="M938" i="1"/>
  <c r="L938" i="1" a="1"/>
  <c r="L938" i="1"/>
  <c r="V937" i="1" a="1"/>
  <c r="V937" i="1" s="1"/>
  <c r="U937" i="1" a="1"/>
  <c r="U937" i="1" s="1"/>
  <c r="T937" i="1"/>
  <c r="Q937" i="1" a="1"/>
  <c r="Q937" i="1" s="1"/>
  <c r="R937" i="1" s="1"/>
  <c r="S937" i="1" s="1"/>
  <c r="P937" i="1"/>
  <c r="O937" i="1"/>
  <c r="N937" i="1" a="1"/>
  <c r="N937" i="1"/>
  <c r="M937" i="1" a="1"/>
  <c r="M937" i="1"/>
  <c r="L937" i="1" a="1"/>
  <c r="L937" i="1" s="1"/>
  <c r="V936" i="1" a="1"/>
  <c r="V936" i="1"/>
  <c r="U936" i="1" a="1"/>
  <c r="U936" i="1" s="1"/>
  <c r="T936" i="1"/>
  <c r="Q936" i="1" a="1"/>
  <c r="Q936" i="1"/>
  <c r="R936" i="1" s="1"/>
  <c r="S936" i="1" s="1"/>
  <c r="P936" i="1"/>
  <c r="O936" i="1"/>
  <c r="N936" i="1" a="1"/>
  <c r="N936" i="1" s="1"/>
  <c r="M936" i="1" a="1"/>
  <c r="M936" i="1"/>
  <c r="L936" i="1" a="1"/>
  <c r="L936" i="1"/>
  <c r="V935" i="1" a="1"/>
  <c r="V935" i="1"/>
  <c r="U935" i="1" a="1"/>
  <c r="U935" i="1"/>
  <c r="T935" i="1"/>
  <c r="R935" i="1"/>
  <c r="S935" i="1" s="1"/>
  <c r="Q935" i="1" a="1"/>
  <c r="Q935" i="1"/>
  <c r="P935" i="1"/>
  <c r="O935" i="1"/>
  <c r="N935" i="1" a="1"/>
  <c r="N935" i="1"/>
  <c r="M935" i="1" a="1"/>
  <c r="M935" i="1" s="1"/>
  <c r="L935" i="1" a="1"/>
  <c r="L935" i="1"/>
  <c r="V934" i="1" a="1"/>
  <c r="V934" i="1"/>
  <c r="U934" i="1" a="1"/>
  <c r="U934" i="1"/>
  <c r="T934" i="1"/>
  <c r="Q934" i="1" a="1"/>
  <c r="Q934" i="1" s="1"/>
  <c r="R934" i="1" s="1"/>
  <c r="S934" i="1" s="1"/>
  <c r="P934" i="1"/>
  <c r="O934" i="1"/>
  <c r="N934" i="1" a="1"/>
  <c r="N934" i="1"/>
  <c r="M934" i="1" a="1"/>
  <c r="M934" i="1" s="1"/>
  <c r="L934" i="1" a="1"/>
  <c r="L934" i="1"/>
  <c r="V933" i="1" a="1"/>
  <c r="V933" i="1"/>
  <c r="U933" i="1" a="1"/>
  <c r="U933" i="1"/>
  <c r="T933" i="1"/>
  <c r="S933" i="1"/>
  <c r="R933" i="1"/>
  <c r="Q933" i="1" a="1"/>
  <c r="Q933" i="1"/>
  <c r="P933" i="1"/>
  <c r="O933" i="1"/>
  <c r="N933" i="1" a="1"/>
  <c r="N933" i="1" s="1"/>
  <c r="M933" i="1" a="1"/>
  <c r="M933" i="1"/>
  <c r="L933" i="1" a="1"/>
  <c r="L933" i="1"/>
  <c r="V932" i="1" a="1"/>
  <c r="V932" i="1"/>
  <c r="U932" i="1" a="1"/>
  <c r="U932" i="1" s="1"/>
  <c r="T932" i="1"/>
  <c r="R932" i="1"/>
  <c r="S932" i="1" s="1"/>
  <c r="Q932" i="1" a="1"/>
  <c r="Q932" i="1"/>
  <c r="P932" i="1"/>
  <c r="O932" i="1"/>
  <c r="N932" i="1" a="1"/>
  <c r="N932" i="1" s="1"/>
  <c r="M932" i="1" a="1"/>
  <c r="M932" i="1" s="1"/>
  <c r="L932" i="1" a="1"/>
  <c r="L932" i="1" s="1"/>
  <c r="V931" i="1" a="1"/>
  <c r="V931" i="1"/>
  <c r="U931" i="1" a="1"/>
  <c r="U931" i="1"/>
  <c r="T931" i="1"/>
  <c r="Q931" i="1" a="1"/>
  <c r="Q931" i="1"/>
  <c r="R931" i="1" s="1"/>
  <c r="S931" i="1" s="1"/>
  <c r="P931" i="1"/>
  <c r="O931" i="1"/>
  <c r="N931" i="1" a="1"/>
  <c r="N931" i="1"/>
  <c r="M931" i="1" a="1"/>
  <c r="M931" i="1" s="1"/>
  <c r="L931" i="1" a="1"/>
  <c r="L931" i="1"/>
  <c r="V930" i="1" a="1"/>
  <c r="V930" i="1"/>
  <c r="U930" i="1" a="1"/>
  <c r="U930" i="1"/>
  <c r="T930" i="1"/>
  <c r="S930" i="1"/>
  <c r="Q930" i="1" a="1"/>
  <c r="Q930" i="1"/>
  <c r="R930" i="1" s="1"/>
  <c r="P930" i="1"/>
  <c r="O930" i="1"/>
  <c r="N930" i="1" a="1"/>
  <c r="N930" i="1" s="1"/>
  <c r="M930" i="1" a="1"/>
  <c r="M930" i="1"/>
  <c r="L930" i="1" a="1"/>
  <c r="L930" i="1"/>
  <c r="V929" i="1" a="1"/>
  <c r="V929" i="1" s="1"/>
  <c r="U929" i="1" a="1"/>
  <c r="U929" i="1"/>
  <c r="T929" i="1"/>
  <c r="Q929" i="1" a="1"/>
  <c r="Q929" i="1"/>
  <c r="R929" i="1" s="1"/>
  <c r="S929" i="1" s="1"/>
  <c r="P929" i="1"/>
  <c r="O929" i="1"/>
  <c r="N929" i="1" a="1"/>
  <c r="N929" i="1" s="1"/>
  <c r="M929" i="1" a="1"/>
  <c r="M929" i="1"/>
  <c r="L929" i="1" a="1"/>
  <c r="L929" i="1" s="1"/>
  <c r="V928" i="1" a="1"/>
  <c r="V928" i="1"/>
  <c r="U928" i="1" a="1"/>
  <c r="U928" i="1"/>
  <c r="T928" i="1"/>
  <c r="Q928" i="1" a="1"/>
  <c r="Q928" i="1" s="1"/>
  <c r="R928" i="1" s="1"/>
  <c r="S928" i="1" s="1"/>
  <c r="P928" i="1"/>
  <c r="O928" i="1"/>
  <c r="N928" i="1" a="1"/>
  <c r="N928" i="1"/>
  <c r="M928" i="1" a="1"/>
  <c r="M928" i="1"/>
  <c r="L928" i="1" a="1"/>
  <c r="L928" i="1"/>
  <c r="V927" i="1" a="1"/>
  <c r="V927" i="1" s="1"/>
  <c r="U927" i="1" a="1"/>
  <c r="U927" i="1" s="1"/>
  <c r="T927" i="1"/>
  <c r="Q927" i="1" a="1"/>
  <c r="Q927" i="1"/>
  <c r="R927" i="1" s="1"/>
  <c r="S927" i="1" s="1"/>
  <c r="P927" i="1"/>
  <c r="O927" i="1"/>
  <c r="N927" i="1" a="1"/>
  <c r="N927" i="1" s="1"/>
  <c r="M927" i="1" a="1"/>
  <c r="M927" i="1"/>
  <c r="L927" i="1" a="1"/>
  <c r="L927" i="1"/>
  <c r="V926" i="1" a="1"/>
  <c r="V926" i="1" s="1"/>
  <c r="U926" i="1" a="1"/>
  <c r="U926" i="1"/>
  <c r="T926" i="1"/>
  <c r="Q926" i="1" a="1"/>
  <c r="Q926" i="1" s="1"/>
  <c r="R926" i="1" s="1"/>
  <c r="S926" i="1" s="1"/>
  <c r="P926" i="1"/>
  <c r="O926" i="1"/>
  <c r="N926" i="1" a="1"/>
  <c r="N926" i="1"/>
  <c r="M926" i="1" a="1"/>
  <c r="M926" i="1"/>
  <c r="L926" i="1" a="1"/>
  <c r="L926" i="1"/>
  <c r="V925" i="1" a="1"/>
  <c r="V925" i="1" s="1"/>
  <c r="U925" i="1" a="1"/>
  <c r="U925" i="1" s="1"/>
  <c r="T925" i="1"/>
  <c r="Q925" i="1" a="1"/>
  <c r="Q925" i="1" s="1"/>
  <c r="R925" i="1" s="1"/>
  <c r="S925" i="1" s="1"/>
  <c r="P925" i="1"/>
  <c r="O925" i="1"/>
  <c r="N925" i="1" a="1"/>
  <c r="N925" i="1" s="1"/>
  <c r="M925" i="1" a="1"/>
  <c r="M925" i="1" s="1"/>
  <c r="L925" i="1" a="1"/>
  <c r="L925" i="1"/>
  <c r="V924" i="1" a="1"/>
  <c r="V924" i="1"/>
  <c r="U924" i="1" a="1"/>
  <c r="U924" i="1" s="1"/>
  <c r="T924" i="1"/>
  <c r="Q924" i="1" a="1"/>
  <c r="Q924" i="1" s="1"/>
  <c r="R924" i="1" s="1"/>
  <c r="S924" i="1" s="1"/>
  <c r="P924" i="1"/>
  <c r="O924" i="1"/>
  <c r="N924" i="1" a="1"/>
  <c r="N924" i="1" s="1"/>
  <c r="M924" i="1" a="1"/>
  <c r="M924" i="1"/>
  <c r="L924" i="1" a="1"/>
  <c r="L924" i="1"/>
  <c r="V923" i="1" a="1"/>
  <c r="V923" i="1" s="1"/>
  <c r="U923" i="1" a="1"/>
  <c r="U923" i="1"/>
  <c r="T923" i="1"/>
  <c r="R923" i="1"/>
  <c r="S923" i="1" s="1"/>
  <c r="Q923" i="1" a="1"/>
  <c r="Q923" i="1"/>
  <c r="P923" i="1"/>
  <c r="O923" i="1"/>
  <c r="N923" i="1" a="1"/>
  <c r="N923" i="1"/>
  <c r="M923" i="1" a="1"/>
  <c r="M923" i="1"/>
  <c r="L923" i="1" a="1"/>
  <c r="L923" i="1" s="1"/>
  <c r="V922" i="1" a="1"/>
  <c r="V922" i="1" s="1"/>
  <c r="U922" i="1" a="1"/>
  <c r="U922" i="1"/>
  <c r="T922" i="1"/>
  <c r="Q922" i="1" a="1"/>
  <c r="Q922" i="1"/>
  <c r="R922" i="1" s="1"/>
  <c r="S922" i="1" s="1"/>
  <c r="P922" i="1"/>
  <c r="O922" i="1"/>
  <c r="N922" i="1" a="1"/>
  <c r="N922" i="1"/>
  <c r="M922" i="1" a="1"/>
  <c r="M922" i="1" s="1"/>
  <c r="L922" i="1" a="1"/>
  <c r="L922" i="1"/>
  <c r="V921" i="1" a="1"/>
  <c r="V921" i="1"/>
  <c r="U921" i="1" a="1"/>
  <c r="U921" i="1" s="1"/>
  <c r="T921" i="1"/>
  <c r="Q921" i="1" a="1"/>
  <c r="Q921" i="1" s="1"/>
  <c r="R921" i="1" s="1"/>
  <c r="S921" i="1" s="1"/>
  <c r="P921" i="1"/>
  <c r="O921" i="1"/>
  <c r="N921" i="1" a="1"/>
  <c r="N921" i="1" s="1"/>
  <c r="M921" i="1" a="1"/>
  <c r="M921" i="1"/>
  <c r="L921" i="1" a="1"/>
  <c r="L921" i="1" s="1"/>
  <c r="V920" i="1" a="1"/>
  <c r="V920" i="1"/>
  <c r="U920" i="1" a="1"/>
  <c r="U920" i="1"/>
  <c r="T920" i="1"/>
  <c r="R920" i="1"/>
  <c r="S920" i="1" s="1"/>
  <c r="Q920" i="1" a="1"/>
  <c r="Q920" i="1"/>
  <c r="P920" i="1"/>
  <c r="O920" i="1"/>
  <c r="N920" i="1" a="1"/>
  <c r="N920" i="1" s="1"/>
  <c r="M920" i="1" a="1"/>
  <c r="M920" i="1"/>
  <c r="L920" i="1" a="1"/>
  <c r="L920" i="1" s="1"/>
  <c r="V919" i="1" a="1"/>
  <c r="V919" i="1"/>
  <c r="U919" i="1" a="1"/>
  <c r="U919" i="1"/>
  <c r="T919" i="1"/>
  <c r="Q919" i="1" a="1"/>
  <c r="Q919" i="1" s="1"/>
  <c r="R919" i="1" s="1"/>
  <c r="S919" i="1" s="1"/>
  <c r="P919" i="1"/>
  <c r="O919" i="1"/>
  <c r="N919" i="1" a="1"/>
  <c r="N919" i="1"/>
  <c r="M919" i="1" a="1"/>
  <c r="M919" i="1" s="1"/>
  <c r="L919" i="1" a="1"/>
  <c r="L919" i="1"/>
  <c r="V918" i="1" a="1"/>
  <c r="V918" i="1"/>
  <c r="U918" i="1" a="1"/>
  <c r="U918" i="1"/>
  <c r="T918" i="1"/>
  <c r="S918" i="1"/>
  <c r="Q918" i="1" a="1"/>
  <c r="Q918" i="1"/>
  <c r="R918" i="1" s="1"/>
  <c r="P918" i="1"/>
  <c r="O918" i="1"/>
  <c r="N918" i="1" a="1"/>
  <c r="N918" i="1"/>
  <c r="M918" i="1" a="1"/>
  <c r="M918" i="1"/>
  <c r="L918" i="1" a="1"/>
  <c r="L918" i="1"/>
  <c r="V917" i="1" a="1"/>
  <c r="V917" i="1" s="1"/>
  <c r="U917" i="1" a="1"/>
  <c r="U917" i="1"/>
  <c r="T917" i="1"/>
  <c r="Q917" i="1" a="1"/>
  <c r="Q917" i="1" s="1"/>
  <c r="R917" i="1" s="1"/>
  <c r="S917" i="1" s="1"/>
  <c r="P917" i="1"/>
  <c r="O917" i="1"/>
  <c r="N917" i="1" a="1"/>
  <c r="N917" i="1"/>
  <c r="M917" i="1" a="1"/>
  <c r="M917" i="1"/>
  <c r="L917" i="1" a="1"/>
  <c r="L917" i="1" s="1"/>
  <c r="V916" i="1" a="1"/>
  <c r="V916" i="1"/>
  <c r="U916" i="1" a="1"/>
  <c r="U916" i="1" s="1"/>
  <c r="T916" i="1"/>
  <c r="R916" i="1"/>
  <c r="S916" i="1" s="1"/>
  <c r="Q916" i="1" a="1"/>
  <c r="Q916" i="1" s="1"/>
  <c r="P916" i="1"/>
  <c r="O916" i="1"/>
  <c r="N916" i="1" a="1"/>
  <c r="N916" i="1"/>
  <c r="M916" i="1" a="1"/>
  <c r="M916" i="1" s="1"/>
  <c r="L916" i="1" a="1"/>
  <c r="L916" i="1"/>
  <c r="V915" i="1" a="1"/>
  <c r="V915" i="1"/>
  <c r="U915" i="1" a="1"/>
  <c r="U915" i="1" s="1"/>
  <c r="T915" i="1"/>
  <c r="S915" i="1"/>
  <c r="Q915" i="1" a="1"/>
  <c r="Q915" i="1"/>
  <c r="R915" i="1" s="1"/>
  <c r="P915" i="1"/>
  <c r="O915" i="1"/>
  <c r="N915" i="1" a="1"/>
  <c r="N915" i="1"/>
  <c r="M915" i="1" a="1"/>
  <c r="M915" i="1" s="1"/>
  <c r="L915" i="1" a="1"/>
  <c r="L915" i="1"/>
  <c r="V914" i="1" a="1"/>
  <c r="V914" i="1" s="1"/>
  <c r="U914" i="1" a="1"/>
  <c r="U914" i="1"/>
  <c r="T914" i="1"/>
  <c r="Q914" i="1" a="1"/>
  <c r="Q914" i="1"/>
  <c r="R914" i="1" s="1"/>
  <c r="S914" i="1" s="1"/>
  <c r="P914" i="1"/>
  <c r="O914" i="1"/>
  <c r="N914" i="1" a="1"/>
  <c r="N914" i="1"/>
  <c r="M914" i="1" a="1"/>
  <c r="M914" i="1"/>
  <c r="L914" i="1" a="1"/>
  <c r="L914" i="1" s="1"/>
  <c r="V913" i="1" a="1"/>
  <c r="V913" i="1"/>
  <c r="U913" i="1" a="1"/>
  <c r="U913" i="1"/>
  <c r="T913" i="1"/>
  <c r="Q913" i="1" a="1"/>
  <c r="Q913" i="1" s="1"/>
  <c r="R913" i="1" s="1"/>
  <c r="S913" i="1" s="1"/>
  <c r="P913" i="1"/>
  <c r="O913" i="1"/>
  <c r="N913" i="1" a="1"/>
  <c r="N913" i="1"/>
  <c r="M913" i="1" a="1"/>
  <c r="M913" i="1" s="1"/>
  <c r="L913" i="1" a="1"/>
  <c r="L913" i="1"/>
  <c r="V912" i="1" a="1"/>
  <c r="V912" i="1"/>
  <c r="U912" i="1" a="1"/>
  <c r="U912" i="1" s="1"/>
  <c r="T912" i="1"/>
  <c r="Q912" i="1" a="1"/>
  <c r="Q912" i="1" s="1"/>
  <c r="R912" i="1" s="1"/>
  <c r="S912" i="1" s="1"/>
  <c r="P912" i="1"/>
  <c r="O912" i="1"/>
  <c r="N912" i="1" a="1"/>
  <c r="N912" i="1" s="1"/>
  <c r="M912" i="1" a="1"/>
  <c r="M912" i="1"/>
  <c r="L912" i="1" a="1"/>
  <c r="L912" i="1"/>
  <c r="V911" i="1" a="1"/>
  <c r="V911" i="1"/>
  <c r="U911" i="1" a="1"/>
  <c r="U911" i="1"/>
  <c r="T911" i="1"/>
  <c r="S911" i="1"/>
  <c r="R911" i="1"/>
  <c r="Q911" i="1" a="1"/>
  <c r="Q911" i="1"/>
  <c r="P911" i="1"/>
  <c r="O911" i="1"/>
  <c r="N911" i="1" a="1"/>
  <c r="N911" i="1"/>
  <c r="M911" i="1" a="1"/>
  <c r="M911" i="1"/>
  <c r="L911" i="1" a="1"/>
  <c r="L911" i="1" s="1"/>
  <c r="V910" i="1" a="1"/>
  <c r="V910" i="1" s="1"/>
  <c r="U910" i="1" a="1"/>
  <c r="U910" i="1"/>
  <c r="T910" i="1"/>
  <c r="Q910" i="1" a="1"/>
  <c r="Q910" i="1" s="1"/>
  <c r="R910" i="1" s="1"/>
  <c r="S910" i="1" s="1"/>
  <c r="P910" i="1"/>
  <c r="O910" i="1"/>
  <c r="N910" i="1" a="1"/>
  <c r="N910" i="1"/>
  <c r="M910" i="1" a="1"/>
  <c r="M910" i="1" s="1"/>
  <c r="L910" i="1" a="1"/>
  <c r="L910" i="1"/>
  <c r="V909" i="1" a="1"/>
  <c r="V909" i="1"/>
  <c r="U909" i="1" a="1"/>
  <c r="U909" i="1"/>
  <c r="T909" i="1"/>
  <c r="Q909" i="1" a="1"/>
  <c r="Q909" i="1" s="1"/>
  <c r="R909" i="1" s="1"/>
  <c r="S909" i="1" s="1"/>
  <c r="P909" i="1"/>
  <c r="O909" i="1"/>
  <c r="N909" i="1" a="1"/>
  <c r="N909" i="1" s="1"/>
  <c r="M909" i="1" a="1"/>
  <c r="M909" i="1"/>
  <c r="L909" i="1" a="1"/>
  <c r="L909" i="1"/>
  <c r="V908" i="1" a="1"/>
  <c r="V908" i="1" s="1"/>
  <c r="U908" i="1" a="1"/>
  <c r="U908" i="1"/>
  <c r="T908" i="1"/>
  <c r="R908" i="1"/>
  <c r="S908" i="1" s="1"/>
  <c r="Q908" i="1" a="1"/>
  <c r="Q908" i="1"/>
  <c r="P908" i="1"/>
  <c r="O908" i="1"/>
  <c r="N908" i="1" a="1"/>
  <c r="N908" i="1"/>
  <c r="M908" i="1" a="1"/>
  <c r="M908" i="1" s="1"/>
  <c r="L908" i="1" a="1"/>
  <c r="L908" i="1" s="1"/>
  <c r="V907" i="1" a="1"/>
  <c r="V907" i="1"/>
  <c r="U907" i="1" a="1"/>
  <c r="U907" i="1"/>
  <c r="T907" i="1"/>
  <c r="Q907" i="1" a="1"/>
  <c r="Q907" i="1"/>
  <c r="R907" i="1" s="1"/>
  <c r="S907" i="1" s="1"/>
  <c r="P907" i="1"/>
  <c r="O907" i="1"/>
  <c r="N907" i="1" a="1"/>
  <c r="N907" i="1"/>
  <c r="M907" i="1" a="1"/>
  <c r="M907" i="1" s="1"/>
  <c r="L907" i="1" a="1"/>
  <c r="L907" i="1"/>
  <c r="V906" i="1" a="1"/>
  <c r="V906" i="1"/>
  <c r="U906" i="1" a="1"/>
  <c r="U906" i="1" s="1"/>
  <c r="T906" i="1"/>
  <c r="Q906" i="1" a="1"/>
  <c r="Q906" i="1"/>
  <c r="R906" i="1" s="1"/>
  <c r="S906" i="1" s="1"/>
  <c r="P906" i="1"/>
  <c r="O906" i="1"/>
  <c r="N906" i="1" a="1"/>
  <c r="N906" i="1"/>
  <c r="M906" i="1" a="1"/>
  <c r="M906" i="1"/>
  <c r="L906" i="1" a="1"/>
  <c r="L906" i="1" s="1"/>
  <c r="V905" i="1" a="1"/>
  <c r="V905" i="1" s="1"/>
  <c r="U905" i="1" a="1"/>
  <c r="U905" i="1"/>
  <c r="T905" i="1"/>
  <c r="Q905" i="1" a="1"/>
  <c r="Q905" i="1" s="1"/>
  <c r="R905" i="1" s="1"/>
  <c r="S905" i="1" s="1"/>
  <c r="P905" i="1"/>
  <c r="O905" i="1"/>
  <c r="N905" i="1" a="1"/>
  <c r="N905" i="1"/>
  <c r="M905" i="1" a="1"/>
  <c r="M905" i="1"/>
  <c r="L905" i="1" a="1"/>
  <c r="L905" i="1" s="1"/>
  <c r="V904" i="1" a="1"/>
  <c r="V904" i="1"/>
  <c r="U904" i="1" a="1"/>
  <c r="U904" i="1"/>
  <c r="T904" i="1"/>
  <c r="S904" i="1"/>
  <c r="Q904" i="1" a="1"/>
  <c r="Q904" i="1" s="1"/>
  <c r="R904" i="1" s="1"/>
  <c r="P904" i="1"/>
  <c r="O904" i="1"/>
  <c r="N904" i="1" a="1"/>
  <c r="N904" i="1"/>
  <c r="M904" i="1" a="1"/>
  <c r="M904" i="1"/>
  <c r="L904" i="1" a="1"/>
  <c r="L904" i="1"/>
  <c r="V903" i="1" a="1"/>
  <c r="V903" i="1" s="1"/>
  <c r="U903" i="1" a="1"/>
  <c r="U903" i="1" s="1"/>
  <c r="T903" i="1"/>
  <c r="S903" i="1"/>
  <c r="Q903" i="1" a="1"/>
  <c r="Q903" i="1"/>
  <c r="R903" i="1" s="1"/>
  <c r="P903" i="1"/>
  <c r="O903" i="1"/>
  <c r="N903" i="1" a="1"/>
  <c r="N903" i="1"/>
  <c r="M903" i="1" a="1"/>
  <c r="M903" i="1"/>
  <c r="L903" i="1" a="1"/>
  <c r="L903" i="1"/>
  <c r="V902" i="1" a="1"/>
  <c r="V902" i="1" s="1"/>
  <c r="U902" i="1" a="1"/>
  <c r="U902" i="1"/>
  <c r="T902" i="1"/>
  <c r="Q902" i="1" a="1"/>
  <c r="Q902" i="1"/>
  <c r="R902" i="1" s="1"/>
  <c r="S902" i="1" s="1"/>
  <c r="P902" i="1"/>
  <c r="O902" i="1"/>
  <c r="N902" i="1" a="1"/>
  <c r="N902" i="1"/>
  <c r="M902" i="1" a="1"/>
  <c r="M902" i="1"/>
  <c r="L902" i="1" a="1"/>
  <c r="L902" i="1"/>
  <c r="V901" i="1" a="1"/>
  <c r="V901" i="1" s="1"/>
  <c r="U901" i="1" a="1"/>
  <c r="U901" i="1" s="1"/>
  <c r="T901" i="1"/>
  <c r="Q901" i="1" a="1"/>
  <c r="Q901" i="1" s="1"/>
  <c r="R901" i="1" s="1"/>
  <c r="S901" i="1" s="1"/>
  <c r="P901" i="1"/>
  <c r="O901" i="1"/>
  <c r="N901" i="1" a="1"/>
  <c r="N901" i="1"/>
  <c r="M901" i="1" a="1"/>
  <c r="M901" i="1"/>
  <c r="L901" i="1" a="1"/>
  <c r="L901" i="1" s="1"/>
  <c r="V900" i="1" a="1"/>
  <c r="V900" i="1"/>
  <c r="U900" i="1" a="1"/>
  <c r="U900" i="1" s="1"/>
  <c r="T900" i="1"/>
  <c r="Q900" i="1" a="1"/>
  <c r="Q900" i="1"/>
  <c r="R900" i="1" s="1"/>
  <c r="S900" i="1" s="1"/>
  <c r="P900" i="1"/>
  <c r="O900" i="1"/>
  <c r="N900" i="1" a="1"/>
  <c r="N900" i="1" s="1"/>
  <c r="M900" i="1" a="1"/>
  <c r="M900" i="1"/>
  <c r="L900" i="1" a="1"/>
  <c r="L900" i="1"/>
  <c r="V899" i="1" a="1"/>
  <c r="V899" i="1"/>
  <c r="U899" i="1" a="1"/>
  <c r="U899" i="1"/>
  <c r="T899" i="1"/>
  <c r="R899" i="1"/>
  <c r="S899" i="1" s="1"/>
  <c r="Q899" i="1" a="1"/>
  <c r="Q899" i="1"/>
  <c r="P899" i="1"/>
  <c r="O899" i="1"/>
  <c r="N899" i="1" a="1"/>
  <c r="N899" i="1"/>
  <c r="M899" i="1" a="1"/>
  <c r="M899" i="1" s="1"/>
  <c r="L899" i="1" a="1"/>
  <c r="L899" i="1"/>
  <c r="V898" i="1" a="1"/>
  <c r="V898" i="1"/>
  <c r="U898" i="1" a="1"/>
  <c r="U898" i="1" s="1"/>
  <c r="T898" i="1"/>
  <c r="Q898" i="1" a="1"/>
  <c r="Q898" i="1"/>
  <c r="R898" i="1" s="1"/>
  <c r="S898" i="1" s="1"/>
  <c r="P898" i="1"/>
  <c r="O898" i="1"/>
  <c r="N898" i="1" a="1"/>
  <c r="N898" i="1" s="1"/>
  <c r="M898" i="1" a="1"/>
  <c r="M898" i="1"/>
  <c r="L898" i="1" a="1"/>
  <c r="L898" i="1"/>
  <c r="V897" i="1" a="1"/>
  <c r="V897" i="1"/>
  <c r="U897" i="1" a="1"/>
  <c r="U897" i="1" s="1"/>
  <c r="T897" i="1"/>
  <c r="R897" i="1"/>
  <c r="S897" i="1" s="1"/>
  <c r="Q897" i="1" a="1"/>
  <c r="Q897" i="1"/>
  <c r="P897" i="1"/>
  <c r="O897" i="1"/>
  <c r="N897" i="1" a="1"/>
  <c r="N897" i="1" s="1"/>
  <c r="M897" i="1" a="1"/>
  <c r="M897" i="1"/>
  <c r="L897" i="1" a="1"/>
  <c r="L897" i="1" s="1"/>
  <c r="V896" i="1" a="1"/>
  <c r="V896" i="1" s="1"/>
  <c r="U896" i="1" a="1"/>
  <c r="U896" i="1" s="1"/>
  <c r="T896" i="1"/>
  <c r="R896" i="1"/>
  <c r="S896" i="1" s="1"/>
  <c r="Q896" i="1" a="1"/>
  <c r="Q896" i="1"/>
  <c r="P896" i="1"/>
  <c r="O896" i="1"/>
  <c r="N896" i="1" a="1"/>
  <c r="N896" i="1" s="1"/>
  <c r="M896" i="1" a="1"/>
  <c r="M896" i="1"/>
  <c r="L896" i="1" a="1"/>
  <c r="L896" i="1" s="1"/>
  <c r="V895" i="1" a="1"/>
  <c r="V895" i="1"/>
  <c r="U895" i="1" a="1"/>
  <c r="U895" i="1"/>
  <c r="T895" i="1"/>
  <c r="Q895" i="1" a="1"/>
  <c r="Q895" i="1"/>
  <c r="R895" i="1" s="1"/>
  <c r="S895" i="1" s="1"/>
  <c r="P895" i="1"/>
  <c r="O895" i="1"/>
  <c r="N895" i="1" a="1"/>
  <c r="N895" i="1" s="1"/>
  <c r="M895" i="1" a="1"/>
  <c r="M895" i="1" s="1"/>
  <c r="L895" i="1" a="1"/>
  <c r="L895" i="1"/>
  <c r="V894" i="1" a="1"/>
  <c r="V894" i="1"/>
  <c r="U894" i="1" a="1"/>
  <c r="U894" i="1"/>
  <c r="T894" i="1"/>
  <c r="S894" i="1"/>
  <c r="R894" i="1"/>
  <c r="Q894" i="1" a="1"/>
  <c r="Q894" i="1"/>
  <c r="P894" i="1"/>
  <c r="O894" i="1"/>
  <c r="N894" i="1" a="1"/>
  <c r="N894" i="1"/>
  <c r="M894" i="1" a="1"/>
  <c r="M894" i="1" s="1"/>
  <c r="L894" i="1" a="1"/>
  <c r="L894" i="1"/>
  <c r="V893" i="1" a="1"/>
  <c r="V893" i="1"/>
  <c r="U893" i="1" a="1"/>
  <c r="U893" i="1"/>
  <c r="T893" i="1"/>
  <c r="Q893" i="1" a="1"/>
  <c r="Q893" i="1"/>
  <c r="R893" i="1" s="1"/>
  <c r="S893" i="1" s="1"/>
  <c r="P893" i="1"/>
  <c r="O893" i="1"/>
  <c r="N893" i="1" a="1"/>
  <c r="N893" i="1"/>
  <c r="M893" i="1" a="1"/>
  <c r="M893" i="1" s="1"/>
  <c r="L893" i="1" a="1"/>
  <c r="L893" i="1" s="1"/>
  <c r="V892" i="1" a="1"/>
  <c r="V892" i="1"/>
  <c r="U892" i="1" a="1"/>
  <c r="U892" i="1"/>
  <c r="T892" i="1"/>
  <c r="Q892" i="1" a="1"/>
  <c r="Q892" i="1"/>
  <c r="R892" i="1" s="1"/>
  <c r="S892" i="1" s="1"/>
  <c r="P892" i="1"/>
  <c r="O892" i="1"/>
  <c r="N892" i="1" a="1"/>
  <c r="N892" i="1"/>
  <c r="M892" i="1" a="1"/>
  <c r="M892" i="1"/>
  <c r="L892" i="1" a="1"/>
  <c r="L892" i="1" s="1"/>
  <c r="V891" i="1" a="1"/>
  <c r="V891" i="1"/>
  <c r="U891" i="1" a="1"/>
  <c r="U891" i="1"/>
  <c r="T891" i="1"/>
  <c r="Q891" i="1" a="1"/>
  <c r="Q891" i="1"/>
  <c r="R891" i="1" s="1"/>
  <c r="S891" i="1" s="1"/>
  <c r="P891" i="1"/>
  <c r="O891" i="1"/>
  <c r="N891" i="1" a="1"/>
  <c r="N891" i="1" s="1"/>
  <c r="M891" i="1" a="1"/>
  <c r="M891" i="1"/>
  <c r="L891" i="1" a="1"/>
  <c r="L891" i="1" s="1"/>
  <c r="V890" i="1" a="1"/>
  <c r="V890" i="1" s="1"/>
  <c r="U890" i="1" a="1"/>
  <c r="U890" i="1"/>
  <c r="T890" i="1"/>
  <c r="S890" i="1"/>
  <c r="Q890" i="1" a="1"/>
  <c r="Q890" i="1"/>
  <c r="R890" i="1" s="1"/>
  <c r="P890" i="1"/>
  <c r="O890" i="1"/>
  <c r="N890" i="1" a="1"/>
  <c r="N890" i="1"/>
  <c r="M890" i="1" a="1"/>
  <c r="M890" i="1"/>
  <c r="L890" i="1" a="1"/>
  <c r="L890" i="1"/>
  <c r="V889" i="1" a="1"/>
  <c r="V889" i="1" s="1"/>
  <c r="U889" i="1" a="1"/>
  <c r="U889" i="1"/>
  <c r="T889" i="1"/>
  <c r="Q889" i="1" a="1"/>
  <c r="Q889" i="1" s="1"/>
  <c r="R889" i="1" s="1"/>
  <c r="S889" i="1" s="1"/>
  <c r="P889" i="1"/>
  <c r="O889" i="1"/>
  <c r="N889" i="1" a="1"/>
  <c r="N889" i="1" s="1"/>
  <c r="M889" i="1" a="1"/>
  <c r="M889" i="1"/>
  <c r="L889" i="1" a="1"/>
  <c r="L889" i="1"/>
  <c r="V888" i="1" a="1"/>
  <c r="V888" i="1" s="1"/>
  <c r="U888" i="1" a="1"/>
  <c r="U888" i="1" s="1"/>
  <c r="T888" i="1"/>
  <c r="S888" i="1"/>
  <c r="Q888" i="1" a="1"/>
  <c r="Q888" i="1"/>
  <c r="R888" i="1" s="1"/>
  <c r="P888" i="1"/>
  <c r="O888" i="1"/>
  <c r="N888" i="1" a="1"/>
  <c r="N888" i="1" s="1"/>
  <c r="M888" i="1" a="1"/>
  <c r="M888" i="1"/>
  <c r="L888" i="1" a="1"/>
  <c r="L888" i="1"/>
  <c r="V887" i="1" a="1"/>
  <c r="V887" i="1" s="1"/>
  <c r="U887" i="1" a="1"/>
  <c r="U887" i="1"/>
  <c r="T887" i="1"/>
  <c r="R887" i="1"/>
  <c r="S887" i="1" s="1"/>
  <c r="Q887" i="1" a="1"/>
  <c r="Q887" i="1" s="1"/>
  <c r="P887" i="1"/>
  <c r="O887" i="1"/>
  <c r="N887" i="1" a="1"/>
  <c r="N887" i="1"/>
  <c r="M887" i="1" a="1"/>
  <c r="M887" i="1" s="1"/>
  <c r="L887" i="1" a="1"/>
  <c r="L887" i="1" s="1"/>
  <c r="V886" i="1" a="1"/>
  <c r="V886" i="1" s="1"/>
  <c r="U886" i="1" a="1"/>
  <c r="U886" i="1" s="1"/>
  <c r="T886" i="1"/>
  <c r="Q886" i="1" a="1"/>
  <c r="Q886" i="1"/>
  <c r="R886" i="1" s="1"/>
  <c r="S886" i="1" s="1"/>
  <c r="P886" i="1"/>
  <c r="O886" i="1"/>
  <c r="N886" i="1" a="1"/>
  <c r="N886" i="1" s="1"/>
  <c r="M886" i="1" a="1"/>
  <c r="M886" i="1" s="1"/>
  <c r="L886" i="1" a="1"/>
  <c r="L886" i="1"/>
  <c r="V885" i="1" a="1"/>
  <c r="V885" i="1"/>
  <c r="U885" i="1" a="1"/>
  <c r="U885" i="1" s="1"/>
  <c r="T885" i="1"/>
  <c r="R885" i="1"/>
  <c r="S885" i="1" s="1"/>
  <c r="Q885" i="1" a="1"/>
  <c r="Q885" i="1"/>
  <c r="P885" i="1"/>
  <c r="O885" i="1"/>
  <c r="N885" i="1" a="1"/>
  <c r="N885" i="1" s="1"/>
  <c r="M885" i="1" a="1"/>
  <c r="M885" i="1"/>
  <c r="L885" i="1" a="1"/>
  <c r="L885" i="1" s="1"/>
  <c r="V884" i="1" a="1"/>
  <c r="V884" i="1"/>
  <c r="U884" i="1" a="1"/>
  <c r="U884" i="1" s="1"/>
  <c r="T884" i="1"/>
  <c r="R884" i="1"/>
  <c r="S884" i="1" s="1"/>
  <c r="Q884" i="1" a="1"/>
  <c r="Q884" i="1"/>
  <c r="P884" i="1"/>
  <c r="O884" i="1"/>
  <c r="N884" i="1" a="1"/>
  <c r="N884" i="1"/>
  <c r="M884" i="1" a="1"/>
  <c r="M884" i="1"/>
  <c r="L884" i="1" a="1"/>
  <c r="L884" i="1" s="1"/>
  <c r="V883" i="1" a="1"/>
  <c r="V883" i="1"/>
  <c r="U883" i="1" a="1"/>
  <c r="U883" i="1"/>
  <c r="T883" i="1"/>
  <c r="R883" i="1"/>
  <c r="S883" i="1" s="1"/>
  <c r="Q883" i="1" a="1"/>
  <c r="Q883" i="1" s="1"/>
  <c r="P883" i="1"/>
  <c r="O883" i="1"/>
  <c r="N883" i="1" a="1"/>
  <c r="N883" i="1" s="1"/>
  <c r="M883" i="1" a="1"/>
  <c r="M883" i="1" s="1"/>
  <c r="L883" i="1" a="1"/>
  <c r="L883" i="1"/>
  <c r="V882" i="1" a="1"/>
  <c r="V882" i="1" s="1"/>
  <c r="U882" i="1" a="1"/>
  <c r="U882" i="1"/>
  <c r="T882" i="1"/>
  <c r="Q882" i="1" a="1"/>
  <c r="Q882" i="1" s="1"/>
  <c r="R882" i="1" s="1"/>
  <c r="S882" i="1" s="1"/>
  <c r="P882" i="1"/>
  <c r="O882" i="1"/>
  <c r="N882" i="1" a="1"/>
  <c r="N882" i="1"/>
  <c r="M882" i="1" a="1"/>
  <c r="M882" i="1" s="1"/>
  <c r="L882" i="1" a="1"/>
  <c r="L882" i="1"/>
  <c r="V881" i="1" a="1"/>
  <c r="V881" i="1"/>
  <c r="U881" i="1" a="1"/>
  <c r="U881" i="1" s="1"/>
  <c r="T881" i="1"/>
  <c r="Q881" i="1" a="1"/>
  <c r="Q881" i="1" s="1"/>
  <c r="R881" i="1" s="1"/>
  <c r="S881" i="1" s="1"/>
  <c r="P881" i="1"/>
  <c r="O881" i="1"/>
  <c r="N881" i="1" a="1"/>
  <c r="N881" i="1"/>
  <c r="M881" i="1" a="1"/>
  <c r="M881" i="1"/>
  <c r="L881" i="1" a="1"/>
  <c r="L881" i="1" s="1"/>
  <c r="V880" i="1" a="1"/>
  <c r="V880" i="1"/>
  <c r="U880" i="1" a="1"/>
  <c r="U880" i="1"/>
  <c r="T880" i="1"/>
  <c r="S880" i="1"/>
  <c r="Q880" i="1" a="1"/>
  <c r="Q880" i="1"/>
  <c r="R880" i="1" s="1"/>
  <c r="P880" i="1"/>
  <c r="O880" i="1"/>
  <c r="N880" i="1" a="1"/>
  <c r="N880" i="1"/>
  <c r="M880" i="1" a="1"/>
  <c r="M880" i="1" s="1"/>
  <c r="L880" i="1" a="1"/>
  <c r="L880" i="1"/>
  <c r="V879" i="1" a="1"/>
  <c r="V879" i="1" s="1"/>
  <c r="U879" i="1" a="1"/>
  <c r="U879" i="1"/>
  <c r="T879" i="1"/>
  <c r="S879" i="1"/>
  <c r="Q879" i="1" a="1"/>
  <c r="Q879" i="1"/>
  <c r="R879" i="1" s="1"/>
  <c r="P879" i="1"/>
  <c r="O879" i="1"/>
  <c r="N879" i="1" a="1"/>
  <c r="N879" i="1"/>
  <c r="M879" i="1" a="1"/>
  <c r="M879" i="1" s="1"/>
  <c r="L879" i="1" a="1"/>
  <c r="L879" i="1"/>
  <c r="V878" i="1" a="1"/>
  <c r="V878" i="1" s="1"/>
  <c r="U878" i="1" a="1"/>
  <c r="U878" i="1"/>
  <c r="T878" i="1"/>
  <c r="Q878" i="1" a="1"/>
  <c r="Q878" i="1" s="1"/>
  <c r="R878" i="1" s="1"/>
  <c r="S878" i="1" s="1"/>
  <c r="P878" i="1"/>
  <c r="O878" i="1"/>
  <c r="N878" i="1" a="1"/>
  <c r="N878" i="1"/>
  <c r="M878" i="1" a="1"/>
  <c r="M878" i="1"/>
  <c r="L878" i="1" a="1"/>
  <c r="L878" i="1" s="1"/>
  <c r="V877" i="1" a="1"/>
  <c r="V877" i="1" s="1"/>
  <c r="U877" i="1" a="1"/>
  <c r="U877" i="1"/>
  <c r="T877" i="1"/>
  <c r="Q877" i="1" a="1"/>
  <c r="Q877" i="1" s="1"/>
  <c r="R877" i="1" s="1"/>
  <c r="S877" i="1" s="1"/>
  <c r="P877" i="1"/>
  <c r="O877" i="1"/>
  <c r="N877" i="1" a="1"/>
  <c r="N877" i="1"/>
  <c r="M877" i="1" a="1"/>
  <c r="M877" i="1"/>
  <c r="L877" i="1" a="1"/>
  <c r="L877" i="1" s="1"/>
  <c r="V876" i="1" a="1"/>
  <c r="V876" i="1"/>
  <c r="U876" i="1" a="1"/>
  <c r="U876" i="1" s="1"/>
  <c r="T876" i="1"/>
  <c r="Q876" i="1" a="1"/>
  <c r="Q876" i="1" s="1"/>
  <c r="R876" i="1" s="1"/>
  <c r="S876" i="1" s="1"/>
  <c r="P876" i="1"/>
  <c r="O876" i="1"/>
  <c r="N876" i="1" a="1"/>
  <c r="N876" i="1" s="1"/>
  <c r="M876" i="1" a="1"/>
  <c r="M876" i="1" s="1"/>
  <c r="L876" i="1" a="1"/>
  <c r="L876" i="1"/>
  <c r="V875" i="1" a="1"/>
  <c r="V875" i="1" s="1"/>
  <c r="U875" i="1" a="1"/>
  <c r="U875" i="1" s="1"/>
  <c r="T875" i="1"/>
  <c r="R875" i="1"/>
  <c r="S875" i="1" s="1"/>
  <c r="Q875" i="1" a="1"/>
  <c r="Q875" i="1"/>
  <c r="P875" i="1"/>
  <c r="O875" i="1"/>
  <c r="N875" i="1" a="1"/>
  <c r="N875" i="1" s="1"/>
  <c r="M875" i="1" a="1"/>
  <c r="M875" i="1"/>
  <c r="L875" i="1" a="1"/>
  <c r="L875" i="1"/>
  <c r="V874" i="1" a="1"/>
  <c r="V874" i="1" s="1"/>
  <c r="U874" i="1" a="1"/>
  <c r="U874" i="1"/>
  <c r="T874" i="1"/>
  <c r="Q874" i="1" a="1"/>
  <c r="Q874" i="1" s="1"/>
  <c r="R874" i="1" s="1"/>
  <c r="S874" i="1" s="1"/>
  <c r="P874" i="1"/>
  <c r="O874" i="1"/>
  <c r="N874" i="1" a="1"/>
  <c r="N874" i="1" s="1"/>
  <c r="M874" i="1" a="1"/>
  <c r="M874" i="1" s="1"/>
  <c r="L874" i="1" a="1"/>
  <c r="L874" i="1" s="1"/>
  <c r="V873" i="1" a="1"/>
  <c r="V873" i="1"/>
  <c r="U873" i="1" a="1"/>
  <c r="U873" i="1" s="1"/>
  <c r="T873" i="1"/>
  <c r="Q873" i="1" a="1"/>
  <c r="Q873" i="1"/>
  <c r="R873" i="1" s="1"/>
  <c r="S873" i="1" s="1"/>
  <c r="P873" i="1"/>
  <c r="O873" i="1"/>
  <c r="N873" i="1" a="1"/>
  <c r="N873" i="1" s="1"/>
  <c r="M873" i="1" a="1"/>
  <c r="M873" i="1"/>
  <c r="L873" i="1" a="1"/>
  <c r="L873" i="1"/>
  <c r="V872" i="1" a="1"/>
  <c r="V872" i="1"/>
  <c r="U872" i="1" a="1"/>
  <c r="U872" i="1"/>
  <c r="T872" i="1"/>
  <c r="Q872" i="1" a="1"/>
  <c r="Q872" i="1"/>
  <c r="R872" i="1" s="1"/>
  <c r="S872" i="1" s="1"/>
  <c r="P872" i="1"/>
  <c r="O872" i="1"/>
  <c r="N872" i="1" a="1"/>
  <c r="N872" i="1" s="1"/>
  <c r="M872" i="1" a="1"/>
  <c r="M872" i="1" s="1"/>
  <c r="L872" i="1" a="1"/>
  <c r="L872" i="1" s="1"/>
  <c r="V871" i="1" a="1"/>
  <c r="V871" i="1" s="1"/>
  <c r="U871" i="1" a="1"/>
  <c r="U871" i="1"/>
  <c r="T871" i="1"/>
  <c r="R871" i="1"/>
  <c r="S871" i="1" s="1"/>
  <c r="Q871" i="1" a="1"/>
  <c r="Q871" i="1" s="1"/>
  <c r="P871" i="1"/>
  <c r="O871" i="1"/>
  <c r="N871" i="1" a="1"/>
  <c r="N871" i="1"/>
  <c r="M871" i="1" a="1"/>
  <c r="M871" i="1" s="1"/>
  <c r="L871" i="1" a="1"/>
  <c r="L871" i="1"/>
  <c r="V870" i="1" a="1"/>
  <c r="V870" i="1"/>
  <c r="U870" i="1" a="1"/>
  <c r="U870" i="1"/>
  <c r="T870" i="1"/>
  <c r="Q870" i="1" a="1"/>
  <c r="Q870" i="1" s="1"/>
  <c r="R870" i="1" s="1"/>
  <c r="S870" i="1" s="1"/>
  <c r="P870" i="1"/>
  <c r="O870" i="1"/>
  <c r="N870" i="1" a="1"/>
  <c r="N870" i="1" s="1"/>
  <c r="M870" i="1" a="1"/>
  <c r="M870" i="1"/>
  <c r="L870" i="1" a="1"/>
  <c r="L870" i="1" s="1"/>
  <c r="V869" i="1" a="1"/>
  <c r="V869" i="1" s="1"/>
  <c r="U869" i="1" a="1"/>
  <c r="U869" i="1" s="1"/>
  <c r="T869" i="1"/>
  <c r="R869" i="1"/>
  <c r="S869" i="1" s="1"/>
  <c r="Q869" i="1" a="1"/>
  <c r="Q869" i="1"/>
  <c r="P869" i="1"/>
  <c r="O869" i="1"/>
  <c r="N869" i="1" a="1"/>
  <c r="N869" i="1" s="1"/>
  <c r="M869" i="1" a="1"/>
  <c r="M869" i="1"/>
  <c r="L869" i="1" a="1"/>
  <c r="L869" i="1" s="1"/>
  <c r="V868" i="1" a="1"/>
  <c r="V868" i="1" s="1"/>
  <c r="U868" i="1" a="1"/>
  <c r="U868" i="1"/>
  <c r="T868" i="1"/>
  <c r="R868" i="1"/>
  <c r="S868" i="1" s="1"/>
  <c r="Q868" i="1" a="1"/>
  <c r="Q868" i="1" s="1"/>
  <c r="P868" i="1"/>
  <c r="O868" i="1"/>
  <c r="N868" i="1" a="1"/>
  <c r="N868" i="1"/>
  <c r="M868" i="1" a="1"/>
  <c r="M868" i="1" s="1"/>
  <c r="L868" i="1" a="1"/>
  <c r="L868" i="1"/>
  <c r="V867" i="1" a="1"/>
  <c r="V867" i="1" s="1"/>
  <c r="U867" i="1" a="1"/>
  <c r="U867" i="1" s="1"/>
  <c r="T867" i="1"/>
  <c r="Q867" i="1" a="1"/>
  <c r="Q867" i="1"/>
  <c r="R867" i="1" s="1"/>
  <c r="S867" i="1" s="1"/>
  <c r="P867" i="1"/>
  <c r="O867" i="1"/>
  <c r="N867" i="1" a="1"/>
  <c r="N867" i="1" s="1"/>
  <c r="M867" i="1" a="1"/>
  <c r="M867" i="1"/>
  <c r="L867" i="1" a="1"/>
  <c r="L867" i="1"/>
  <c r="V866" i="1" a="1"/>
  <c r="V866" i="1" s="1"/>
  <c r="U866" i="1" a="1"/>
  <c r="U866" i="1"/>
  <c r="T866" i="1"/>
  <c r="Q866" i="1" a="1"/>
  <c r="Q866" i="1" s="1"/>
  <c r="R866" i="1" s="1"/>
  <c r="S866" i="1" s="1"/>
  <c r="P866" i="1"/>
  <c r="O866" i="1"/>
  <c r="N866" i="1" a="1"/>
  <c r="N866" i="1"/>
  <c r="M866" i="1" a="1"/>
  <c r="M866" i="1"/>
  <c r="L866" i="1" a="1"/>
  <c r="L866" i="1" s="1"/>
  <c r="V865" i="1" a="1"/>
  <c r="V865" i="1" s="1"/>
  <c r="U865" i="1" a="1"/>
  <c r="U865" i="1"/>
  <c r="T865" i="1"/>
  <c r="Q865" i="1" a="1"/>
  <c r="Q865" i="1" s="1"/>
  <c r="R865" i="1" s="1"/>
  <c r="S865" i="1" s="1"/>
  <c r="P865" i="1"/>
  <c r="O865" i="1"/>
  <c r="N865" i="1" a="1"/>
  <c r="N865" i="1"/>
  <c r="M865" i="1" a="1"/>
  <c r="M865" i="1"/>
  <c r="L865" i="1" a="1"/>
  <c r="L865" i="1" s="1"/>
  <c r="V864" i="1" a="1"/>
  <c r="V864" i="1"/>
  <c r="U864" i="1" a="1"/>
  <c r="U864" i="1" s="1"/>
  <c r="T864" i="1"/>
  <c r="Q864" i="1" a="1"/>
  <c r="Q864" i="1" s="1"/>
  <c r="R864" i="1" s="1"/>
  <c r="S864" i="1" s="1"/>
  <c r="P864" i="1"/>
  <c r="O864" i="1"/>
  <c r="N864" i="1" a="1"/>
  <c r="N864" i="1" s="1"/>
  <c r="M864" i="1" a="1"/>
  <c r="M864" i="1" s="1"/>
  <c r="L864" i="1" a="1"/>
  <c r="L864" i="1"/>
  <c r="V863" i="1" a="1"/>
  <c r="V863" i="1" s="1"/>
  <c r="U863" i="1" a="1"/>
  <c r="U863" i="1" s="1"/>
  <c r="T863" i="1"/>
  <c r="R863" i="1"/>
  <c r="S863" i="1" s="1"/>
  <c r="Q863" i="1" a="1"/>
  <c r="Q863" i="1"/>
  <c r="P863" i="1"/>
  <c r="O863" i="1"/>
  <c r="N863" i="1" a="1"/>
  <c r="N863" i="1" s="1"/>
  <c r="M863" i="1" a="1"/>
  <c r="M863" i="1"/>
  <c r="L863" i="1" a="1"/>
  <c r="L863" i="1"/>
  <c r="V862" i="1" a="1"/>
  <c r="V862" i="1" s="1"/>
  <c r="U862" i="1" a="1"/>
  <c r="U862" i="1"/>
  <c r="T862" i="1"/>
  <c r="Q862" i="1" a="1"/>
  <c r="Q862" i="1" s="1"/>
  <c r="R862" i="1" s="1"/>
  <c r="S862" i="1" s="1"/>
  <c r="P862" i="1"/>
  <c r="O862" i="1"/>
  <c r="N862" i="1" a="1"/>
  <c r="N862" i="1" s="1"/>
  <c r="M862" i="1" a="1"/>
  <c r="M862" i="1" s="1"/>
  <c r="L862" i="1" a="1"/>
  <c r="L862" i="1"/>
  <c r="V861" i="1" a="1"/>
  <c r="V861" i="1"/>
  <c r="U861" i="1" a="1"/>
  <c r="U861" i="1" s="1"/>
  <c r="T861" i="1"/>
  <c r="Q861" i="1" a="1"/>
  <c r="Q861" i="1"/>
  <c r="R861" i="1" s="1"/>
  <c r="S861" i="1" s="1"/>
  <c r="P861" i="1"/>
  <c r="O861" i="1"/>
  <c r="N861" i="1" a="1"/>
  <c r="N861" i="1" s="1"/>
  <c r="M861" i="1" a="1"/>
  <c r="M861" i="1"/>
  <c r="L861" i="1" a="1"/>
  <c r="L861" i="1"/>
  <c r="V860" i="1" a="1"/>
  <c r="V860" i="1"/>
  <c r="U860" i="1" a="1"/>
  <c r="U860" i="1"/>
  <c r="T860" i="1"/>
  <c r="R860" i="1"/>
  <c r="S860" i="1" s="1"/>
  <c r="Q860" i="1" a="1"/>
  <c r="Q860" i="1"/>
  <c r="P860" i="1"/>
  <c r="O860" i="1"/>
  <c r="N860" i="1" a="1"/>
  <c r="N860" i="1" s="1"/>
  <c r="M860" i="1" a="1"/>
  <c r="M860" i="1" s="1"/>
  <c r="L860" i="1" a="1"/>
  <c r="L860" i="1" s="1"/>
  <c r="V859" i="1" a="1"/>
  <c r="V859" i="1" s="1"/>
  <c r="U859" i="1" a="1"/>
  <c r="U859" i="1"/>
  <c r="T859" i="1"/>
  <c r="R859" i="1"/>
  <c r="S859" i="1" s="1"/>
  <c r="Q859" i="1" a="1"/>
  <c r="Q859" i="1" s="1"/>
  <c r="P859" i="1"/>
  <c r="O859" i="1"/>
  <c r="N859" i="1" a="1"/>
  <c r="N859" i="1"/>
  <c r="M859" i="1" a="1"/>
  <c r="M859" i="1" s="1"/>
  <c r="L859" i="1" a="1"/>
  <c r="L859" i="1"/>
  <c r="V858" i="1" a="1"/>
  <c r="V858" i="1"/>
  <c r="U858" i="1" a="1"/>
  <c r="U858" i="1"/>
  <c r="T858" i="1"/>
  <c r="Q858" i="1" a="1"/>
  <c r="Q858" i="1" s="1"/>
  <c r="R858" i="1" s="1"/>
  <c r="S858" i="1" s="1"/>
  <c r="P858" i="1"/>
  <c r="O858" i="1"/>
  <c r="N858" i="1" a="1"/>
  <c r="N858" i="1" s="1"/>
  <c r="M858" i="1" a="1"/>
  <c r="M858" i="1" s="1"/>
  <c r="L858" i="1" a="1"/>
  <c r="L858" i="1" s="1"/>
  <c r="V857" i="1" a="1"/>
  <c r="V857" i="1" s="1"/>
  <c r="U857" i="1" a="1"/>
  <c r="U857" i="1" s="1"/>
  <c r="T857" i="1"/>
  <c r="R857" i="1"/>
  <c r="S857" i="1" s="1"/>
  <c r="Q857" i="1" a="1"/>
  <c r="Q857" i="1"/>
  <c r="P857" i="1"/>
  <c r="O857" i="1"/>
  <c r="N857" i="1" a="1"/>
  <c r="N857" i="1" s="1"/>
  <c r="M857" i="1" a="1"/>
  <c r="M857" i="1"/>
  <c r="L857" i="1" a="1"/>
  <c r="L857" i="1" s="1"/>
  <c r="V856" i="1" a="1"/>
  <c r="V856" i="1" s="1"/>
  <c r="U856" i="1" a="1"/>
  <c r="U856" i="1"/>
  <c r="T856" i="1"/>
  <c r="Q856" i="1" a="1"/>
  <c r="Q856" i="1" s="1"/>
  <c r="R856" i="1" s="1"/>
  <c r="S856" i="1" s="1"/>
  <c r="P856" i="1"/>
  <c r="O856" i="1"/>
  <c r="N856" i="1" a="1"/>
  <c r="N856" i="1"/>
  <c r="M856" i="1" a="1"/>
  <c r="M856" i="1" s="1"/>
  <c r="L856" i="1" a="1"/>
  <c r="L856" i="1"/>
  <c r="V855" i="1" a="1"/>
  <c r="V855" i="1" s="1"/>
  <c r="U855" i="1" a="1"/>
  <c r="U855" i="1" s="1"/>
  <c r="T855" i="1"/>
  <c r="Q855" i="1" a="1"/>
  <c r="Q855" i="1"/>
  <c r="R855" i="1" s="1"/>
  <c r="S855" i="1" s="1"/>
  <c r="P855" i="1"/>
  <c r="O855" i="1"/>
  <c r="N855" i="1" a="1"/>
  <c r="N855" i="1" s="1"/>
  <c r="M855" i="1" a="1"/>
  <c r="M855" i="1"/>
  <c r="L855" i="1" a="1"/>
  <c r="L855" i="1"/>
  <c r="V854" i="1" a="1"/>
  <c r="V854" i="1" s="1"/>
  <c r="U854" i="1" a="1"/>
  <c r="U854" i="1"/>
  <c r="T854" i="1"/>
  <c r="Q854" i="1" a="1"/>
  <c r="Q854" i="1" s="1"/>
  <c r="R854" i="1" s="1"/>
  <c r="S854" i="1" s="1"/>
  <c r="P854" i="1"/>
  <c r="O854" i="1"/>
  <c r="N854" i="1" a="1"/>
  <c r="N854" i="1"/>
  <c r="M854" i="1" a="1"/>
  <c r="M854" i="1"/>
  <c r="L854" i="1" a="1"/>
  <c r="L854" i="1" s="1"/>
  <c r="V853" i="1" a="1"/>
  <c r="V853" i="1" s="1"/>
  <c r="U853" i="1" a="1"/>
  <c r="U853" i="1"/>
  <c r="T853" i="1"/>
  <c r="Q853" i="1" a="1"/>
  <c r="Q853" i="1" s="1"/>
  <c r="R853" i="1" s="1"/>
  <c r="S853" i="1" s="1"/>
  <c r="P853" i="1"/>
  <c r="O853" i="1"/>
  <c r="N853" i="1" a="1"/>
  <c r="N853" i="1"/>
  <c r="M853" i="1" a="1"/>
  <c r="M853" i="1"/>
  <c r="L853" i="1" a="1"/>
  <c r="L853" i="1" s="1"/>
  <c r="V852" i="1" a="1"/>
  <c r="V852" i="1"/>
  <c r="U852" i="1" a="1"/>
  <c r="U852" i="1" s="1"/>
  <c r="T852" i="1"/>
  <c r="Q852" i="1" a="1"/>
  <c r="Q852" i="1" s="1"/>
  <c r="R852" i="1" s="1"/>
  <c r="S852" i="1" s="1"/>
  <c r="P852" i="1"/>
  <c r="O852" i="1"/>
  <c r="N852" i="1" a="1"/>
  <c r="N852" i="1" s="1"/>
  <c r="M852" i="1" a="1"/>
  <c r="M852" i="1" s="1"/>
  <c r="L852" i="1" a="1"/>
  <c r="L852" i="1"/>
  <c r="V851" i="1" a="1"/>
  <c r="V851" i="1" s="1"/>
  <c r="U851" i="1" a="1"/>
  <c r="U851" i="1" s="1"/>
  <c r="T851" i="1"/>
  <c r="Q851" i="1" a="1"/>
  <c r="Q851" i="1"/>
  <c r="R851" i="1" s="1"/>
  <c r="S851" i="1" s="1"/>
  <c r="P851" i="1"/>
  <c r="O851" i="1"/>
  <c r="N851" i="1" a="1"/>
  <c r="N851" i="1" s="1"/>
  <c r="M851" i="1" a="1"/>
  <c r="M851" i="1"/>
  <c r="L851" i="1" a="1"/>
  <c r="L851" i="1"/>
  <c r="V850" i="1" a="1"/>
  <c r="V850" i="1"/>
  <c r="U850" i="1" a="1"/>
  <c r="U850" i="1"/>
  <c r="T850" i="1"/>
  <c r="Q850" i="1" a="1"/>
  <c r="Q850" i="1" s="1"/>
  <c r="R850" i="1" s="1"/>
  <c r="S850" i="1" s="1"/>
  <c r="P850" i="1"/>
  <c r="O850" i="1"/>
  <c r="N850" i="1" a="1"/>
  <c r="N850" i="1" s="1"/>
  <c r="M850" i="1" a="1"/>
  <c r="M850" i="1" s="1"/>
  <c r="L850" i="1" a="1"/>
  <c r="L850" i="1" s="1"/>
  <c r="V849" i="1" a="1"/>
  <c r="V849" i="1"/>
  <c r="U849" i="1" a="1"/>
  <c r="U849" i="1" s="1"/>
  <c r="T849" i="1"/>
  <c r="Q849" i="1" a="1"/>
  <c r="Q849" i="1"/>
  <c r="R849" i="1" s="1"/>
  <c r="S849" i="1" s="1"/>
  <c r="P849" i="1"/>
  <c r="O849" i="1"/>
  <c r="N849" i="1" a="1"/>
  <c r="N849" i="1" s="1"/>
  <c r="M849" i="1" a="1"/>
  <c r="M849" i="1"/>
  <c r="L849" i="1" a="1"/>
  <c r="L849" i="1"/>
  <c r="V848" i="1" a="1"/>
  <c r="V848" i="1"/>
  <c r="U848" i="1" a="1"/>
  <c r="U848" i="1"/>
  <c r="T848" i="1"/>
  <c r="R848" i="1"/>
  <c r="S848" i="1" s="1"/>
  <c r="Q848" i="1" a="1"/>
  <c r="Q848" i="1"/>
  <c r="P848" i="1"/>
  <c r="O848" i="1"/>
  <c r="N848" i="1" a="1"/>
  <c r="N848" i="1" s="1"/>
  <c r="M848" i="1" a="1"/>
  <c r="M848" i="1" s="1"/>
  <c r="L848" i="1" a="1"/>
  <c r="L848" i="1" s="1"/>
  <c r="V847" i="1" a="1"/>
  <c r="V847" i="1" s="1"/>
  <c r="U847" i="1" a="1"/>
  <c r="U847" i="1"/>
  <c r="T847" i="1"/>
  <c r="R847" i="1"/>
  <c r="S847" i="1" s="1"/>
  <c r="Q847" i="1" a="1"/>
  <c r="Q847" i="1" s="1"/>
  <c r="P847" i="1"/>
  <c r="O847" i="1"/>
  <c r="N847" i="1" a="1"/>
  <c r="N847" i="1"/>
  <c r="M847" i="1" a="1"/>
  <c r="M847" i="1" s="1"/>
  <c r="L847" i="1" a="1"/>
  <c r="L847" i="1"/>
  <c r="V846" i="1" a="1"/>
  <c r="V846" i="1"/>
  <c r="U846" i="1" a="1"/>
  <c r="U846" i="1" s="1"/>
  <c r="T846" i="1"/>
  <c r="Q846" i="1" a="1"/>
  <c r="Q846" i="1" s="1"/>
  <c r="R846" i="1" s="1"/>
  <c r="S846" i="1" s="1"/>
  <c r="P846" i="1"/>
  <c r="O846" i="1"/>
  <c r="N846" i="1" a="1"/>
  <c r="N846" i="1" s="1"/>
  <c r="M846" i="1" a="1"/>
  <c r="M846" i="1"/>
  <c r="L846" i="1" a="1"/>
  <c r="L846" i="1" s="1"/>
  <c r="V845" i="1" a="1"/>
  <c r="V845" i="1" s="1"/>
  <c r="U845" i="1" a="1"/>
  <c r="U845" i="1" s="1"/>
  <c r="T845" i="1"/>
  <c r="R845" i="1"/>
  <c r="S845" i="1" s="1"/>
  <c r="Q845" i="1" a="1"/>
  <c r="Q845" i="1"/>
  <c r="P845" i="1"/>
  <c r="O845" i="1"/>
  <c r="N845" i="1" a="1"/>
  <c r="N845" i="1"/>
  <c r="M845" i="1" a="1"/>
  <c r="M845" i="1"/>
  <c r="L845" i="1" a="1"/>
  <c r="L845" i="1" s="1"/>
  <c r="V844" i="1" a="1"/>
  <c r="V844" i="1" s="1"/>
  <c r="U844" i="1" a="1"/>
  <c r="U844" i="1"/>
  <c r="T844" i="1"/>
  <c r="R844" i="1"/>
  <c r="S844" i="1" s="1"/>
  <c r="Q844" i="1" a="1"/>
  <c r="Q844" i="1" s="1"/>
  <c r="P844" i="1"/>
  <c r="O844" i="1"/>
  <c r="N844" i="1" a="1"/>
  <c r="N844" i="1"/>
  <c r="M844" i="1" a="1"/>
  <c r="M844" i="1" s="1"/>
  <c r="L844" i="1" a="1"/>
  <c r="L844" i="1"/>
  <c r="V843" i="1" a="1"/>
  <c r="V843" i="1" s="1"/>
  <c r="U843" i="1" a="1"/>
  <c r="U843" i="1" s="1"/>
  <c r="T843" i="1"/>
  <c r="Q843" i="1" a="1"/>
  <c r="Q843" i="1"/>
  <c r="R843" i="1" s="1"/>
  <c r="S843" i="1" s="1"/>
  <c r="P843" i="1"/>
  <c r="O843" i="1"/>
  <c r="N843" i="1" a="1"/>
  <c r="N843" i="1" s="1"/>
  <c r="M843" i="1" a="1"/>
  <c r="M843" i="1"/>
  <c r="L843" i="1" a="1"/>
  <c r="L843" i="1"/>
  <c r="V842" i="1" a="1"/>
  <c r="V842" i="1" s="1"/>
  <c r="U842" i="1" a="1"/>
  <c r="U842" i="1"/>
  <c r="T842" i="1"/>
  <c r="Q842" i="1" a="1"/>
  <c r="Q842" i="1" s="1"/>
  <c r="R842" i="1" s="1"/>
  <c r="S842" i="1" s="1"/>
  <c r="P842" i="1"/>
  <c r="O842" i="1"/>
  <c r="N842" i="1" a="1"/>
  <c r="N842" i="1"/>
  <c r="M842" i="1" a="1"/>
  <c r="M842" i="1"/>
  <c r="L842" i="1" a="1"/>
  <c r="L842" i="1" s="1"/>
  <c r="V841" i="1" a="1"/>
  <c r="V841" i="1" s="1"/>
  <c r="U841" i="1" a="1"/>
  <c r="U841" i="1"/>
  <c r="T841" i="1"/>
  <c r="Q841" i="1" a="1"/>
  <c r="Q841" i="1" s="1"/>
  <c r="R841" i="1" s="1"/>
  <c r="S841" i="1" s="1"/>
  <c r="P841" i="1"/>
  <c r="O841" i="1"/>
  <c r="N841" i="1" a="1"/>
  <c r="N841" i="1"/>
  <c r="M841" i="1" a="1"/>
  <c r="M841" i="1" s="1"/>
  <c r="L841" i="1" a="1"/>
  <c r="L841" i="1" s="1"/>
  <c r="V840" i="1" a="1"/>
  <c r="V840" i="1"/>
  <c r="U840" i="1" a="1"/>
  <c r="U840" i="1" s="1"/>
  <c r="T840" i="1"/>
  <c r="Q840" i="1" a="1"/>
  <c r="Q840" i="1"/>
  <c r="R840" i="1" s="1"/>
  <c r="S840" i="1" s="1"/>
  <c r="P840" i="1"/>
  <c r="O840" i="1"/>
  <c r="N840" i="1" a="1"/>
  <c r="N840" i="1" s="1"/>
  <c r="M840" i="1" a="1"/>
  <c r="M840" i="1" s="1"/>
  <c r="L840" i="1" a="1"/>
  <c r="L840" i="1"/>
  <c r="V839" i="1" a="1"/>
  <c r="V839" i="1" s="1"/>
  <c r="U839" i="1" a="1"/>
  <c r="U839" i="1" s="1"/>
  <c r="T839" i="1"/>
  <c r="R839" i="1"/>
  <c r="S839" i="1" s="1"/>
  <c r="Q839" i="1" a="1"/>
  <c r="Q839" i="1"/>
  <c r="P839" i="1"/>
  <c r="O839" i="1"/>
  <c r="N839" i="1" a="1"/>
  <c r="N839" i="1" s="1"/>
  <c r="M839" i="1" a="1"/>
  <c r="M839" i="1"/>
  <c r="L839" i="1" a="1"/>
  <c r="L839" i="1"/>
  <c r="V838" i="1" a="1"/>
  <c r="V838" i="1"/>
  <c r="U838" i="1" a="1"/>
  <c r="U838" i="1"/>
  <c r="T838" i="1"/>
  <c r="Q838" i="1" a="1"/>
  <c r="Q838" i="1" s="1"/>
  <c r="R838" i="1" s="1"/>
  <c r="S838" i="1" s="1"/>
  <c r="P838" i="1"/>
  <c r="O838" i="1"/>
  <c r="N838" i="1" a="1"/>
  <c r="N838" i="1" s="1"/>
  <c r="M838" i="1" a="1"/>
  <c r="M838" i="1" s="1"/>
  <c r="L838" i="1" a="1"/>
  <c r="L838" i="1"/>
  <c r="V837" i="1" a="1"/>
  <c r="V837" i="1"/>
  <c r="U837" i="1" a="1"/>
  <c r="U837" i="1" s="1"/>
  <c r="T837" i="1"/>
  <c r="Q837" i="1" a="1"/>
  <c r="Q837" i="1" s="1"/>
  <c r="R837" i="1" s="1"/>
  <c r="S837" i="1" s="1"/>
  <c r="P837" i="1"/>
  <c r="O837" i="1"/>
  <c r="N837" i="1" a="1"/>
  <c r="N837" i="1" s="1"/>
  <c r="M837" i="1" a="1"/>
  <c r="M837" i="1"/>
  <c r="L837" i="1" a="1"/>
  <c r="L837" i="1"/>
  <c r="V836" i="1" a="1"/>
  <c r="V836" i="1"/>
  <c r="U836" i="1" a="1"/>
  <c r="U836" i="1"/>
  <c r="T836" i="1"/>
  <c r="Q836" i="1" a="1"/>
  <c r="Q836" i="1"/>
  <c r="R836" i="1" s="1"/>
  <c r="S836" i="1" s="1"/>
  <c r="P836" i="1"/>
  <c r="O836" i="1"/>
  <c r="N836" i="1" a="1"/>
  <c r="N836" i="1" s="1"/>
  <c r="M836" i="1" a="1"/>
  <c r="M836" i="1" s="1"/>
  <c r="L836" i="1" a="1"/>
  <c r="L836" i="1"/>
  <c r="V835" i="1" a="1"/>
  <c r="V835" i="1"/>
  <c r="U835" i="1" a="1"/>
  <c r="U835" i="1"/>
  <c r="T835" i="1"/>
  <c r="R835" i="1"/>
  <c r="S835" i="1" s="1"/>
  <c r="Q835" i="1" a="1"/>
  <c r="Q835" i="1" s="1"/>
  <c r="P835" i="1"/>
  <c r="O835" i="1"/>
  <c r="N835" i="1" a="1"/>
  <c r="N835" i="1"/>
  <c r="M835" i="1" a="1"/>
  <c r="M835" i="1" s="1"/>
  <c r="L835" i="1" a="1"/>
  <c r="L835" i="1"/>
  <c r="V834" i="1" a="1"/>
  <c r="V834" i="1"/>
  <c r="U834" i="1" a="1"/>
  <c r="U834" i="1" s="1"/>
  <c r="T834" i="1"/>
  <c r="Q834" i="1" a="1"/>
  <c r="Q834" i="1" s="1"/>
  <c r="R834" i="1" s="1"/>
  <c r="S834" i="1" s="1"/>
  <c r="P834" i="1"/>
  <c r="O834" i="1"/>
  <c r="N834" i="1" a="1"/>
  <c r="N834" i="1" s="1"/>
  <c r="M834" i="1" a="1"/>
  <c r="M834" i="1"/>
  <c r="L834" i="1" a="1"/>
  <c r="L834" i="1" s="1"/>
  <c r="V833" i="1" a="1"/>
  <c r="V833" i="1"/>
  <c r="U833" i="1" a="1"/>
  <c r="U833" i="1"/>
  <c r="T833" i="1"/>
  <c r="Q833" i="1" a="1"/>
  <c r="Q833" i="1"/>
  <c r="R833" i="1" s="1"/>
  <c r="S833" i="1" s="1"/>
  <c r="P833" i="1"/>
  <c r="O833" i="1"/>
  <c r="N833" i="1" a="1"/>
  <c r="N833" i="1" s="1"/>
  <c r="M833" i="1" a="1"/>
  <c r="M833" i="1" s="1"/>
  <c r="L833" i="1" a="1"/>
  <c r="L833" i="1" s="1"/>
  <c r="V832" i="1" a="1"/>
  <c r="V832" i="1" s="1"/>
  <c r="U832" i="1" a="1"/>
  <c r="U832" i="1"/>
  <c r="T832" i="1"/>
  <c r="Q832" i="1" a="1"/>
  <c r="Q832" i="1" s="1"/>
  <c r="R832" i="1" s="1"/>
  <c r="S832" i="1" s="1"/>
  <c r="P832" i="1"/>
  <c r="O832" i="1"/>
  <c r="N832" i="1" a="1"/>
  <c r="N832" i="1"/>
  <c r="M832" i="1" a="1"/>
  <c r="M832" i="1" s="1"/>
  <c r="L832" i="1" a="1"/>
  <c r="L832" i="1"/>
  <c r="V831" i="1" a="1"/>
  <c r="V831" i="1"/>
  <c r="U831" i="1" a="1"/>
  <c r="U831" i="1" s="1"/>
  <c r="T831" i="1"/>
  <c r="S831" i="1"/>
  <c r="Q831" i="1" a="1"/>
  <c r="Q831" i="1"/>
  <c r="R831" i="1" s="1"/>
  <c r="P831" i="1"/>
  <c r="O831" i="1"/>
  <c r="N831" i="1" a="1"/>
  <c r="N831" i="1" s="1"/>
  <c r="M831" i="1" a="1"/>
  <c r="M831" i="1" s="1"/>
  <c r="L831" i="1" a="1"/>
  <c r="L831" i="1" s="1"/>
  <c r="V830" i="1" a="1"/>
  <c r="V830" i="1" s="1"/>
  <c r="U830" i="1" a="1"/>
  <c r="U830" i="1" s="1"/>
  <c r="T830" i="1"/>
  <c r="Q830" i="1" a="1"/>
  <c r="Q830" i="1"/>
  <c r="R830" i="1" s="1"/>
  <c r="S830" i="1" s="1"/>
  <c r="P830" i="1"/>
  <c r="O830" i="1"/>
  <c r="N830" i="1" a="1"/>
  <c r="N830" i="1" s="1"/>
  <c r="M830" i="1" a="1"/>
  <c r="M830" i="1"/>
  <c r="L830" i="1" a="1"/>
  <c r="L830" i="1" s="1"/>
  <c r="V829" i="1" a="1"/>
  <c r="V829" i="1"/>
  <c r="U829" i="1" a="1"/>
  <c r="U829" i="1"/>
  <c r="T829" i="1"/>
  <c r="S829" i="1"/>
  <c r="R829" i="1"/>
  <c r="Q829" i="1" a="1"/>
  <c r="Q829" i="1" s="1"/>
  <c r="P829" i="1"/>
  <c r="O829" i="1"/>
  <c r="N829" i="1" a="1"/>
  <c r="N829" i="1"/>
  <c r="M829" i="1" a="1"/>
  <c r="M829" i="1"/>
  <c r="L829" i="1" a="1"/>
  <c r="L829" i="1"/>
  <c r="V828" i="1" a="1"/>
  <c r="V828" i="1"/>
  <c r="U828" i="1" a="1"/>
  <c r="U828" i="1" s="1"/>
  <c r="T828" i="1"/>
  <c r="Q828" i="1" a="1"/>
  <c r="Q828" i="1"/>
  <c r="R828" i="1" s="1"/>
  <c r="S828" i="1" s="1"/>
  <c r="P828" i="1"/>
  <c r="O828" i="1"/>
  <c r="N828" i="1" a="1"/>
  <c r="N828" i="1" s="1"/>
  <c r="M828" i="1" a="1"/>
  <c r="M828" i="1"/>
  <c r="L828" i="1" a="1"/>
  <c r="L828" i="1"/>
  <c r="V827" i="1" a="1"/>
  <c r="V827" i="1" s="1"/>
  <c r="U827" i="1" a="1"/>
  <c r="U827" i="1" s="1"/>
  <c r="T827" i="1"/>
  <c r="Q827" i="1" a="1"/>
  <c r="Q827" i="1" s="1"/>
  <c r="R827" i="1" s="1"/>
  <c r="S827" i="1" s="1"/>
  <c r="P827" i="1"/>
  <c r="O827" i="1"/>
  <c r="N827" i="1" a="1"/>
  <c r="N827" i="1"/>
  <c r="M827" i="1" a="1"/>
  <c r="M827" i="1"/>
  <c r="L827" i="1" a="1"/>
  <c r="L827" i="1"/>
  <c r="V826" i="1" a="1"/>
  <c r="V826" i="1"/>
  <c r="U826" i="1" a="1"/>
  <c r="U826" i="1" s="1"/>
  <c r="T826" i="1"/>
  <c r="Q826" i="1" a="1"/>
  <c r="Q826" i="1" s="1"/>
  <c r="R826" i="1" s="1"/>
  <c r="S826" i="1" s="1"/>
  <c r="P826" i="1"/>
  <c r="O826" i="1"/>
  <c r="N826" i="1" a="1"/>
  <c r="N826" i="1" s="1"/>
  <c r="M826" i="1" a="1"/>
  <c r="M826" i="1" s="1"/>
  <c r="L826" i="1" a="1"/>
  <c r="L826" i="1"/>
  <c r="V825" i="1" a="1"/>
  <c r="V825" i="1"/>
  <c r="U825" i="1" a="1"/>
  <c r="U825" i="1" s="1"/>
  <c r="T825" i="1"/>
  <c r="R825" i="1"/>
  <c r="S825" i="1" s="1"/>
  <c r="Q825" i="1" a="1"/>
  <c r="Q825" i="1" s="1"/>
  <c r="P825" i="1"/>
  <c r="O825" i="1"/>
  <c r="N825" i="1" a="1"/>
  <c r="N825" i="1" s="1"/>
  <c r="M825" i="1" a="1"/>
  <c r="M825" i="1" s="1"/>
  <c r="L825" i="1" a="1"/>
  <c r="L825" i="1"/>
  <c r="V824" i="1" a="1"/>
  <c r="V824" i="1" s="1"/>
  <c r="U824" i="1" a="1"/>
  <c r="U824" i="1" s="1"/>
  <c r="T824" i="1"/>
  <c r="Q824" i="1" a="1"/>
  <c r="Q824" i="1"/>
  <c r="R824" i="1" s="1"/>
  <c r="S824" i="1" s="1"/>
  <c r="P824" i="1"/>
  <c r="O824" i="1"/>
  <c r="N824" i="1" a="1"/>
  <c r="N824" i="1"/>
  <c r="M824" i="1" a="1"/>
  <c r="M824" i="1" s="1"/>
  <c r="L824" i="1" a="1"/>
  <c r="L824" i="1" s="1"/>
  <c r="V823" i="1" a="1"/>
  <c r="V823" i="1" s="1"/>
  <c r="U823" i="1" a="1"/>
  <c r="U823" i="1"/>
  <c r="T823" i="1"/>
  <c r="Q823" i="1" a="1"/>
  <c r="Q823" i="1"/>
  <c r="R823" i="1" s="1"/>
  <c r="S823" i="1" s="1"/>
  <c r="P823" i="1"/>
  <c r="O823" i="1"/>
  <c r="N823" i="1" a="1"/>
  <c r="N823" i="1" s="1"/>
  <c r="M823" i="1" a="1"/>
  <c r="M823" i="1" s="1"/>
  <c r="L823" i="1" a="1"/>
  <c r="L823" i="1"/>
  <c r="V822" i="1" a="1"/>
  <c r="V822" i="1"/>
  <c r="U822" i="1" a="1"/>
  <c r="U822" i="1"/>
  <c r="T822" i="1"/>
  <c r="Q822" i="1" a="1"/>
  <c r="Q822" i="1" s="1"/>
  <c r="R822" i="1" s="1"/>
  <c r="S822" i="1" s="1"/>
  <c r="P822" i="1"/>
  <c r="O822" i="1"/>
  <c r="N822" i="1" a="1"/>
  <c r="N822" i="1" s="1"/>
  <c r="M822" i="1" a="1"/>
  <c r="M822" i="1" s="1"/>
  <c r="L822" i="1" a="1"/>
  <c r="L822" i="1"/>
  <c r="V821" i="1" a="1"/>
  <c r="V821" i="1"/>
  <c r="U821" i="1" a="1"/>
  <c r="U821" i="1" s="1"/>
  <c r="T821" i="1"/>
  <c r="Q821" i="1" a="1"/>
  <c r="Q821" i="1"/>
  <c r="R821" i="1" s="1"/>
  <c r="S821" i="1" s="1"/>
  <c r="P821" i="1"/>
  <c r="O821" i="1"/>
  <c r="N821" i="1" a="1"/>
  <c r="N821" i="1" s="1"/>
  <c r="M821" i="1" a="1"/>
  <c r="M821" i="1" s="1"/>
  <c r="L821" i="1" a="1"/>
  <c r="L821" i="1" s="1"/>
  <c r="V820" i="1" a="1"/>
  <c r="V820" i="1"/>
  <c r="U820" i="1" a="1"/>
  <c r="U820" i="1"/>
  <c r="T820" i="1"/>
  <c r="R820" i="1"/>
  <c r="S820" i="1" s="1"/>
  <c r="Q820" i="1" a="1"/>
  <c r="Q820" i="1"/>
  <c r="P820" i="1"/>
  <c r="O820" i="1"/>
  <c r="N820" i="1" a="1"/>
  <c r="N820" i="1"/>
  <c r="M820" i="1" a="1"/>
  <c r="M820" i="1" s="1"/>
  <c r="L820" i="1" a="1"/>
  <c r="L820" i="1"/>
  <c r="V819" i="1" a="1"/>
  <c r="V819" i="1" s="1"/>
  <c r="U819" i="1" a="1"/>
  <c r="U819" i="1"/>
  <c r="T819" i="1"/>
  <c r="S819" i="1"/>
  <c r="Q819" i="1" a="1"/>
  <c r="Q819" i="1" s="1"/>
  <c r="R819" i="1" s="1"/>
  <c r="P819" i="1"/>
  <c r="O819" i="1"/>
  <c r="N819" i="1" a="1"/>
  <c r="N819" i="1"/>
  <c r="M819" i="1" a="1"/>
  <c r="M819" i="1" s="1"/>
  <c r="L819" i="1" a="1"/>
  <c r="L819" i="1"/>
  <c r="V818" i="1" a="1"/>
  <c r="V818" i="1" s="1"/>
  <c r="U818" i="1" a="1"/>
  <c r="U818" i="1" s="1"/>
  <c r="T818" i="1"/>
  <c r="R818" i="1"/>
  <c r="S818" i="1" s="1"/>
  <c r="Q818" i="1" a="1"/>
  <c r="Q818" i="1"/>
  <c r="P818" i="1"/>
  <c r="O818" i="1"/>
  <c r="N818" i="1" a="1"/>
  <c r="N818" i="1" s="1"/>
  <c r="M818" i="1" a="1"/>
  <c r="M818" i="1"/>
  <c r="L818" i="1" a="1"/>
  <c r="L818" i="1" s="1"/>
  <c r="V817" i="1" a="1"/>
  <c r="V817" i="1" s="1"/>
  <c r="U817" i="1" a="1"/>
  <c r="U817" i="1" s="1"/>
  <c r="T817" i="1"/>
  <c r="S817" i="1"/>
  <c r="Q817" i="1" a="1"/>
  <c r="Q817" i="1" s="1"/>
  <c r="R817" i="1" s="1"/>
  <c r="P817" i="1"/>
  <c r="O817" i="1"/>
  <c r="N817" i="1" a="1"/>
  <c r="N817" i="1"/>
  <c r="M817" i="1" a="1"/>
  <c r="M817" i="1" s="1"/>
  <c r="L817" i="1" a="1"/>
  <c r="L817" i="1" s="1"/>
  <c r="V816" i="1" a="1"/>
  <c r="V816" i="1" s="1"/>
  <c r="U816" i="1" a="1"/>
  <c r="U816" i="1" s="1"/>
  <c r="T816" i="1"/>
  <c r="Q816" i="1" a="1"/>
  <c r="Q816" i="1"/>
  <c r="R816" i="1" s="1"/>
  <c r="S816" i="1" s="1"/>
  <c r="P816" i="1"/>
  <c r="O816" i="1"/>
  <c r="N816" i="1" a="1"/>
  <c r="N816" i="1"/>
  <c r="M816" i="1" a="1"/>
  <c r="M816" i="1"/>
  <c r="L816" i="1" a="1"/>
  <c r="L816" i="1"/>
  <c r="V815" i="1" a="1"/>
  <c r="V815" i="1" s="1"/>
  <c r="U815" i="1" a="1"/>
  <c r="U815" i="1" s="1"/>
  <c r="T815" i="1"/>
  <c r="S815" i="1"/>
  <c r="Q815" i="1" a="1"/>
  <c r="Q815" i="1"/>
  <c r="R815" i="1" s="1"/>
  <c r="P815" i="1"/>
  <c r="O815" i="1"/>
  <c r="N815" i="1" a="1"/>
  <c r="N815" i="1" s="1"/>
  <c r="M815" i="1" a="1"/>
  <c r="M815" i="1"/>
  <c r="L815" i="1" a="1"/>
  <c r="L815" i="1"/>
  <c r="V814" i="1" a="1"/>
  <c r="V814" i="1" s="1"/>
  <c r="U814" i="1" a="1"/>
  <c r="U814" i="1"/>
  <c r="T814" i="1"/>
  <c r="Q814" i="1" a="1"/>
  <c r="Q814" i="1" s="1"/>
  <c r="R814" i="1" s="1"/>
  <c r="S814" i="1" s="1"/>
  <c r="P814" i="1"/>
  <c r="O814" i="1"/>
  <c r="N814" i="1" a="1"/>
  <c r="N814" i="1"/>
  <c r="M814" i="1" a="1"/>
  <c r="M814" i="1"/>
  <c r="L814" i="1" a="1"/>
  <c r="L814" i="1" s="1"/>
  <c r="V813" i="1" a="1"/>
  <c r="V813" i="1"/>
  <c r="U813" i="1" a="1"/>
  <c r="U813" i="1" s="1"/>
  <c r="T813" i="1"/>
  <c r="R813" i="1"/>
  <c r="S813" i="1" s="1"/>
  <c r="Q813" i="1" a="1"/>
  <c r="Q813" i="1"/>
  <c r="P813" i="1"/>
  <c r="O813" i="1"/>
  <c r="N813" i="1" a="1"/>
  <c r="N813" i="1" s="1"/>
  <c r="M813" i="1" a="1"/>
  <c r="M813" i="1"/>
  <c r="L813" i="1" a="1"/>
  <c r="L813" i="1"/>
  <c r="V812" i="1" a="1"/>
  <c r="V812" i="1" s="1"/>
  <c r="U812" i="1" a="1"/>
  <c r="U812" i="1"/>
  <c r="T812" i="1"/>
  <c r="S812" i="1"/>
  <c r="R812" i="1"/>
  <c r="Q812" i="1" a="1"/>
  <c r="Q812" i="1"/>
  <c r="P812" i="1"/>
  <c r="O812" i="1"/>
  <c r="N812" i="1" a="1"/>
  <c r="N812" i="1" s="1"/>
  <c r="M812" i="1" a="1"/>
  <c r="M812" i="1"/>
  <c r="L812" i="1" a="1"/>
  <c r="L812" i="1" s="1"/>
  <c r="V811" i="1" a="1"/>
  <c r="V811" i="1" s="1"/>
  <c r="U811" i="1" a="1"/>
  <c r="U811" i="1"/>
  <c r="T811" i="1"/>
  <c r="Q811" i="1" a="1"/>
  <c r="Q811" i="1"/>
  <c r="R811" i="1" s="1"/>
  <c r="S811" i="1" s="1"/>
  <c r="P811" i="1"/>
  <c r="O811" i="1"/>
  <c r="N811" i="1" a="1"/>
  <c r="N811" i="1"/>
  <c r="M811" i="1" a="1"/>
  <c r="M811" i="1" s="1"/>
  <c r="L811" i="1" a="1"/>
  <c r="L811" i="1" s="1"/>
  <c r="V810" i="1" a="1"/>
  <c r="V810" i="1"/>
  <c r="U810" i="1" a="1"/>
  <c r="U810" i="1"/>
  <c r="T810" i="1"/>
  <c r="Q810" i="1" a="1"/>
  <c r="Q810" i="1"/>
  <c r="R810" i="1" s="1"/>
  <c r="S810" i="1" s="1"/>
  <c r="P810" i="1"/>
  <c r="O810" i="1"/>
  <c r="N810" i="1" a="1"/>
  <c r="N810" i="1" s="1"/>
  <c r="M810" i="1" a="1"/>
  <c r="M810" i="1"/>
  <c r="L810" i="1" a="1"/>
  <c r="L810" i="1"/>
  <c r="V809" i="1" a="1"/>
  <c r="V809" i="1" s="1"/>
  <c r="U809" i="1" a="1"/>
  <c r="U809" i="1"/>
  <c r="T809" i="1"/>
  <c r="S809" i="1"/>
  <c r="R809" i="1"/>
  <c r="Q809" i="1" a="1"/>
  <c r="Q809" i="1"/>
  <c r="P809" i="1"/>
  <c r="O809" i="1"/>
  <c r="N809" i="1" a="1"/>
  <c r="N809" i="1" s="1"/>
  <c r="M809" i="1" a="1"/>
  <c r="M809" i="1"/>
  <c r="L809" i="1" a="1"/>
  <c r="L809" i="1" s="1"/>
  <c r="V808" i="1" a="1"/>
  <c r="V808" i="1"/>
  <c r="U808" i="1" a="1"/>
  <c r="U808" i="1"/>
  <c r="T808" i="1"/>
  <c r="S808" i="1"/>
  <c r="Q808" i="1" a="1"/>
  <c r="Q808" i="1"/>
  <c r="R808" i="1" s="1"/>
  <c r="P808" i="1"/>
  <c r="O808" i="1"/>
  <c r="N808" i="1" a="1"/>
  <c r="N808" i="1"/>
  <c r="M808" i="1" a="1"/>
  <c r="M808" i="1" s="1"/>
  <c r="L808" i="1" a="1"/>
  <c r="L808" i="1" s="1"/>
  <c r="V807" i="1" a="1"/>
  <c r="V807" i="1"/>
  <c r="U807" i="1" a="1"/>
  <c r="U807" i="1"/>
  <c r="T807" i="1"/>
  <c r="Q807" i="1" a="1"/>
  <c r="Q807" i="1" s="1"/>
  <c r="R807" i="1" s="1"/>
  <c r="S807" i="1" s="1"/>
  <c r="P807" i="1"/>
  <c r="O807" i="1"/>
  <c r="N807" i="1" a="1"/>
  <c r="N807" i="1" s="1"/>
  <c r="M807" i="1" a="1"/>
  <c r="M807" i="1"/>
  <c r="L807" i="1" a="1"/>
  <c r="L807" i="1"/>
  <c r="V806" i="1" a="1"/>
  <c r="V806" i="1" s="1"/>
  <c r="U806" i="1" a="1"/>
  <c r="U806" i="1"/>
  <c r="T806" i="1"/>
  <c r="R806" i="1"/>
  <c r="S806" i="1" s="1"/>
  <c r="Q806" i="1" a="1"/>
  <c r="Q806" i="1" s="1"/>
  <c r="P806" i="1"/>
  <c r="O806" i="1"/>
  <c r="N806" i="1" a="1"/>
  <c r="N806" i="1"/>
  <c r="M806" i="1" a="1"/>
  <c r="M806" i="1"/>
  <c r="L806" i="1" a="1"/>
  <c r="L806" i="1" s="1"/>
  <c r="V805" i="1" a="1"/>
  <c r="V805" i="1"/>
  <c r="U805" i="1" a="1"/>
  <c r="U805" i="1"/>
  <c r="T805" i="1"/>
  <c r="R805" i="1"/>
  <c r="S805" i="1" s="1"/>
  <c r="Q805" i="1" a="1"/>
  <c r="Q805" i="1" s="1"/>
  <c r="P805" i="1"/>
  <c r="O805" i="1"/>
  <c r="N805" i="1" a="1"/>
  <c r="N805" i="1"/>
  <c r="M805" i="1" a="1"/>
  <c r="M805" i="1" s="1"/>
  <c r="L805" i="1" a="1"/>
  <c r="L805" i="1" s="1"/>
  <c r="V804" i="1" a="1"/>
  <c r="V804" i="1" s="1"/>
  <c r="U804" i="1" a="1"/>
  <c r="U804" i="1" s="1"/>
  <c r="T804" i="1"/>
  <c r="Q804" i="1" a="1"/>
  <c r="Q804" i="1" s="1"/>
  <c r="R804" i="1" s="1"/>
  <c r="S804" i="1" s="1"/>
  <c r="P804" i="1"/>
  <c r="O804" i="1"/>
  <c r="N804" i="1" a="1"/>
  <c r="N804" i="1" s="1"/>
  <c r="M804" i="1" a="1"/>
  <c r="M804" i="1" s="1"/>
  <c r="L804" i="1" a="1"/>
  <c r="L804" i="1"/>
  <c r="V803" i="1" a="1"/>
  <c r="V803" i="1" s="1"/>
  <c r="U803" i="1" a="1"/>
  <c r="U803" i="1"/>
  <c r="T803" i="1"/>
  <c r="Q803" i="1" a="1"/>
  <c r="Q803" i="1"/>
  <c r="R803" i="1" s="1"/>
  <c r="S803" i="1" s="1"/>
  <c r="P803" i="1"/>
  <c r="O803" i="1"/>
  <c r="N803" i="1" a="1"/>
  <c r="N803" i="1"/>
  <c r="M803" i="1" a="1"/>
  <c r="M803" i="1"/>
  <c r="L803" i="1" a="1"/>
  <c r="L803" i="1" s="1"/>
  <c r="V802" i="1" a="1"/>
  <c r="V802" i="1"/>
  <c r="U802" i="1" a="1"/>
  <c r="U802" i="1"/>
  <c r="T802" i="1"/>
  <c r="R802" i="1"/>
  <c r="S802" i="1" s="1"/>
  <c r="Q802" i="1" a="1"/>
  <c r="Q802" i="1" s="1"/>
  <c r="P802" i="1"/>
  <c r="O802" i="1"/>
  <c r="N802" i="1" a="1"/>
  <c r="N802" i="1" s="1"/>
  <c r="M802" i="1" a="1"/>
  <c r="M802" i="1"/>
  <c r="L802" i="1" a="1"/>
  <c r="L802" i="1" s="1"/>
  <c r="V801" i="1" a="1"/>
  <c r="V801" i="1"/>
  <c r="U801" i="1" a="1"/>
  <c r="U801" i="1" s="1"/>
  <c r="T801" i="1"/>
  <c r="S801" i="1"/>
  <c r="Q801" i="1" a="1"/>
  <c r="Q801" i="1"/>
  <c r="R801" i="1" s="1"/>
  <c r="P801" i="1"/>
  <c r="O801" i="1"/>
  <c r="N801" i="1" a="1"/>
  <c r="N801" i="1" s="1"/>
  <c r="M801" i="1" a="1"/>
  <c r="M801" i="1" s="1"/>
  <c r="L801" i="1" a="1"/>
  <c r="L801" i="1"/>
  <c r="V800" i="1" a="1"/>
  <c r="V800" i="1"/>
  <c r="U800" i="1" a="1"/>
  <c r="U800" i="1"/>
  <c r="T800" i="1"/>
  <c r="Q800" i="1" a="1"/>
  <c r="Q800" i="1"/>
  <c r="R800" i="1" s="1"/>
  <c r="S800" i="1" s="1"/>
  <c r="P800" i="1"/>
  <c r="O800" i="1"/>
  <c r="N800" i="1" a="1"/>
  <c r="N800" i="1" s="1"/>
  <c r="M800" i="1" a="1"/>
  <c r="M800" i="1" s="1"/>
  <c r="L800" i="1" a="1"/>
  <c r="L800" i="1" s="1"/>
  <c r="V799" i="1" a="1"/>
  <c r="V799" i="1"/>
  <c r="U799" i="1" a="1"/>
  <c r="U799" i="1" s="1"/>
  <c r="T799" i="1"/>
  <c r="Q799" i="1" a="1"/>
  <c r="Q799" i="1" s="1"/>
  <c r="R799" i="1" s="1"/>
  <c r="S799" i="1" s="1"/>
  <c r="P799" i="1"/>
  <c r="O799" i="1"/>
  <c r="N799" i="1" a="1"/>
  <c r="N799" i="1" s="1"/>
  <c r="M799" i="1" a="1"/>
  <c r="M799" i="1"/>
  <c r="L799" i="1" a="1"/>
  <c r="L799" i="1"/>
  <c r="V798" i="1" a="1"/>
  <c r="V798" i="1"/>
  <c r="U798" i="1" a="1"/>
  <c r="U798" i="1" s="1"/>
  <c r="T798" i="1"/>
  <c r="Q798" i="1" a="1"/>
  <c r="Q798" i="1" s="1"/>
  <c r="R798" i="1" s="1"/>
  <c r="S798" i="1" s="1"/>
  <c r="P798" i="1"/>
  <c r="O798" i="1"/>
  <c r="N798" i="1" a="1"/>
  <c r="N798" i="1" s="1"/>
  <c r="M798" i="1" a="1"/>
  <c r="M798" i="1" s="1"/>
  <c r="L798" i="1" a="1"/>
  <c r="L798" i="1" s="1"/>
  <c r="V797" i="1" a="1"/>
  <c r="V797" i="1" s="1"/>
  <c r="U797" i="1" a="1"/>
  <c r="U797" i="1" s="1"/>
  <c r="T797" i="1"/>
  <c r="R797" i="1"/>
  <c r="S797" i="1" s="1"/>
  <c r="Q797" i="1" a="1"/>
  <c r="Q797" i="1"/>
  <c r="P797" i="1"/>
  <c r="O797" i="1"/>
  <c r="N797" i="1" a="1"/>
  <c r="N797" i="1"/>
  <c r="M797" i="1" a="1"/>
  <c r="M797" i="1"/>
  <c r="L797" i="1" a="1"/>
  <c r="L797" i="1" s="1"/>
  <c r="V796" i="1" a="1"/>
  <c r="V796" i="1" s="1"/>
  <c r="U796" i="1" a="1"/>
  <c r="U796" i="1"/>
  <c r="T796" i="1"/>
  <c r="Q796" i="1" a="1"/>
  <c r="Q796" i="1" s="1"/>
  <c r="R796" i="1" s="1"/>
  <c r="S796" i="1" s="1"/>
  <c r="P796" i="1"/>
  <c r="O796" i="1"/>
  <c r="N796" i="1" a="1"/>
  <c r="N796" i="1"/>
  <c r="M796" i="1" a="1"/>
  <c r="M796" i="1" s="1"/>
  <c r="L796" i="1" a="1"/>
  <c r="L796" i="1"/>
  <c r="V795" i="1" a="1"/>
  <c r="V795" i="1" s="1"/>
  <c r="U795" i="1" a="1"/>
  <c r="U795" i="1"/>
  <c r="T795" i="1"/>
  <c r="R795" i="1"/>
  <c r="S795" i="1" s="1"/>
  <c r="Q795" i="1" a="1"/>
  <c r="Q795" i="1"/>
  <c r="P795" i="1"/>
  <c r="O795" i="1"/>
  <c r="N795" i="1" a="1"/>
  <c r="N795" i="1"/>
  <c r="M795" i="1" a="1"/>
  <c r="M795" i="1" s="1"/>
  <c r="L795" i="1" a="1"/>
  <c r="L795" i="1" s="1"/>
  <c r="V794" i="1" a="1"/>
  <c r="V794" i="1"/>
  <c r="U794" i="1" a="1"/>
  <c r="U794" i="1"/>
  <c r="T794" i="1"/>
  <c r="Q794" i="1" a="1"/>
  <c r="Q794" i="1" s="1"/>
  <c r="R794" i="1" s="1"/>
  <c r="S794" i="1" s="1"/>
  <c r="P794" i="1"/>
  <c r="O794" i="1"/>
  <c r="N794" i="1" a="1"/>
  <c r="N794" i="1"/>
  <c r="M794" i="1" a="1"/>
  <c r="M794" i="1" s="1"/>
  <c r="L794" i="1" a="1"/>
  <c r="L794" i="1" s="1"/>
  <c r="V793" i="1" a="1"/>
  <c r="V793" i="1"/>
  <c r="U793" i="1" a="1"/>
  <c r="U793" i="1"/>
  <c r="T793" i="1"/>
  <c r="Q793" i="1" a="1"/>
  <c r="Q793" i="1"/>
  <c r="R793" i="1" s="1"/>
  <c r="S793" i="1" s="1"/>
  <c r="P793" i="1"/>
  <c r="O793" i="1"/>
  <c r="N793" i="1" a="1"/>
  <c r="N793" i="1"/>
  <c r="M793" i="1" a="1"/>
  <c r="M793" i="1"/>
  <c r="L793" i="1" a="1"/>
  <c r="L793" i="1" s="1"/>
  <c r="V792" i="1" a="1"/>
  <c r="V792" i="1"/>
  <c r="U792" i="1" a="1"/>
  <c r="U792" i="1"/>
  <c r="T792" i="1"/>
  <c r="Q792" i="1" a="1"/>
  <c r="Q792" i="1"/>
  <c r="R792" i="1" s="1"/>
  <c r="S792" i="1" s="1"/>
  <c r="P792" i="1"/>
  <c r="O792" i="1"/>
  <c r="N792" i="1" a="1"/>
  <c r="N792" i="1" s="1"/>
  <c r="M792" i="1" a="1"/>
  <c r="M792" i="1"/>
  <c r="L792" i="1" a="1"/>
  <c r="L792" i="1"/>
  <c r="V791" i="1" a="1"/>
  <c r="V791" i="1" s="1"/>
  <c r="U791" i="1" a="1"/>
  <c r="U791" i="1"/>
  <c r="T791" i="1"/>
  <c r="R791" i="1"/>
  <c r="S791" i="1" s="1"/>
  <c r="Q791" i="1" a="1"/>
  <c r="Q791" i="1" s="1"/>
  <c r="P791" i="1"/>
  <c r="O791" i="1"/>
  <c r="N791" i="1" a="1"/>
  <c r="N791" i="1"/>
  <c r="M791" i="1" a="1"/>
  <c r="M791" i="1"/>
  <c r="L791" i="1" a="1"/>
  <c r="L791" i="1"/>
  <c r="V790" i="1" a="1"/>
  <c r="V790" i="1"/>
  <c r="U790" i="1" a="1"/>
  <c r="U790" i="1" s="1"/>
  <c r="T790" i="1"/>
  <c r="Q790" i="1" a="1"/>
  <c r="Q790" i="1" s="1"/>
  <c r="R790" i="1" s="1"/>
  <c r="S790" i="1" s="1"/>
  <c r="P790" i="1"/>
  <c r="O790" i="1"/>
  <c r="N790" i="1" a="1"/>
  <c r="N790" i="1"/>
  <c r="M790" i="1" a="1"/>
  <c r="M790" i="1"/>
  <c r="L790" i="1" a="1"/>
  <c r="L790" i="1" s="1"/>
  <c r="V789" i="1" a="1"/>
  <c r="V789" i="1"/>
  <c r="U789" i="1" a="1"/>
  <c r="U789" i="1" s="1"/>
  <c r="T789" i="1"/>
  <c r="S789" i="1"/>
  <c r="Q789" i="1" a="1"/>
  <c r="Q789" i="1"/>
  <c r="R789" i="1" s="1"/>
  <c r="P789" i="1"/>
  <c r="O789" i="1"/>
  <c r="N789" i="1" a="1"/>
  <c r="N789" i="1" s="1"/>
  <c r="M789" i="1" a="1"/>
  <c r="M789" i="1"/>
  <c r="L789" i="1" a="1"/>
  <c r="L789" i="1"/>
  <c r="V788" i="1" a="1"/>
  <c r="V788" i="1" s="1"/>
  <c r="U788" i="1" a="1"/>
  <c r="U788" i="1" s="1"/>
  <c r="T788" i="1"/>
  <c r="Q788" i="1" a="1"/>
  <c r="Q788" i="1" s="1"/>
  <c r="R788" i="1" s="1"/>
  <c r="S788" i="1" s="1"/>
  <c r="P788" i="1"/>
  <c r="O788" i="1"/>
  <c r="N788" i="1" a="1"/>
  <c r="N788" i="1"/>
  <c r="M788" i="1" a="1"/>
  <c r="M788" i="1"/>
  <c r="L788" i="1" a="1"/>
  <c r="L788" i="1" s="1"/>
  <c r="V787" i="1" a="1"/>
  <c r="V787" i="1"/>
  <c r="U787" i="1" a="1"/>
  <c r="U787" i="1" s="1"/>
  <c r="T787" i="1"/>
  <c r="Q787" i="1" a="1"/>
  <c r="Q787" i="1"/>
  <c r="R787" i="1" s="1"/>
  <c r="S787" i="1" s="1"/>
  <c r="P787" i="1"/>
  <c r="O787" i="1"/>
  <c r="N787" i="1" a="1"/>
  <c r="N787" i="1"/>
  <c r="M787" i="1" a="1"/>
  <c r="M787" i="1" s="1"/>
  <c r="L787" i="1" a="1"/>
  <c r="L787" i="1" s="1"/>
  <c r="V786" i="1" a="1"/>
  <c r="V786" i="1"/>
  <c r="U786" i="1" a="1"/>
  <c r="U786" i="1"/>
  <c r="T786" i="1"/>
  <c r="Q786" i="1" a="1"/>
  <c r="Q786" i="1" s="1"/>
  <c r="R786" i="1" s="1"/>
  <c r="S786" i="1" s="1"/>
  <c r="P786" i="1"/>
  <c r="O786" i="1"/>
  <c r="N786" i="1" a="1"/>
  <c r="N786" i="1"/>
  <c r="M786" i="1" a="1"/>
  <c r="M786" i="1"/>
  <c r="L786" i="1" a="1"/>
  <c r="L786" i="1" s="1"/>
  <c r="V785" i="1" a="1"/>
  <c r="V785" i="1" s="1"/>
  <c r="U785" i="1" a="1"/>
  <c r="U785" i="1"/>
  <c r="T785" i="1"/>
  <c r="Q785" i="1" a="1"/>
  <c r="Q785" i="1" s="1"/>
  <c r="R785" i="1" s="1"/>
  <c r="S785" i="1" s="1"/>
  <c r="P785" i="1"/>
  <c r="O785" i="1"/>
  <c r="N785" i="1" a="1"/>
  <c r="N785" i="1"/>
  <c r="M785" i="1" a="1"/>
  <c r="M785" i="1"/>
  <c r="L785" i="1" a="1"/>
  <c r="L785" i="1" s="1"/>
  <c r="V784" i="1" a="1"/>
  <c r="V784" i="1" s="1"/>
  <c r="U784" i="1" a="1"/>
  <c r="U784" i="1" s="1"/>
  <c r="T784" i="1"/>
  <c r="S784" i="1"/>
  <c r="Q784" i="1" a="1"/>
  <c r="Q784" i="1" s="1"/>
  <c r="R784" i="1" s="1"/>
  <c r="P784" i="1"/>
  <c r="O784" i="1"/>
  <c r="N784" i="1" a="1"/>
  <c r="N784" i="1" s="1"/>
  <c r="M784" i="1" a="1"/>
  <c r="M784" i="1"/>
  <c r="L784" i="1" a="1"/>
  <c r="L784" i="1"/>
  <c r="V783" i="1" a="1"/>
  <c r="V783" i="1" s="1"/>
  <c r="U783" i="1" a="1"/>
  <c r="U783" i="1"/>
  <c r="T783" i="1"/>
  <c r="R783" i="1"/>
  <c r="S783" i="1" s="1"/>
  <c r="Q783" i="1" a="1"/>
  <c r="Q783" i="1" s="1"/>
  <c r="P783" i="1"/>
  <c r="O783" i="1"/>
  <c r="N783" i="1" a="1"/>
  <c r="N783" i="1" s="1"/>
  <c r="M783" i="1" a="1"/>
  <c r="M783" i="1"/>
  <c r="L783" i="1" a="1"/>
  <c r="L783" i="1" s="1"/>
  <c r="V782" i="1" a="1"/>
  <c r="V782" i="1" s="1"/>
  <c r="U782" i="1" a="1"/>
  <c r="U782" i="1" s="1"/>
  <c r="T782" i="1"/>
  <c r="R782" i="1"/>
  <c r="S782" i="1" s="1"/>
  <c r="Q782" i="1" a="1"/>
  <c r="Q782" i="1" s="1"/>
  <c r="P782" i="1"/>
  <c r="O782" i="1"/>
  <c r="N782" i="1" a="1"/>
  <c r="N782" i="1" s="1"/>
  <c r="M782" i="1" a="1"/>
  <c r="M782" i="1" s="1"/>
  <c r="L782" i="1" a="1"/>
  <c r="L782" i="1"/>
  <c r="V781" i="1" a="1"/>
  <c r="V781" i="1"/>
  <c r="U781" i="1" a="1"/>
  <c r="U781" i="1" s="1"/>
  <c r="T781" i="1"/>
  <c r="S781" i="1"/>
  <c r="R781" i="1"/>
  <c r="Q781" i="1" a="1"/>
  <c r="Q781" i="1"/>
  <c r="P781" i="1"/>
  <c r="O781" i="1"/>
  <c r="N781" i="1" a="1"/>
  <c r="N781" i="1" s="1"/>
  <c r="M781" i="1" a="1"/>
  <c r="M781" i="1" s="1"/>
  <c r="L781" i="1" a="1"/>
  <c r="L781" i="1"/>
  <c r="V780" i="1" a="1"/>
  <c r="V780" i="1" s="1"/>
  <c r="U780" i="1" a="1"/>
  <c r="U780" i="1" s="1"/>
  <c r="T780" i="1"/>
  <c r="R780" i="1"/>
  <c r="S780" i="1" s="1"/>
  <c r="Q780" i="1" a="1"/>
  <c r="Q780" i="1"/>
  <c r="P780" i="1"/>
  <c r="O780" i="1"/>
  <c r="N780" i="1" a="1"/>
  <c r="N780" i="1" s="1"/>
  <c r="M780" i="1" a="1"/>
  <c r="M780" i="1"/>
  <c r="L780" i="1" a="1"/>
  <c r="L780" i="1" s="1"/>
  <c r="V779" i="1" a="1"/>
  <c r="V779" i="1"/>
  <c r="U779" i="1" a="1"/>
  <c r="U779" i="1"/>
  <c r="T779" i="1"/>
  <c r="R779" i="1"/>
  <c r="S779" i="1" s="1"/>
  <c r="Q779" i="1" a="1"/>
  <c r="Q779" i="1"/>
  <c r="P779" i="1"/>
  <c r="O779" i="1"/>
  <c r="N779" i="1" a="1"/>
  <c r="N779" i="1" s="1"/>
  <c r="M779" i="1" a="1"/>
  <c r="M779" i="1" s="1"/>
  <c r="L779" i="1" a="1"/>
  <c r="L779" i="1"/>
  <c r="V778" i="1" a="1"/>
  <c r="V778" i="1"/>
  <c r="U778" i="1" a="1"/>
  <c r="U778" i="1" s="1"/>
  <c r="T778" i="1"/>
  <c r="Q778" i="1" a="1"/>
  <c r="Q778" i="1"/>
  <c r="R778" i="1" s="1"/>
  <c r="S778" i="1" s="1"/>
  <c r="P778" i="1"/>
  <c r="O778" i="1"/>
  <c r="N778" i="1" a="1"/>
  <c r="N778" i="1" s="1"/>
  <c r="M778" i="1" a="1"/>
  <c r="M778" i="1" s="1"/>
  <c r="L778" i="1" a="1"/>
  <c r="L778" i="1" s="1"/>
  <c r="V777" i="1" a="1"/>
  <c r="V777" i="1" s="1"/>
  <c r="U777" i="1" a="1"/>
  <c r="U777" i="1"/>
  <c r="T777" i="1"/>
  <c r="S777" i="1"/>
  <c r="R777" i="1"/>
  <c r="Q777" i="1" a="1"/>
  <c r="Q777" i="1"/>
  <c r="P777" i="1"/>
  <c r="O777" i="1"/>
  <c r="N777" i="1" a="1"/>
  <c r="N777" i="1" s="1"/>
  <c r="M777" i="1" a="1"/>
  <c r="M777" i="1" s="1"/>
  <c r="L777" i="1" a="1"/>
  <c r="L777" i="1" s="1"/>
  <c r="V776" i="1" a="1"/>
  <c r="V776" i="1" s="1"/>
  <c r="U776" i="1" a="1"/>
  <c r="U776" i="1"/>
  <c r="T776" i="1"/>
  <c r="Q776" i="1" a="1"/>
  <c r="Q776" i="1" s="1"/>
  <c r="R776" i="1" s="1"/>
  <c r="S776" i="1" s="1"/>
  <c r="P776" i="1"/>
  <c r="O776" i="1"/>
  <c r="N776" i="1" a="1"/>
  <c r="N776" i="1"/>
  <c r="M776" i="1" a="1"/>
  <c r="M776" i="1" s="1"/>
  <c r="L776" i="1" a="1"/>
  <c r="L776" i="1"/>
  <c r="V775" i="1" a="1"/>
  <c r="V775" i="1" s="1"/>
  <c r="U775" i="1" a="1"/>
  <c r="U775" i="1" s="1"/>
  <c r="T775" i="1"/>
  <c r="Q775" i="1" a="1"/>
  <c r="Q775" i="1"/>
  <c r="R775" i="1" s="1"/>
  <c r="S775" i="1" s="1"/>
  <c r="P775" i="1"/>
  <c r="O775" i="1"/>
  <c r="N775" i="1" a="1"/>
  <c r="N775" i="1" s="1"/>
  <c r="M775" i="1" a="1"/>
  <c r="M775" i="1"/>
  <c r="L775" i="1" a="1"/>
  <c r="L775" i="1" s="1"/>
  <c r="V774" i="1" a="1"/>
  <c r="V774" i="1" s="1"/>
  <c r="U774" i="1" a="1"/>
  <c r="U774" i="1"/>
  <c r="T774" i="1"/>
  <c r="R774" i="1"/>
  <c r="S774" i="1" s="1"/>
  <c r="Q774" i="1" a="1"/>
  <c r="Q774" i="1"/>
  <c r="P774" i="1"/>
  <c r="O774" i="1"/>
  <c r="N774" i="1" a="1"/>
  <c r="N774" i="1"/>
  <c r="M774" i="1" a="1"/>
  <c r="M774" i="1"/>
  <c r="L774" i="1" a="1"/>
  <c r="L774" i="1" s="1"/>
  <c r="V773" i="1" a="1"/>
  <c r="V773" i="1"/>
  <c r="U773" i="1" a="1"/>
  <c r="U773" i="1" s="1"/>
  <c r="T773" i="1"/>
  <c r="Q773" i="1" a="1"/>
  <c r="Q773" i="1" s="1"/>
  <c r="R773" i="1" s="1"/>
  <c r="S773" i="1" s="1"/>
  <c r="P773" i="1"/>
  <c r="O773" i="1"/>
  <c r="N773" i="1" a="1"/>
  <c r="N773" i="1"/>
  <c r="M773" i="1" a="1"/>
  <c r="M773" i="1" s="1"/>
  <c r="L773" i="1" a="1"/>
  <c r="L773" i="1" s="1"/>
  <c r="V772" i="1" a="1"/>
  <c r="V772" i="1" s="1"/>
  <c r="U772" i="1" a="1"/>
  <c r="U772" i="1" s="1"/>
  <c r="T772" i="1"/>
  <c r="Q772" i="1" a="1"/>
  <c r="Q772" i="1"/>
  <c r="R772" i="1" s="1"/>
  <c r="S772" i="1" s="1"/>
  <c r="P772" i="1"/>
  <c r="O772" i="1"/>
  <c r="N772" i="1" a="1"/>
  <c r="N772" i="1" s="1"/>
  <c r="M772" i="1" a="1"/>
  <c r="M772" i="1"/>
  <c r="L772" i="1" a="1"/>
  <c r="L772" i="1"/>
  <c r="V771" i="1" a="1"/>
  <c r="V771" i="1" s="1"/>
  <c r="U771" i="1" a="1"/>
  <c r="U771" i="1" s="1"/>
  <c r="T771" i="1"/>
  <c r="R771" i="1"/>
  <c r="S771" i="1" s="1"/>
  <c r="Q771" i="1" a="1"/>
  <c r="Q771" i="1" s="1"/>
  <c r="P771" i="1"/>
  <c r="O771" i="1"/>
  <c r="N771" i="1" a="1"/>
  <c r="N771" i="1" s="1"/>
  <c r="M771" i="1" a="1"/>
  <c r="M771" i="1"/>
  <c r="L771" i="1" a="1"/>
  <c r="L771" i="1" s="1"/>
  <c r="V770" i="1" a="1"/>
  <c r="V770" i="1"/>
  <c r="U770" i="1" a="1"/>
  <c r="U770" i="1" s="1"/>
  <c r="T770" i="1"/>
  <c r="Q770" i="1" a="1"/>
  <c r="Q770" i="1" s="1"/>
  <c r="R770" i="1" s="1"/>
  <c r="S770" i="1" s="1"/>
  <c r="P770" i="1"/>
  <c r="O770" i="1"/>
  <c r="N770" i="1" a="1"/>
  <c r="N770" i="1" s="1"/>
  <c r="M770" i="1" a="1"/>
  <c r="M770" i="1" s="1"/>
  <c r="L770" i="1" a="1"/>
  <c r="L770" i="1"/>
  <c r="V769" i="1" a="1"/>
  <c r="V769" i="1"/>
  <c r="U769" i="1" a="1"/>
  <c r="U769" i="1" s="1"/>
  <c r="T769" i="1"/>
  <c r="Q769" i="1" a="1"/>
  <c r="Q769" i="1" s="1"/>
  <c r="R769" i="1" s="1"/>
  <c r="S769" i="1" s="1"/>
  <c r="P769" i="1"/>
  <c r="O769" i="1"/>
  <c r="N769" i="1" a="1"/>
  <c r="N769" i="1" s="1"/>
  <c r="M769" i="1" a="1"/>
  <c r="M769" i="1" s="1"/>
  <c r="L769" i="1" a="1"/>
  <c r="L769" i="1"/>
  <c r="V768" i="1" a="1"/>
  <c r="V768" i="1" s="1"/>
  <c r="U768" i="1" a="1"/>
  <c r="U768" i="1"/>
  <c r="T768" i="1"/>
  <c r="R768" i="1"/>
  <c r="S768" i="1" s="1"/>
  <c r="Q768" i="1" a="1"/>
  <c r="Q768" i="1"/>
  <c r="P768" i="1"/>
  <c r="O768" i="1"/>
  <c r="N768" i="1" a="1"/>
  <c r="N768" i="1" s="1"/>
  <c r="M768" i="1" a="1"/>
  <c r="M768" i="1"/>
  <c r="L768" i="1" a="1"/>
  <c r="L768" i="1" s="1"/>
  <c r="V767" i="1" a="1"/>
  <c r="V767" i="1"/>
  <c r="U767" i="1" a="1"/>
  <c r="U767" i="1"/>
  <c r="T767" i="1"/>
  <c r="R767" i="1"/>
  <c r="S767" i="1" s="1"/>
  <c r="Q767" i="1" a="1"/>
  <c r="Q767" i="1"/>
  <c r="P767" i="1"/>
  <c r="O767" i="1"/>
  <c r="N767" i="1" a="1"/>
  <c r="N767" i="1" s="1"/>
  <c r="M767" i="1" a="1"/>
  <c r="M767" i="1" s="1"/>
  <c r="L767" i="1" a="1"/>
  <c r="L767" i="1"/>
  <c r="V766" i="1" a="1"/>
  <c r="V766" i="1"/>
  <c r="U766" i="1" a="1"/>
  <c r="U766" i="1"/>
  <c r="T766" i="1"/>
  <c r="S766" i="1"/>
  <c r="Q766" i="1" a="1"/>
  <c r="Q766" i="1"/>
  <c r="R766" i="1" s="1"/>
  <c r="P766" i="1"/>
  <c r="O766" i="1"/>
  <c r="N766" i="1" a="1"/>
  <c r="N766" i="1" s="1"/>
  <c r="M766" i="1" a="1"/>
  <c r="M766" i="1" s="1"/>
  <c r="L766" i="1" a="1"/>
  <c r="L766" i="1" s="1"/>
  <c r="V765" i="1" a="1"/>
  <c r="V765" i="1" s="1"/>
  <c r="U765" i="1" a="1"/>
  <c r="U765" i="1"/>
  <c r="T765" i="1"/>
  <c r="S765" i="1"/>
  <c r="R765" i="1"/>
  <c r="Q765" i="1" a="1"/>
  <c r="Q765" i="1"/>
  <c r="P765" i="1"/>
  <c r="O765" i="1"/>
  <c r="N765" i="1" a="1"/>
  <c r="N765" i="1" s="1"/>
  <c r="M765" i="1" a="1"/>
  <c r="M765" i="1" s="1"/>
  <c r="L765" i="1" a="1"/>
  <c r="L765" i="1" s="1"/>
  <c r="V764" i="1" a="1"/>
  <c r="V764" i="1" s="1"/>
  <c r="U764" i="1" a="1"/>
  <c r="U764" i="1"/>
  <c r="T764" i="1"/>
  <c r="S764" i="1"/>
  <c r="R764" i="1"/>
  <c r="Q764" i="1" a="1"/>
  <c r="Q764" i="1" s="1"/>
  <c r="P764" i="1"/>
  <c r="O764" i="1"/>
  <c r="N764" i="1" a="1"/>
  <c r="N764" i="1"/>
  <c r="M764" i="1" a="1"/>
  <c r="M764" i="1" s="1"/>
  <c r="L764" i="1" a="1"/>
  <c r="L764" i="1"/>
  <c r="V763" i="1" a="1"/>
  <c r="V763" i="1"/>
  <c r="U763" i="1" a="1"/>
  <c r="U763" i="1" s="1"/>
  <c r="T763" i="1"/>
  <c r="Q763" i="1" a="1"/>
  <c r="Q763" i="1" s="1"/>
  <c r="R763" i="1" s="1"/>
  <c r="S763" i="1" s="1"/>
  <c r="P763" i="1"/>
  <c r="O763" i="1"/>
  <c r="N763" i="1" a="1"/>
  <c r="N763" i="1" s="1"/>
  <c r="M763" i="1" a="1"/>
  <c r="M763" i="1" s="1"/>
  <c r="L763" i="1" a="1"/>
  <c r="L763" i="1" s="1"/>
  <c r="V762" i="1" a="1"/>
  <c r="V762" i="1" s="1"/>
  <c r="U762" i="1" a="1"/>
  <c r="U762" i="1" s="1"/>
  <c r="T762" i="1"/>
  <c r="R762" i="1"/>
  <c r="S762" i="1" s="1"/>
  <c r="Q762" i="1" a="1"/>
  <c r="Q762" i="1" s="1"/>
  <c r="P762" i="1"/>
  <c r="O762" i="1"/>
  <c r="N762" i="1" a="1"/>
  <c r="N762" i="1"/>
  <c r="M762" i="1" a="1"/>
  <c r="M762" i="1"/>
  <c r="L762" i="1" a="1"/>
  <c r="L762" i="1" s="1"/>
  <c r="V761" i="1" a="1"/>
  <c r="V761" i="1" s="1"/>
  <c r="U761" i="1" a="1"/>
  <c r="U761" i="1" s="1"/>
  <c r="T761" i="1"/>
  <c r="Q761" i="1" a="1"/>
  <c r="Q761" i="1" s="1"/>
  <c r="R761" i="1" s="1"/>
  <c r="S761" i="1" s="1"/>
  <c r="P761" i="1"/>
  <c r="O761" i="1"/>
  <c r="N761" i="1" a="1"/>
  <c r="N761" i="1"/>
  <c r="M761" i="1" a="1"/>
  <c r="M761" i="1" s="1"/>
  <c r="L761" i="1" a="1"/>
  <c r="L761" i="1" s="1"/>
  <c r="V760" i="1" a="1"/>
  <c r="V760" i="1" s="1"/>
  <c r="U760" i="1" a="1"/>
  <c r="U760" i="1" s="1"/>
  <c r="T760" i="1"/>
  <c r="Q760" i="1" a="1"/>
  <c r="Q760" i="1" s="1"/>
  <c r="R760" i="1" s="1"/>
  <c r="S760" i="1" s="1"/>
  <c r="P760" i="1"/>
  <c r="O760" i="1"/>
  <c r="N760" i="1" a="1"/>
  <c r="N760" i="1" s="1"/>
  <c r="M760" i="1" a="1"/>
  <c r="M760" i="1"/>
  <c r="L760" i="1" a="1"/>
  <c r="L760" i="1"/>
  <c r="V759" i="1" a="1"/>
  <c r="V759" i="1" s="1"/>
  <c r="U759" i="1" a="1"/>
  <c r="U759" i="1" s="1"/>
  <c r="T759" i="1"/>
  <c r="S759" i="1"/>
  <c r="Q759" i="1" a="1"/>
  <c r="Q759" i="1" s="1"/>
  <c r="R759" i="1" s="1"/>
  <c r="P759" i="1"/>
  <c r="O759" i="1"/>
  <c r="N759" i="1" a="1"/>
  <c r="N759" i="1" s="1"/>
  <c r="M759" i="1" a="1"/>
  <c r="M759" i="1"/>
  <c r="L759" i="1" a="1"/>
  <c r="L759" i="1" s="1"/>
  <c r="V758" i="1" a="1"/>
  <c r="V758" i="1"/>
  <c r="U758" i="1" a="1"/>
  <c r="U758" i="1" s="1"/>
  <c r="T758" i="1"/>
  <c r="R758" i="1"/>
  <c r="S758" i="1" s="1"/>
  <c r="Q758" i="1" a="1"/>
  <c r="Q758" i="1" s="1"/>
  <c r="P758" i="1"/>
  <c r="O758" i="1"/>
  <c r="N758" i="1" a="1"/>
  <c r="N758" i="1" s="1"/>
  <c r="M758" i="1" a="1"/>
  <c r="M758" i="1" s="1"/>
  <c r="L758" i="1" a="1"/>
  <c r="L758" i="1"/>
  <c r="V757" i="1" a="1"/>
  <c r="V757" i="1"/>
  <c r="U757" i="1" a="1"/>
  <c r="U757" i="1" s="1"/>
  <c r="T757" i="1"/>
  <c r="Q757" i="1" a="1"/>
  <c r="Q757" i="1"/>
  <c r="R757" i="1" s="1"/>
  <c r="S757" i="1" s="1"/>
  <c r="P757" i="1"/>
  <c r="O757" i="1"/>
  <c r="N757" i="1" a="1"/>
  <c r="N757" i="1" s="1"/>
  <c r="M757" i="1" a="1"/>
  <c r="M757" i="1"/>
  <c r="L757" i="1" a="1"/>
  <c r="L757" i="1"/>
  <c r="V756" i="1" a="1"/>
  <c r="V756" i="1" s="1"/>
  <c r="U756" i="1" a="1"/>
  <c r="U756" i="1" s="1"/>
  <c r="T756" i="1"/>
  <c r="R756" i="1"/>
  <c r="S756" i="1" s="1"/>
  <c r="Q756" i="1" a="1"/>
  <c r="Q756" i="1"/>
  <c r="P756" i="1"/>
  <c r="O756" i="1"/>
  <c r="N756" i="1" a="1"/>
  <c r="N756" i="1"/>
  <c r="M756" i="1" a="1"/>
  <c r="M756" i="1" s="1"/>
  <c r="L756" i="1" a="1"/>
  <c r="L756" i="1" s="1"/>
  <c r="V755" i="1" a="1"/>
  <c r="V755" i="1"/>
  <c r="U755" i="1" a="1"/>
  <c r="U755" i="1"/>
  <c r="T755" i="1"/>
  <c r="Q755" i="1" a="1"/>
  <c r="Q755" i="1" s="1"/>
  <c r="R755" i="1" s="1"/>
  <c r="S755" i="1" s="1"/>
  <c r="P755" i="1"/>
  <c r="O755" i="1"/>
  <c r="N755" i="1" a="1"/>
  <c r="N755" i="1" s="1"/>
  <c r="M755" i="1" a="1"/>
  <c r="M755" i="1" s="1"/>
  <c r="L755" i="1" a="1"/>
  <c r="L755" i="1"/>
  <c r="V754" i="1" a="1"/>
  <c r="V754" i="1"/>
  <c r="U754" i="1" a="1"/>
  <c r="U754" i="1"/>
  <c r="T754" i="1"/>
  <c r="Q754" i="1" a="1"/>
  <c r="Q754" i="1"/>
  <c r="R754" i="1" s="1"/>
  <c r="S754" i="1" s="1"/>
  <c r="P754" i="1"/>
  <c r="O754" i="1"/>
  <c r="N754" i="1" a="1"/>
  <c r="N754" i="1" s="1"/>
  <c r="M754" i="1" a="1"/>
  <c r="M754" i="1" s="1"/>
  <c r="L754" i="1" a="1"/>
  <c r="L754" i="1" s="1"/>
  <c r="V753" i="1" a="1"/>
  <c r="V753" i="1" s="1"/>
  <c r="U753" i="1" a="1"/>
  <c r="U753" i="1"/>
  <c r="T753" i="1"/>
  <c r="S753" i="1"/>
  <c r="R753" i="1"/>
  <c r="Q753" i="1" a="1"/>
  <c r="Q753" i="1"/>
  <c r="P753" i="1"/>
  <c r="O753" i="1"/>
  <c r="N753" i="1" a="1"/>
  <c r="N753" i="1" s="1"/>
  <c r="M753" i="1" a="1"/>
  <c r="M753" i="1" s="1"/>
  <c r="L753" i="1" a="1"/>
  <c r="L753" i="1" s="1"/>
  <c r="V752" i="1" a="1"/>
  <c r="V752" i="1"/>
  <c r="U752" i="1" a="1"/>
  <c r="U752" i="1"/>
  <c r="T752" i="1"/>
  <c r="Q752" i="1" a="1"/>
  <c r="Q752" i="1" s="1"/>
  <c r="R752" i="1" s="1"/>
  <c r="S752" i="1" s="1"/>
  <c r="P752" i="1"/>
  <c r="O752" i="1"/>
  <c r="N752" i="1" a="1"/>
  <c r="N752" i="1"/>
  <c r="M752" i="1" a="1"/>
  <c r="M752" i="1" s="1"/>
  <c r="L752" i="1" a="1"/>
  <c r="L752" i="1"/>
  <c r="V751" i="1" a="1"/>
  <c r="V751" i="1"/>
  <c r="U751" i="1" a="1"/>
  <c r="U751" i="1" s="1"/>
  <c r="T751" i="1"/>
  <c r="Q751" i="1" a="1"/>
  <c r="Q751" i="1" s="1"/>
  <c r="R751" i="1" s="1"/>
  <c r="S751" i="1" s="1"/>
  <c r="P751" i="1"/>
  <c r="O751" i="1"/>
  <c r="N751" i="1" a="1"/>
  <c r="N751" i="1"/>
  <c r="M751" i="1" a="1"/>
  <c r="M751" i="1" s="1"/>
  <c r="L751" i="1" a="1"/>
  <c r="L751" i="1" s="1"/>
  <c r="V750" i="1" a="1"/>
  <c r="V750" i="1" s="1"/>
  <c r="U750" i="1" a="1"/>
  <c r="U750" i="1"/>
  <c r="T750" i="1"/>
  <c r="Q750" i="1" a="1"/>
  <c r="Q750" i="1" s="1"/>
  <c r="R750" i="1" s="1"/>
  <c r="S750" i="1" s="1"/>
  <c r="P750" i="1"/>
  <c r="O750" i="1"/>
  <c r="N750" i="1" a="1"/>
  <c r="N750" i="1"/>
  <c r="M750" i="1" a="1"/>
  <c r="M750" i="1"/>
  <c r="L750" i="1" a="1"/>
  <c r="L750" i="1" s="1"/>
  <c r="V749" i="1" a="1"/>
  <c r="V749" i="1" s="1"/>
  <c r="U749" i="1" a="1"/>
  <c r="U749" i="1"/>
  <c r="T749" i="1"/>
  <c r="S749" i="1"/>
  <c r="Q749" i="1" a="1"/>
  <c r="Q749" i="1" s="1"/>
  <c r="R749" i="1" s="1"/>
  <c r="P749" i="1"/>
  <c r="O749" i="1"/>
  <c r="N749" i="1" a="1"/>
  <c r="N749" i="1"/>
  <c r="M749" i="1" a="1"/>
  <c r="M749" i="1" s="1"/>
  <c r="L749" i="1" a="1"/>
  <c r="L749" i="1"/>
  <c r="V748" i="1" a="1"/>
  <c r="V748" i="1"/>
  <c r="U748" i="1" a="1"/>
  <c r="U748" i="1" s="1"/>
  <c r="T748" i="1"/>
  <c r="Q748" i="1" a="1"/>
  <c r="Q748" i="1" s="1"/>
  <c r="R748" i="1" s="1"/>
  <c r="S748" i="1" s="1"/>
  <c r="P748" i="1"/>
  <c r="O748" i="1"/>
  <c r="N748" i="1" a="1"/>
  <c r="N748" i="1" s="1"/>
  <c r="M748" i="1" a="1"/>
  <c r="M748" i="1" s="1"/>
  <c r="L748" i="1" a="1"/>
  <c r="L748" i="1"/>
  <c r="V747" i="1" a="1"/>
  <c r="V747" i="1" s="1"/>
  <c r="U747" i="1" a="1"/>
  <c r="U747" i="1"/>
  <c r="T747" i="1"/>
  <c r="Q747" i="1" a="1"/>
  <c r="Q747" i="1" s="1"/>
  <c r="R747" i="1" s="1"/>
  <c r="S747" i="1" s="1"/>
  <c r="P747" i="1"/>
  <c r="O747" i="1"/>
  <c r="N747" i="1" a="1"/>
  <c r="N747" i="1"/>
  <c r="M747" i="1" a="1"/>
  <c r="M747" i="1"/>
  <c r="L747" i="1" a="1"/>
  <c r="L747" i="1" s="1"/>
  <c r="V746" i="1" a="1"/>
  <c r="V746" i="1" s="1"/>
  <c r="U746" i="1" a="1"/>
  <c r="U746" i="1" s="1"/>
  <c r="T746" i="1"/>
  <c r="Q746" i="1" a="1"/>
  <c r="Q746" i="1" s="1"/>
  <c r="R746" i="1" s="1"/>
  <c r="S746" i="1" s="1"/>
  <c r="P746" i="1"/>
  <c r="O746" i="1"/>
  <c r="N746" i="1" a="1"/>
  <c r="N746" i="1"/>
  <c r="M746" i="1" a="1"/>
  <c r="M746" i="1"/>
  <c r="L746" i="1" a="1"/>
  <c r="L746" i="1" s="1"/>
  <c r="V745" i="1" a="1"/>
  <c r="V745" i="1"/>
  <c r="U745" i="1" a="1"/>
  <c r="U745" i="1" s="1"/>
  <c r="T745" i="1"/>
  <c r="S745" i="1"/>
  <c r="R745" i="1"/>
  <c r="Q745" i="1" a="1"/>
  <c r="Q745" i="1"/>
  <c r="P745" i="1"/>
  <c r="O745" i="1"/>
  <c r="N745" i="1" a="1"/>
  <c r="N745" i="1" s="1"/>
  <c r="M745" i="1" a="1"/>
  <c r="M745" i="1" s="1"/>
  <c r="L745" i="1" a="1"/>
  <c r="L745" i="1"/>
  <c r="V744" i="1" a="1"/>
  <c r="V744" i="1"/>
  <c r="U744" i="1" a="1"/>
  <c r="U744" i="1" s="1"/>
  <c r="T744" i="1"/>
  <c r="Q744" i="1" a="1"/>
  <c r="Q744" i="1"/>
  <c r="R744" i="1" s="1"/>
  <c r="S744" i="1" s="1"/>
  <c r="P744" i="1"/>
  <c r="O744" i="1"/>
  <c r="N744" i="1" a="1"/>
  <c r="N744" i="1" s="1"/>
  <c r="M744" i="1" a="1"/>
  <c r="M744" i="1"/>
  <c r="L744" i="1" a="1"/>
  <c r="L744" i="1"/>
  <c r="V743" i="1" a="1"/>
  <c r="V743" i="1"/>
  <c r="U743" i="1" a="1"/>
  <c r="U743" i="1"/>
  <c r="T743" i="1"/>
  <c r="R743" i="1"/>
  <c r="S743" i="1" s="1"/>
  <c r="Q743" i="1" a="1"/>
  <c r="Q743" i="1" s="1"/>
  <c r="P743" i="1"/>
  <c r="O743" i="1"/>
  <c r="N743" i="1" a="1"/>
  <c r="N743" i="1"/>
  <c r="M743" i="1" a="1"/>
  <c r="M743" i="1" s="1"/>
  <c r="L743" i="1" a="1"/>
  <c r="L743" i="1" s="1"/>
  <c r="V742" i="1" a="1"/>
  <c r="V742" i="1"/>
  <c r="U742" i="1" a="1"/>
  <c r="U742" i="1" s="1"/>
  <c r="T742" i="1"/>
  <c r="R742" i="1"/>
  <c r="S742" i="1" s="1"/>
  <c r="Q742" i="1" a="1"/>
  <c r="Q742" i="1"/>
  <c r="P742" i="1"/>
  <c r="O742" i="1"/>
  <c r="N742" i="1" a="1"/>
  <c r="N742" i="1" s="1"/>
  <c r="M742" i="1" a="1"/>
  <c r="M742" i="1" s="1"/>
  <c r="L742" i="1" a="1"/>
  <c r="L742" i="1" s="1"/>
  <c r="V741" i="1" a="1"/>
  <c r="V741" i="1" s="1"/>
  <c r="U741" i="1" a="1"/>
  <c r="U741" i="1" s="1"/>
  <c r="T741" i="1"/>
  <c r="R741" i="1"/>
  <c r="S741" i="1" s="1"/>
  <c r="Q741" i="1" a="1"/>
  <c r="Q741" i="1"/>
  <c r="P741" i="1"/>
  <c r="O741" i="1"/>
  <c r="N741" i="1" a="1"/>
  <c r="N741" i="1"/>
  <c r="M741" i="1" a="1"/>
  <c r="M741" i="1" s="1"/>
  <c r="L741" i="1" a="1"/>
  <c r="L741" i="1" s="1"/>
  <c r="V740" i="1" a="1"/>
  <c r="V740" i="1" s="1"/>
  <c r="U740" i="1" a="1"/>
  <c r="U740" i="1"/>
  <c r="T740" i="1"/>
  <c r="Q740" i="1" a="1"/>
  <c r="Q740" i="1" s="1"/>
  <c r="R740" i="1" s="1"/>
  <c r="S740" i="1" s="1"/>
  <c r="P740" i="1"/>
  <c r="O740" i="1"/>
  <c r="N740" i="1" a="1"/>
  <c r="N740" i="1"/>
  <c r="M740" i="1" a="1"/>
  <c r="M740" i="1" s="1"/>
  <c r="L740" i="1" a="1"/>
  <c r="L740" i="1"/>
  <c r="V739" i="1" a="1"/>
  <c r="V739" i="1" s="1"/>
  <c r="U739" i="1" a="1"/>
  <c r="U739" i="1" s="1"/>
  <c r="T739" i="1"/>
  <c r="S739" i="1"/>
  <c r="Q739" i="1" a="1"/>
  <c r="Q739" i="1" s="1"/>
  <c r="R739" i="1" s="1"/>
  <c r="P739" i="1"/>
  <c r="O739" i="1"/>
  <c r="N739" i="1" a="1"/>
  <c r="N739" i="1" s="1"/>
  <c r="M739" i="1" a="1"/>
  <c r="M739" i="1" s="1"/>
  <c r="L739" i="1" a="1"/>
  <c r="L739" i="1"/>
  <c r="V738" i="1" a="1"/>
  <c r="V738" i="1" s="1"/>
  <c r="U738" i="1" a="1"/>
  <c r="U738" i="1"/>
  <c r="T738" i="1"/>
  <c r="Q738" i="1" a="1"/>
  <c r="Q738" i="1" s="1"/>
  <c r="R738" i="1" s="1"/>
  <c r="S738" i="1" s="1"/>
  <c r="P738" i="1"/>
  <c r="O738" i="1"/>
  <c r="N738" i="1" a="1"/>
  <c r="N738" i="1"/>
  <c r="M738" i="1" a="1"/>
  <c r="M738" i="1"/>
  <c r="L738" i="1" a="1"/>
  <c r="L738" i="1" s="1"/>
  <c r="V737" i="1" a="1"/>
  <c r="V737" i="1"/>
  <c r="U737" i="1" a="1"/>
  <c r="U737" i="1"/>
  <c r="T737" i="1"/>
  <c r="S737" i="1"/>
  <c r="Q737" i="1" a="1"/>
  <c r="Q737" i="1" s="1"/>
  <c r="R737" i="1" s="1"/>
  <c r="P737" i="1"/>
  <c r="O737" i="1"/>
  <c r="N737" i="1" a="1"/>
  <c r="N737" i="1"/>
  <c r="M737" i="1" a="1"/>
  <c r="M737" i="1"/>
  <c r="L737" i="1" a="1"/>
  <c r="L737" i="1"/>
  <c r="V736" i="1" a="1"/>
  <c r="V736" i="1" s="1"/>
  <c r="U736" i="1" a="1"/>
  <c r="U736" i="1" s="1"/>
  <c r="T736" i="1"/>
  <c r="Q736" i="1" a="1"/>
  <c r="Q736" i="1"/>
  <c r="R736" i="1" s="1"/>
  <c r="S736" i="1" s="1"/>
  <c r="P736" i="1"/>
  <c r="O736" i="1"/>
  <c r="N736" i="1" a="1"/>
  <c r="N736" i="1" s="1"/>
  <c r="M736" i="1" a="1"/>
  <c r="M736" i="1"/>
  <c r="L736" i="1" a="1"/>
  <c r="L736" i="1"/>
  <c r="V735" i="1" a="1"/>
  <c r="V735" i="1" s="1"/>
  <c r="U735" i="1" a="1"/>
  <c r="U735" i="1" s="1"/>
  <c r="T735" i="1"/>
  <c r="Q735" i="1" a="1"/>
  <c r="Q735" i="1" s="1"/>
  <c r="R735" i="1" s="1"/>
  <c r="S735" i="1" s="1"/>
  <c r="P735" i="1"/>
  <c r="O735" i="1"/>
  <c r="N735" i="1" a="1"/>
  <c r="N735" i="1" s="1"/>
  <c r="M735" i="1" a="1"/>
  <c r="M735" i="1"/>
  <c r="L735" i="1" a="1"/>
  <c r="L735" i="1" s="1"/>
  <c r="V734" i="1" a="1"/>
  <c r="V734" i="1" s="1"/>
  <c r="U734" i="1" a="1"/>
  <c r="U734" i="1" s="1"/>
  <c r="T734" i="1"/>
  <c r="Q734" i="1" a="1"/>
  <c r="Q734" i="1" s="1"/>
  <c r="R734" i="1" s="1"/>
  <c r="S734" i="1" s="1"/>
  <c r="P734" i="1"/>
  <c r="O734" i="1"/>
  <c r="N734" i="1" a="1"/>
  <c r="N734" i="1" s="1"/>
  <c r="M734" i="1" a="1"/>
  <c r="M734" i="1"/>
  <c r="L734" i="1" a="1"/>
  <c r="L734" i="1"/>
  <c r="V733" i="1" a="1"/>
  <c r="V733" i="1"/>
  <c r="U733" i="1" a="1"/>
  <c r="U733" i="1" s="1"/>
  <c r="T733" i="1"/>
  <c r="Q733" i="1" a="1"/>
  <c r="Q733" i="1"/>
  <c r="R733" i="1" s="1"/>
  <c r="S733" i="1" s="1"/>
  <c r="P733" i="1"/>
  <c r="O733" i="1"/>
  <c r="N733" i="1" a="1"/>
  <c r="N733" i="1" s="1"/>
  <c r="M733" i="1" a="1"/>
  <c r="M733" i="1" s="1"/>
  <c r="L733" i="1" a="1"/>
  <c r="L733" i="1"/>
  <c r="V732" i="1" a="1"/>
  <c r="V732" i="1" s="1"/>
  <c r="U732" i="1" a="1"/>
  <c r="U732" i="1"/>
  <c r="T732" i="1"/>
  <c r="R732" i="1"/>
  <c r="S732" i="1" s="1"/>
  <c r="Q732" i="1" a="1"/>
  <c r="Q732" i="1"/>
  <c r="P732" i="1"/>
  <c r="O732" i="1"/>
  <c r="N732" i="1" a="1"/>
  <c r="N732" i="1" s="1"/>
  <c r="M732" i="1" a="1"/>
  <c r="M732" i="1"/>
  <c r="L732" i="1" a="1"/>
  <c r="L732" i="1" s="1"/>
  <c r="V731" i="1" a="1"/>
  <c r="V731" i="1"/>
  <c r="U731" i="1" a="1"/>
  <c r="U731" i="1"/>
  <c r="T731" i="1"/>
  <c r="R731" i="1"/>
  <c r="S731" i="1" s="1"/>
  <c r="Q731" i="1" a="1"/>
  <c r="Q731" i="1" s="1"/>
  <c r="P731" i="1"/>
  <c r="O731" i="1"/>
  <c r="N731" i="1" a="1"/>
  <c r="N731" i="1" s="1"/>
  <c r="M731" i="1" a="1"/>
  <c r="M731" i="1" s="1"/>
  <c r="L731" i="1" a="1"/>
  <c r="L731" i="1" s="1"/>
  <c r="V730" i="1" a="1"/>
  <c r="V730" i="1"/>
  <c r="U730" i="1" a="1"/>
  <c r="U730" i="1"/>
  <c r="T730" i="1"/>
  <c r="Q730" i="1" a="1"/>
  <c r="Q730" i="1"/>
  <c r="R730" i="1" s="1"/>
  <c r="S730" i="1" s="1"/>
  <c r="P730" i="1"/>
  <c r="O730" i="1"/>
  <c r="N730" i="1" a="1"/>
  <c r="N730" i="1" s="1"/>
  <c r="M730" i="1" a="1"/>
  <c r="M730" i="1" s="1"/>
  <c r="L730" i="1" a="1"/>
  <c r="L730" i="1" s="1"/>
  <c r="V729" i="1" a="1"/>
  <c r="V729" i="1" s="1"/>
  <c r="U729" i="1" a="1"/>
  <c r="U729" i="1" s="1"/>
  <c r="T729" i="1"/>
  <c r="R729" i="1"/>
  <c r="S729" i="1" s="1"/>
  <c r="Q729" i="1" a="1"/>
  <c r="Q729" i="1"/>
  <c r="P729" i="1"/>
  <c r="O729" i="1"/>
  <c r="N729" i="1" a="1"/>
  <c r="N729" i="1" s="1"/>
  <c r="M729" i="1" a="1"/>
  <c r="M729" i="1"/>
  <c r="L729" i="1" a="1"/>
  <c r="L729" i="1" s="1"/>
  <c r="V728" i="1" a="1"/>
  <c r="V728" i="1"/>
  <c r="U728" i="1" a="1"/>
  <c r="U728" i="1"/>
  <c r="T728" i="1"/>
  <c r="Q728" i="1" a="1"/>
  <c r="Q728" i="1"/>
  <c r="R728" i="1" s="1"/>
  <c r="S728" i="1" s="1"/>
  <c r="P728" i="1"/>
  <c r="O728" i="1"/>
  <c r="N728" i="1" a="1"/>
  <c r="N728" i="1"/>
  <c r="M728" i="1" a="1"/>
  <c r="M728" i="1" s="1"/>
  <c r="L728" i="1" a="1"/>
  <c r="L728" i="1" s="1"/>
  <c r="V727" i="1" a="1"/>
  <c r="V727" i="1" s="1"/>
  <c r="U727" i="1" a="1"/>
  <c r="U727" i="1" s="1"/>
  <c r="T727" i="1"/>
  <c r="Q727" i="1" a="1"/>
  <c r="Q727" i="1"/>
  <c r="R727" i="1" s="1"/>
  <c r="S727" i="1" s="1"/>
  <c r="P727" i="1"/>
  <c r="O727" i="1"/>
  <c r="N727" i="1" a="1"/>
  <c r="N727" i="1" s="1"/>
  <c r="M727" i="1" a="1"/>
  <c r="M727" i="1" s="1"/>
  <c r="L727" i="1" a="1"/>
  <c r="L727" i="1"/>
  <c r="V726" i="1" a="1"/>
  <c r="V726" i="1" s="1"/>
  <c r="U726" i="1" a="1"/>
  <c r="U726" i="1"/>
  <c r="T726" i="1"/>
  <c r="Q726" i="1" a="1"/>
  <c r="Q726" i="1" s="1"/>
  <c r="R726" i="1" s="1"/>
  <c r="S726" i="1" s="1"/>
  <c r="P726" i="1"/>
  <c r="O726" i="1"/>
  <c r="N726" i="1" a="1"/>
  <c r="N726" i="1" s="1"/>
  <c r="M726" i="1" a="1"/>
  <c r="M726" i="1"/>
  <c r="L726" i="1" a="1"/>
  <c r="L726" i="1" s="1"/>
  <c r="V725" i="1" a="1"/>
  <c r="V725" i="1" s="1"/>
  <c r="U725" i="1" a="1"/>
  <c r="U725" i="1" s="1"/>
  <c r="T725" i="1"/>
  <c r="Q725" i="1" a="1"/>
  <c r="Q725" i="1" s="1"/>
  <c r="R725" i="1" s="1"/>
  <c r="S725" i="1" s="1"/>
  <c r="P725" i="1"/>
  <c r="O725" i="1"/>
  <c r="N725" i="1" a="1"/>
  <c r="N725" i="1"/>
  <c r="M725" i="1" a="1"/>
  <c r="M725" i="1"/>
  <c r="L725" i="1" a="1"/>
  <c r="L725" i="1" s="1"/>
  <c r="V724" i="1" a="1"/>
  <c r="V724" i="1"/>
  <c r="U724" i="1" a="1"/>
  <c r="U724" i="1" s="1"/>
  <c r="T724" i="1"/>
  <c r="S724" i="1"/>
  <c r="Q724" i="1" a="1"/>
  <c r="Q724" i="1" s="1"/>
  <c r="R724" i="1" s="1"/>
  <c r="P724" i="1"/>
  <c r="O724" i="1"/>
  <c r="N724" i="1" a="1"/>
  <c r="N724" i="1"/>
  <c r="M724" i="1" a="1"/>
  <c r="M724" i="1" s="1"/>
  <c r="L724" i="1" a="1"/>
  <c r="L724" i="1"/>
  <c r="V723" i="1" a="1"/>
  <c r="V723" i="1" s="1"/>
  <c r="U723" i="1" a="1"/>
  <c r="U723" i="1" s="1"/>
  <c r="T723" i="1"/>
  <c r="Q723" i="1" a="1"/>
  <c r="Q723" i="1"/>
  <c r="R723" i="1" s="1"/>
  <c r="S723" i="1" s="1"/>
  <c r="P723" i="1"/>
  <c r="O723" i="1"/>
  <c r="N723" i="1" a="1"/>
  <c r="N723" i="1" s="1"/>
  <c r="M723" i="1" a="1"/>
  <c r="M723" i="1"/>
  <c r="L723" i="1" a="1"/>
  <c r="L723" i="1" s="1"/>
  <c r="V722" i="1" a="1"/>
  <c r="V722" i="1" s="1"/>
  <c r="U722" i="1" a="1"/>
  <c r="U722" i="1" s="1"/>
  <c r="T722" i="1"/>
  <c r="Q722" i="1" a="1"/>
  <c r="Q722" i="1" s="1"/>
  <c r="R722" i="1" s="1"/>
  <c r="S722" i="1" s="1"/>
  <c r="P722" i="1"/>
  <c r="O722" i="1"/>
  <c r="N722" i="1" a="1"/>
  <c r="N722" i="1"/>
  <c r="M722" i="1" a="1"/>
  <c r="M722" i="1"/>
  <c r="L722" i="1" a="1"/>
  <c r="L722" i="1"/>
  <c r="V721" i="1" a="1"/>
  <c r="V721" i="1"/>
  <c r="U721" i="1" a="1"/>
  <c r="U721" i="1" s="1"/>
  <c r="T721" i="1"/>
  <c r="Q721" i="1" a="1"/>
  <c r="Q721" i="1" s="1"/>
  <c r="R721" i="1" s="1"/>
  <c r="S721" i="1" s="1"/>
  <c r="P721" i="1"/>
  <c r="O721" i="1"/>
  <c r="N721" i="1" a="1"/>
  <c r="N721" i="1" s="1"/>
  <c r="M721" i="1" a="1"/>
  <c r="M721" i="1" s="1"/>
  <c r="L721" i="1" a="1"/>
  <c r="L721" i="1"/>
  <c r="V720" i="1" a="1"/>
  <c r="V720" i="1" s="1"/>
  <c r="U720" i="1" a="1"/>
  <c r="U720" i="1"/>
  <c r="T720" i="1"/>
  <c r="Q720" i="1" a="1"/>
  <c r="Q720" i="1"/>
  <c r="R720" i="1" s="1"/>
  <c r="S720" i="1" s="1"/>
  <c r="P720" i="1"/>
  <c r="O720" i="1"/>
  <c r="N720" i="1" a="1"/>
  <c r="N720" i="1"/>
  <c r="M720" i="1" a="1"/>
  <c r="M720" i="1"/>
  <c r="L720" i="1" a="1"/>
  <c r="L720" i="1"/>
  <c r="V719" i="1" a="1"/>
  <c r="V719" i="1"/>
  <c r="U719" i="1" a="1"/>
  <c r="U719" i="1"/>
  <c r="T719" i="1"/>
  <c r="R719" i="1"/>
  <c r="S719" i="1" s="1"/>
  <c r="Q719" i="1" a="1"/>
  <c r="Q719" i="1"/>
  <c r="P719" i="1"/>
  <c r="O719" i="1"/>
  <c r="N719" i="1" a="1"/>
  <c r="N719" i="1"/>
  <c r="M719" i="1" a="1"/>
  <c r="M719" i="1" s="1"/>
  <c r="L719" i="1" a="1"/>
  <c r="L719" i="1"/>
  <c r="V718" i="1" a="1"/>
  <c r="V718" i="1"/>
  <c r="U718" i="1" a="1"/>
  <c r="U718" i="1" s="1"/>
  <c r="T718" i="1"/>
  <c r="Q718" i="1" a="1"/>
  <c r="Q718" i="1"/>
  <c r="R718" i="1" s="1"/>
  <c r="S718" i="1" s="1"/>
  <c r="P718" i="1"/>
  <c r="O718" i="1"/>
  <c r="N718" i="1" a="1"/>
  <c r="N718" i="1" s="1"/>
  <c r="M718" i="1" a="1"/>
  <c r="M718" i="1"/>
  <c r="L718" i="1" a="1"/>
  <c r="L718" i="1" s="1"/>
  <c r="V717" i="1" a="1"/>
  <c r="V717" i="1" s="1"/>
  <c r="U717" i="1" a="1"/>
  <c r="U717" i="1" s="1"/>
  <c r="T717" i="1"/>
  <c r="Q717" i="1" a="1"/>
  <c r="Q717" i="1"/>
  <c r="R717" i="1" s="1"/>
  <c r="S717" i="1" s="1"/>
  <c r="P717" i="1"/>
  <c r="O717" i="1"/>
  <c r="N717" i="1" a="1"/>
  <c r="N717" i="1"/>
  <c r="M717" i="1" a="1"/>
  <c r="M717" i="1"/>
  <c r="L717" i="1" a="1"/>
  <c r="L717" i="1" s="1"/>
  <c r="V716" i="1" a="1"/>
  <c r="V716" i="1" s="1"/>
  <c r="U716" i="1" a="1"/>
  <c r="U716" i="1"/>
  <c r="T716" i="1"/>
  <c r="R716" i="1"/>
  <c r="S716" i="1" s="1"/>
  <c r="Q716" i="1" a="1"/>
  <c r="Q716" i="1"/>
  <c r="P716" i="1"/>
  <c r="O716" i="1"/>
  <c r="N716" i="1" a="1"/>
  <c r="N716" i="1"/>
  <c r="M716" i="1" a="1"/>
  <c r="M716" i="1" s="1"/>
  <c r="L716" i="1" a="1"/>
  <c r="L716" i="1" s="1"/>
  <c r="V715" i="1" a="1"/>
  <c r="V715" i="1"/>
  <c r="U715" i="1" a="1"/>
  <c r="U715" i="1" s="1"/>
  <c r="T715" i="1"/>
  <c r="Q715" i="1" a="1"/>
  <c r="Q715" i="1"/>
  <c r="R715" i="1" s="1"/>
  <c r="S715" i="1" s="1"/>
  <c r="P715" i="1"/>
  <c r="O715" i="1"/>
  <c r="N715" i="1" a="1"/>
  <c r="N715" i="1"/>
  <c r="M715" i="1" a="1"/>
  <c r="M715" i="1" s="1"/>
  <c r="L715" i="1" a="1"/>
  <c r="L715" i="1" s="1"/>
  <c r="V714" i="1" a="1"/>
  <c r="V714" i="1" s="1"/>
  <c r="U714" i="1" a="1"/>
  <c r="U714" i="1"/>
  <c r="T714" i="1"/>
  <c r="Q714" i="1" a="1"/>
  <c r="Q714" i="1" s="1"/>
  <c r="R714" i="1" s="1"/>
  <c r="S714" i="1" s="1"/>
  <c r="P714" i="1"/>
  <c r="O714" i="1"/>
  <c r="N714" i="1" a="1"/>
  <c r="N714" i="1" s="1"/>
  <c r="M714" i="1" a="1"/>
  <c r="M714" i="1"/>
  <c r="L714" i="1" a="1"/>
  <c r="L714" i="1" s="1"/>
  <c r="V713" i="1" a="1"/>
  <c r="V713" i="1" s="1"/>
  <c r="U713" i="1" a="1"/>
  <c r="U713" i="1"/>
  <c r="T713" i="1"/>
  <c r="Q713" i="1" a="1"/>
  <c r="Q713" i="1" s="1"/>
  <c r="R713" i="1" s="1"/>
  <c r="S713" i="1" s="1"/>
  <c r="P713" i="1"/>
  <c r="O713" i="1"/>
  <c r="N713" i="1" a="1"/>
  <c r="N713" i="1"/>
  <c r="M713" i="1" a="1"/>
  <c r="M713" i="1" s="1"/>
  <c r="L713" i="1" a="1"/>
  <c r="L713" i="1"/>
  <c r="V712" i="1" a="1"/>
  <c r="V712" i="1"/>
  <c r="U712" i="1" a="1"/>
  <c r="U712" i="1" s="1"/>
  <c r="T712" i="1"/>
  <c r="Q712" i="1" a="1"/>
  <c r="Q712" i="1" s="1"/>
  <c r="R712" i="1" s="1"/>
  <c r="S712" i="1" s="1"/>
  <c r="P712" i="1"/>
  <c r="O712" i="1"/>
  <c r="N712" i="1" a="1"/>
  <c r="N712" i="1" s="1"/>
  <c r="M712" i="1" a="1"/>
  <c r="M712" i="1" s="1"/>
  <c r="L712" i="1" a="1"/>
  <c r="L712" i="1"/>
  <c r="V711" i="1" a="1"/>
  <c r="V711" i="1" s="1"/>
  <c r="U711" i="1" a="1"/>
  <c r="U711" i="1"/>
  <c r="T711" i="1"/>
  <c r="Q711" i="1" a="1"/>
  <c r="Q711" i="1" s="1"/>
  <c r="R711" i="1" s="1"/>
  <c r="S711" i="1" s="1"/>
  <c r="P711" i="1"/>
  <c r="O711" i="1"/>
  <c r="N711" i="1" a="1"/>
  <c r="N711" i="1" s="1"/>
  <c r="M711" i="1" a="1"/>
  <c r="M711" i="1"/>
  <c r="L711" i="1" a="1"/>
  <c r="L711" i="1" s="1"/>
  <c r="V710" i="1" a="1"/>
  <c r="V710" i="1" s="1"/>
  <c r="U710" i="1" a="1"/>
  <c r="U710" i="1" s="1"/>
  <c r="T710" i="1"/>
  <c r="Q710" i="1" a="1"/>
  <c r="Q710" i="1" s="1"/>
  <c r="R710" i="1" s="1"/>
  <c r="S710" i="1" s="1"/>
  <c r="P710" i="1"/>
  <c r="O710" i="1"/>
  <c r="N710" i="1" a="1"/>
  <c r="N710" i="1"/>
  <c r="M710" i="1" a="1"/>
  <c r="M710" i="1"/>
  <c r="L710" i="1" a="1"/>
  <c r="L710" i="1"/>
  <c r="V709" i="1" a="1"/>
  <c r="V709" i="1"/>
  <c r="U709" i="1" a="1"/>
  <c r="U709" i="1" s="1"/>
  <c r="T709" i="1"/>
  <c r="S709" i="1"/>
  <c r="R709" i="1"/>
  <c r="Q709" i="1" a="1"/>
  <c r="Q709" i="1"/>
  <c r="P709" i="1"/>
  <c r="O709" i="1"/>
  <c r="N709" i="1" a="1"/>
  <c r="N709" i="1" s="1"/>
  <c r="M709" i="1" a="1"/>
  <c r="M709" i="1" s="1"/>
  <c r="L709" i="1" a="1"/>
  <c r="L709" i="1"/>
  <c r="V708" i="1" a="1"/>
  <c r="V708" i="1"/>
  <c r="U708" i="1" a="1"/>
  <c r="U708" i="1" s="1"/>
  <c r="T708" i="1"/>
  <c r="Q708" i="1" a="1"/>
  <c r="Q708" i="1"/>
  <c r="R708" i="1" s="1"/>
  <c r="S708" i="1" s="1"/>
  <c r="P708" i="1"/>
  <c r="O708" i="1"/>
  <c r="N708" i="1" a="1"/>
  <c r="N708" i="1" s="1"/>
  <c r="M708" i="1" a="1"/>
  <c r="M708" i="1"/>
  <c r="L708" i="1" a="1"/>
  <c r="L708" i="1"/>
  <c r="V707" i="1" a="1"/>
  <c r="V707" i="1"/>
  <c r="U707" i="1" a="1"/>
  <c r="U707" i="1"/>
  <c r="T707" i="1"/>
  <c r="Q707" i="1" a="1"/>
  <c r="Q707" i="1" s="1"/>
  <c r="R707" i="1" s="1"/>
  <c r="S707" i="1" s="1"/>
  <c r="P707" i="1"/>
  <c r="O707" i="1"/>
  <c r="N707" i="1" a="1"/>
  <c r="N707" i="1"/>
  <c r="M707" i="1" a="1"/>
  <c r="M707" i="1" s="1"/>
  <c r="L707" i="1" a="1"/>
  <c r="L707" i="1"/>
  <c r="V706" i="1" a="1"/>
  <c r="V706" i="1"/>
  <c r="U706" i="1" a="1"/>
  <c r="U706" i="1" s="1"/>
  <c r="T706" i="1"/>
  <c r="R706" i="1"/>
  <c r="S706" i="1" s="1"/>
  <c r="Q706" i="1" a="1"/>
  <c r="Q706" i="1"/>
  <c r="P706" i="1"/>
  <c r="O706" i="1"/>
  <c r="N706" i="1" a="1"/>
  <c r="N706" i="1" s="1"/>
  <c r="M706" i="1" a="1"/>
  <c r="M706" i="1" s="1"/>
  <c r="L706" i="1" a="1"/>
  <c r="L706" i="1"/>
  <c r="V705" i="1" a="1"/>
  <c r="V705" i="1" s="1"/>
  <c r="U705" i="1" a="1"/>
  <c r="U705" i="1" s="1"/>
  <c r="T705" i="1"/>
  <c r="R705" i="1"/>
  <c r="S705" i="1" s="1"/>
  <c r="Q705" i="1" a="1"/>
  <c r="Q705" i="1"/>
  <c r="P705" i="1"/>
  <c r="O705" i="1"/>
  <c r="N705" i="1" a="1"/>
  <c r="N705" i="1" s="1"/>
  <c r="M705" i="1" a="1"/>
  <c r="M705" i="1"/>
  <c r="L705" i="1" a="1"/>
  <c r="L705" i="1" s="1"/>
  <c r="V704" i="1" a="1"/>
  <c r="V704" i="1" s="1"/>
  <c r="U704" i="1" a="1"/>
  <c r="U704" i="1"/>
  <c r="T704" i="1"/>
  <c r="Q704" i="1" a="1"/>
  <c r="Q704" i="1"/>
  <c r="R704" i="1" s="1"/>
  <c r="S704" i="1" s="1"/>
  <c r="P704" i="1"/>
  <c r="O704" i="1"/>
  <c r="N704" i="1" a="1"/>
  <c r="N704" i="1"/>
  <c r="M704" i="1" a="1"/>
  <c r="M704" i="1" s="1"/>
  <c r="L704" i="1" a="1"/>
  <c r="L704" i="1"/>
  <c r="V703" i="1" a="1"/>
  <c r="V703" i="1" s="1"/>
  <c r="U703" i="1" a="1"/>
  <c r="U703" i="1" s="1"/>
  <c r="T703" i="1"/>
  <c r="Q703" i="1" a="1"/>
  <c r="Q703" i="1" s="1"/>
  <c r="R703" i="1" s="1"/>
  <c r="S703" i="1" s="1"/>
  <c r="P703" i="1"/>
  <c r="O703" i="1"/>
  <c r="N703" i="1" a="1"/>
  <c r="N703" i="1" s="1"/>
  <c r="M703" i="1" a="1"/>
  <c r="M703" i="1" s="1"/>
  <c r="L703" i="1" a="1"/>
  <c r="L703" i="1"/>
  <c r="V702" i="1" a="1"/>
  <c r="V702" i="1" s="1"/>
  <c r="U702" i="1" a="1"/>
  <c r="U702" i="1" s="1"/>
  <c r="T702" i="1"/>
  <c r="Q702" i="1" a="1"/>
  <c r="Q702" i="1" s="1"/>
  <c r="R702" i="1" s="1"/>
  <c r="S702" i="1" s="1"/>
  <c r="P702" i="1"/>
  <c r="O702" i="1"/>
  <c r="N702" i="1" a="1"/>
  <c r="N702" i="1" s="1"/>
  <c r="M702" i="1" a="1"/>
  <c r="M702" i="1"/>
  <c r="L702" i="1" a="1"/>
  <c r="L702" i="1" s="1"/>
  <c r="V701" i="1" a="1"/>
  <c r="V701" i="1"/>
  <c r="U701" i="1" a="1"/>
  <c r="U701" i="1"/>
  <c r="T701" i="1"/>
  <c r="Q701" i="1" a="1"/>
  <c r="Q701" i="1" s="1"/>
  <c r="R701" i="1" s="1"/>
  <c r="S701" i="1" s="1"/>
  <c r="P701" i="1"/>
  <c r="O701" i="1"/>
  <c r="N701" i="1" a="1"/>
  <c r="N701" i="1"/>
  <c r="M701" i="1" a="1"/>
  <c r="M701" i="1"/>
  <c r="L701" i="1" a="1"/>
  <c r="L701" i="1"/>
  <c r="V700" i="1" a="1"/>
  <c r="V700" i="1"/>
  <c r="U700" i="1" a="1"/>
  <c r="U700" i="1" s="1"/>
  <c r="T700" i="1"/>
  <c r="Q700" i="1" a="1"/>
  <c r="Q700" i="1"/>
  <c r="R700" i="1" s="1"/>
  <c r="S700" i="1" s="1"/>
  <c r="P700" i="1"/>
  <c r="O700" i="1"/>
  <c r="N700" i="1" a="1"/>
  <c r="N700" i="1" s="1"/>
  <c r="M700" i="1" a="1"/>
  <c r="M700" i="1"/>
  <c r="L700" i="1" a="1"/>
  <c r="L700" i="1"/>
  <c r="V699" i="1" a="1"/>
  <c r="V699" i="1" s="1"/>
  <c r="U699" i="1" a="1"/>
  <c r="U699" i="1" s="1"/>
  <c r="T699" i="1"/>
  <c r="Q699" i="1" a="1"/>
  <c r="Q699" i="1" s="1"/>
  <c r="R699" i="1" s="1"/>
  <c r="S699" i="1" s="1"/>
  <c r="P699" i="1"/>
  <c r="O699" i="1"/>
  <c r="N699" i="1" a="1"/>
  <c r="N699" i="1" s="1"/>
  <c r="M699" i="1" a="1"/>
  <c r="M699" i="1"/>
  <c r="L699" i="1" a="1"/>
  <c r="L699" i="1"/>
  <c r="V698" i="1" a="1"/>
  <c r="V698" i="1" s="1"/>
  <c r="U698" i="1" a="1"/>
  <c r="U698" i="1" s="1"/>
  <c r="T698" i="1"/>
  <c r="Q698" i="1" a="1"/>
  <c r="Q698" i="1" s="1"/>
  <c r="R698" i="1" s="1"/>
  <c r="S698" i="1" s="1"/>
  <c r="P698" i="1"/>
  <c r="O698" i="1"/>
  <c r="N698" i="1" a="1"/>
  <c r="N698" i="1"/>
  <c r="M698" i="1" a="1"/>
  <c r="M698" i="1"/>
  <c r="L698" i="1" a="1"/>
  <c r="L698" i="1"/>
  <c r="V697" i="1" a="1"/>
  <c r="V697" i="1"/>
  <c r="U697" i="1" a="1"/>
  <c r="U697" i="1" s="1"/>
  <c r="T697" i="1"/>
  <c r="Q697" i="1" a="1"/>
  <c r="Q697" i="1" s="1"/>
  <c r="R697" i="1" s="1"/>
  <c r="S697" i="1" s="1"/>
  <c r="P697" i="1"/>
  <c r="O697" i="1"/>
  <c r="N697" i="1" a="1"/>
  <c r="N697" i="1" s="1"/>
  <c r="M697" i="1" a="1"/>
  <c r="M697" i="1" s="1"/>
  <c r="L697" i="1" a="1"/>
  <c r="L697" i="1"/>
  <c r="V696" i="1" a="1"/>
  <c r="V696" i="1" s="1"/>
  <c r="U696" i="1" a="1"/>
  <c r="U696" i="1"/>
  <c r="T696" i="1"/>
  <c r="Q696" i="1" a="1"/>
  <c r="Q696" i="1"/>
  <c r="R696" i="1" s="1"/>
  <c r="S696" i="1" s="1"/>
  <c r="P696" i="1"/>
  <c r="O696" i="1"/>
  <c r="N696" i="1" a="1"/>
  <c r="N696" i="1" s="1"/>
  <c r="M696" i="1" a="1"/>
  <c r="M696" i="1"/>
  <c r="L696" i="1" a="1"/>
  <c r="L696" i="1"/>
  <c r="V695" i="1" a="1"/>
  <c r="V695" i="1" s="1"/>
  <c r="U695" i="1" a="1"/>
  <c r="U695" i="1"/>
  <c r="T695" i="1"/>
  <c r="Q695" i="1" a="1"/>
  <c r="Q695" i="1" s="1"/>
  <c r="R695" i="1" s="1"/>
  <c r="S695" i="1" s="1"/>
  <c r="P695" i="1"/>
  <c r="O695" i="1"/>
  <c r="N695" i="1" a="1"/>
  <c r="N695" i="1"/>
  <c r="M695" i="1" a="1"/>
  <c r="M695" i="1" s="1"/>
  <c r="L695" i="1" a="1"/>
  <c r="L695" i="1" s="1"/>
  <c r="V694" i="1" a="1"/>
  <c r="V694" i="1"/>
  <c r="U694" i="1" a="1"/>
  <c r="U694" i="1"/>
  <c r="T694" i="1"/>
  <c r="Q694" i="1" a="1"/>
  <c r="Q694" i="1"/>
  <c r="R694" i="1" s="1"/>
  <c r="S694" i="1" s="1"/>
  <c r="P694" i="1"/>
  <c r="O694" i="1"/>
  <c r="N694" i="1" a="1"/>
  <c r="N694" i="1" s="1"/>
  <c r="M694" i="1" a="1"/>
  <c r="M694" i="1" s="1"/>
  <c r="L694" i="1" a="1"/>
  <c r="L694" i="1" s="1"/>
  <c r="V693" i="1" a="1"/>
  <c r="V693" i="1" s="1"/>
  <c r="U693" i="1" a="1"/>
  <c r="U693" i="1"/>
  <c r="T693" i="1"/>
  <c r="Q693" i="1" a="1"/>
  <c r="Q693" i="1"/>
  <c r="R693" i="1" s="1"/>
  <c r="S693" i="1" s="1"/>
  <c r="P693" i="1"/>
  <c r="O693" i="1"/>
  <c r="N693" i="1" a="1"/>
  <c r="N693" i="1" s="1"/>
  <c r="M693" i="1" a="1"/>
  <c r="M693" i="1"/>
  <c r="L693" i="1" a="1"/>
  <c r="L693" i="1" s="1"/>
  <c r="V692" i="1" a="1"/>
  <c r="V692" i="1" s="1"/>
  <c r="U692" i="1" a="1"/>
  <c r="U692" i="1"/>
  <c r="T692" i="1"/>
  <c r="Q692" i="1" a="1"/>
  <c r="Q692" i="1"/>
  <c r="R692" i="1" s="1"/>
  <c r="S692" i="1" s="1"/>
  <c r="P692" i="1"/>
  <c r="O692" i="1"/>
  <c r="N692" i="1" a="1"/>
  <c r="N692" i="1"/>
  <c r="M692" i="1" a="1"/>
  <c r="M692" i="1" s="1"/>
  <c r="L692" i="1" a="1"/>
  <c r="L692" i="1" s="1"/>
  <c r="V691" i="1" a="1"/>
  <c r="V691" i="1" s="1"/>
  <c r="U691" i="1" a="1"/>
  <c r="U691" i="1"/>
  <c r="T691" i="1"/>
  <c r="Q691" i="1" a="1"/>
  <c r="Q691" i="1"/>
  <c r="R691" i="1" s="1"/>
  <c r="S691" i="1" s="1"/>
  <c r="P691" i="1"/>
  <c r="O691" i="1"/>
  <c r="N691" i="1" a="1"/>
  <c r="N691" i="1" s="1"/>
  <c r="M691" i="1" a="1"/>
  <c r="M691" i="1" s="1"/>
  <c r="L691" i="1" a="1"/>
  <c r="L691" i="1" s="1"/>
  <c r="V690" i="1" a="1"/>
  <c r="V690" i="1" s="1"/>
  <c r="U690" i="1" a="1"/>
  <c r="U690" i="1"/>
  <c r="T690" i="1"/>
  <c r="R690" i="1"/>
  <c r="S690" i="1" s="1"/>
  <c r="Q690" i="1" a="1"/>
  <c r="Q690" i="1" s="1"/>
  <c r="P690" i="1"/>
  <c r="O690" i="1"/>
  <c r="N690" i="1" a="1"/>
  <c r="N690" i="1" s="1"/>
  <c r="M690" i="1" a="1"/>
  <c r="M690" i="1"/>
  <c r="L690" i="1" a="1"/>
  <c r="L690" i="1" s="1"/>
  <c r="V689" i="1" a="1"/>
  <c r="V689" i="1" s="1"/>
  <c r="U689" i="1" a="1"/>
  <c r="U689" i="1"/>
  <c r="T689" i="1"/>
  <c r="S689" i="1"/>
  <c r="Q689" i="1" a="1"/>
  <c r="Q689" i="1"/>
  <c r="R689" i="1" s="1"/>
  <c r="P689" i="1"/>
  <c r="O689" i="1"/>
  <c r="N689" i="1" a="1"/>
  <c r="N689" i="1"/>
  <c r="M689" i="1" a="1"/>
  <c r="M689" i="1" s="1"/>
  <c r="L689" i="1" a="1"/>
  <c r="L689" i="1" s="1"/>
  <c r="V688" i="1" a="1"/>
  <c r="V688" i="1" s="1"/>
  <c r="U688" i="1" a="1"/>
  <c r="U688" i="1"/>
  <c r="T688" i="1"/>
  <c r="Q688" i="1" a="1"/>
  <c r="Q688" i="1" s="1"/>
  <c r="R688" i="1" s="1"/>
  <c r="S688" i="1" s="1"/>
  <c r="P688" i="1"/>
  <c r="O688" i="1"/>
  <c r="N688" i="1" a="1"/>
  <c r="N688" i="1" s="1"/>
  <c r="M688" i="1" a="1"/>
  <c r="M688" i="1" s="1"/>
  <c r="L688" i="1" a="1"/>
  <c r="L688" i="1" s="1"/>
  <c r="V687" i="1" a="1"/>
  <c r="V687" i="1" s="1"/>
  <c r="U687" i="1" a="1"/>
  <c r="U687" i="1"/>
  <c r="T687" i="1"/>
  <c r="S687" i="1"/>
  <c r="R687" i="1"/>
  <c r="Q687" i="1" a="1"/>
  <c r="Q687" i="1" s="1"/>
  <c r="P687" i="1"/>
  <c r="O687" i="1"/>
  <c r="N687" i="1" a="1"/>
  <c r="N687" i="1" s="1"/>
  <c r="M687" i="1" a="1"/>
  <c r="M687" i="1"/>
  <c r="L687" i="1" a="1"/>
  <c r="L687" i="1"/>
  <c r="V686" i="1" a="1"/>
  <c r="V686" i="1"/>
  <c r="U686" i="1" a="1"/>
  <c r="U686" i="1" s="1"/>
  <c r="T686" i="1"/>
  <c r="Q686" i="1" a="1"/>
  <c r="Q686" i="1" s="1"/>
  <c r="R686" i="1" s="1"/>
  <c r="S686" i="1" s="1"/>
  <c r="P686" i="1"/>
  <c r="O686" i="1"/>
  <c r="N686" i="1" a="1"/>
  <c r="N686" i="1"/>
  <c r="M686" i="1" a="1"/>
  <c r="M686" i="1" s="1"/>
  <c r="L686" i="1" a="1"/>
  <c r="L686" i="1" s="1"/>
  <c r="V685" i="1" a="1"/>
  <c r="V685" i="1" s="1"/>
  <c r="U685" i="1" a="1"/>
  <c r="U685" i="1" s="1"/>
  <c r="T685" i="1"/>
  <c r="Q685" i="1" a="1"/>
  <c r="Q685" i="1"/>
  <c r="R685" i="1" s="1"/>
  <c r="S685" i="1" s="1"/>
  <c r="P685" i="1"/>
  <c r="O685" i="1"/>
  <c r="N685" i="1" a="1"/>
  <c r="N685" i="1" s="1"/>
  <c r="M685" i="1" a="1"/>
  <c r="M685" i="1" s="1"/>
  <c r="L685" i="1" a="1"/>
  <c r="L685" i="1"/>
  <c r="V684" i="1" a="1"/>
  <c r="V684" i="1" s="1"/>
  <c r="U684" i="1" a="1"/>
  <c r="U684" i="1" s="1"/>
  <c r="T684" i="1"/>
  <c r="Q684" i="1" a="1"/>
  <c r="Q684" i="1" s="1"/>
  <c r="R684" i="1" s="1"/>
  <c r="S684" i="1" s="1"/>
  <c r="P684" i="1"/>
  <c r="O684" i="1"/>
  <c r="N684" i="1" a="1"/>
  <c r="N684" i="1"/>
  <c r="M684" i="1" a="1"/>
  <c r="M684" i="1"/>
  <c r="L684" i="1" a="1"/>
  <c r="L684" i="1"/>
  <c r="V683" i="1" a="1"/>
  <c r="V683" i="1"/>
  <c r="U683" i="1" a="1"/>
  <c r="U683" i="1" s="1"/>
  <c r="T683" i="1"/>
  <c r="S683" i="1"/>
  <c r="Q683" i="1" a="1"/>
  <c r="Q683" i="1" s="1"/>
  <c r="R683" i="1" s="1"/>
  <c r="P683" i="1"/>
  <c r="O683" i="1"/>
  <c r="N683" i="1" a="1"/>
  <c r="N683" i="1"/>
  <c r="M683" i="1" a="1"/>
  <c r="M683" i="1"/>
  <c r="L683" i="1" a="1"/>
  <c r="L683" i="1" s="1"/>
  <c r="V682" i="1" a="1"/>
  <c r="V682" i="1"/>
  <c r="U682" i="1" a="1"/>
  <c r="U682" i="1" s="1"/>
  <c r="T682" i="1"/>
  <c r="Q682" i="1" a="1"/>
  <c r="Q682" i="1" s="1"/>
  <c r="R682" i="1" s="1"/>
  <c r="S682" i="1" s="1"/>
  <c r="P682" i="1"/>
  <c r="O682" i="1"/>
  <c r="N682" i="1" a="1"/>
  <c r="N682" i="1"/>
  <c r="M682" i="1" a="1"/>
  <c r="M682" i="1"/>
  <c r="L682" i="1" a="1"/>
  <c r="L682" i="1"/>
  <c r="V681" i="1" a="1"/>
  <c r="V681" i="1"/>
  <c r="U681" i="1" a="1"/>
  <c r="U681" i="1" s="1"/>
  <c r="T681" i="1"/>
  <c r="Q681" i="1" a="1"/>
  <c r="Q681" i="1" s="1"/>
  <c r="R681" i="1" s="1"/>
  <c r="S681" i="1" s="1"/>
  <c r="P681" i="1"/>
  <c r="O681" i="1"/>
  <c r="N681" i="1" a="1"/>
  <c r="N681" i="1" s="1"/>
  <c r="M681" i="1" a="1"/>
  <c r="M681" i="1"/>
  <c r="L681" i="1" a="1"/>
  <c r="L681" i="1" s="1"/>
  <c r="V680" i="1" a="1"/>
  <c r="V680" i="1" s="1"/>
  <c r="U680" i="1" a="1"/>
  <c r="U680" i="1"/>
  <c r="T680" i="1"/>
  <c r="Q680" i="1" a="1"/>
  <c r="Q680" i="1"/>
  <c r="R680" i="1" s="1"/>
  <c r="S680" i="1" s="1"/>
  <c r="P680" i="1"/>
  <c r="O680" i="1"/>
  <c r="N680" i="1" a="1"/>
  <c r="N680" i="1" s="1"/>
  <c r="M680" i="1" a="1"/>
  <c r="M680" i="1"/>
  <c r="L680" i="1" a="1"/>
  <c r="L680" i="1"/>
  <c r="V679" i="1" a="1"/>
  <c r="V679" i="1"/>
  <c r="U679" i="1" a="1"/>
  <c r="U679" i="1" s="1"/>
  <c r="T679" i="1"/>
  <c r="R679" i="1"/>
  <c r="S679" i="1" s="1"/>
  <c r="Q679" i="1" a="1"/>
  <c r="Q679" i="1" s="1"/>
  <c r="P679" i="1"/>
  <c r="O679" i="1"/>
  <c r="N679" i="1" a="1"/>
  <c r="N679" i="1" s="1"/>
  <c r="M679" i="1" a="1"/>
  <c r="M679" i="1" s="1"/>
  <c r="L679" i="1" a="1"/>
  <c r="L679" i="1"/>
  <c r="V678" i="1" a="1"/>
  <c r="V678" i="1" s="1"/>
  <c r="U678" i="1" a="1"/>
  <c r="U678" i="1" s="1"/>
  <c r="T678" i="1"/>
  <c r="Q678" i="1" a="1"/>
  <c r="Q678" i="1"/>
  <c r="R678" i="1" s="1"/>
  <c r="S678" i="1" s="1"/>
  <c r="P678" i="1"/>
  <c r="O678" i="1"/>
  <c r="N678" i="1" a="1"/>
  <c r="N678" i="1"/>
  <c r="M678" i="1" a="1"/>
  <c r="M678" i="1"/>
  <c r="L678" i="1" a="1"/>
  <c r="L678" i="1"/>
  <c r="V677" i="1" a="1"/>
  <c r="V677" i="1" s="1"/>
  <c r="U677" i="1" a="1"/>
  <c r="U677" i="1"/>
  <c r="T677" i="1"/>
  <c r="Q677" i="1" a="1"/>
  <c r="Q677" i="1"/>
  <c r="R677" i="1" s="1"/>
  <c r="S677" i="1" s="1"/>
  <c r="P677" i="1"/>
  <c r="O677" i="1"/>
  <c r="N677" i="1" a="1"/>
  <c r="N677" i="1" s="1"/>
  <c r="M677" i="1" a="1"/>
  <c r="M677" i="1" s="1"/>
  <c r="L677" i="1" a="1"/>
  <c r="L677" i="1"/>
  <c r="V676" i="1" a="1"/>
  <c r="V676" i="1" s="1"/>
  <c r="U676" i="1" a="1"/>
  <c r="U676" i="1"/>
  <c r="T676" i="1"/>
  <c r="Q676" i="1" a="1"/>
  <c r="Q676" i="1"/>
  <c r="R676" i="1" s="1"/>
  <c r="S676" i="1" s="1"/>
  <c r="P676" i="1"/>
  <c r="O676" i="1"/>
  <c r="N676" i="1" a="1"/>
  <c r="N676" i="1"/>
  <c r="M676" i="1" a="1"/>
  <c r="M676" i="1" s="1"/>
  <c r="L676" i="1" a="1"/>
  <c r="L676" i="1"/>
  <c r="V675" i="1" a="1"/>
  <c r="V675" i="1"/>
  <c r="U675" i="1" a="1"/>
  <c r="U675" i="1"/>
  <c r="T675" i="1"/>
  <c r="Q675" i="1" a="1"/>
  <c r="Q675" i="1"/>
  <c r="R675" i="1" s="1"/>
  <c r="S675" i="1" s="1"/>
  <c r="P675" i="1"/>
  <c r="O675" i="1"/>
  <c r="N675" i="1" a="1"/>
  <c r="N675" i="1" s="1"/>
  <c r="M675" i="1" a="1"/>
  <c r="M675" i="1" s="1"/>
  <c r="L675" i="1" a="1"/>
  <c r="L675" i="1" s="1"/>
  <c r="V674" i="1" a="1"/>
  <c r="V674" i="1" s="1"/>
  <c r="U674" i="1" a="1"/>
  <c r="U674" i="1"/>
  <c r="T674" i="1"/>
  <c r="Q674" i="1" a="1"/>
  <c r="Q674" i="1"/>
  <c r="R674" i="1" s="1"/>
  <c r="S674" i="1" s="1"/>
  <c r="P674" i="1"/>
  <c r="O674" i="1"/>
  <c r="N674" i="1" a="1"/>
  <c r="N674" i="1"/>
  <c r="M674" i="1" a="1"/>
  <c r="M674" i="1" s="1"/>
  <c r="L674" i="1" a="1"/>
  <c r="L674" i="1"/>
  <c r="V673" i="1" a="1"/>
  <c r="V673" i="1" s="1"/>
  <c r="U673" i="1" a="1"/>
  <c r="U673" i="1"/>
  <c r="T673" i="1"/>
  <c r="Q673" i="1" a="1"/>
  <c r="Q673" i="1" s="1"/>
  <c r="R673" i="1" s="1"/>
  <c r="S673" i="1" s="1"/>
  <c r="P673" i="1"/>
  <c r="O673" i="1"/>
  <c r="N673" i="1" a="1"/>
  <c r="N673" i="1"/>
  <c r="M673" i="1" a="1"/>
  <c r="M673" i="1" s="1"/>
  <c r="L673" i="1" a="1"/>
  <c r="L673" i="1" s="1"/>
  <c r="V672" i="1" a="1"/>
  <c r="V672" i="1" s="1"/>
  <c r="U672" i="1" a="1"/>
  <c r="U672" i="1"/>
  <c r="T672" i="1"/>
  <c r="S672" i="1"/>
  <c r="Q672" i="1" a="1"/>
  <c r="Q672" i="1"/>
  <c r="R672" i="1" s="1"/>
  <c r="P672" i="1"/>
  <c r="O672" i="1"/>
  <c r="N672" i="1" a="1"/>
  <c r="N672" i="1" s="1"/>
  <c r="M672" i="1" a="1"/>
  <c r="M672" i="1"/>
  <c r="L672" i="1" a="1"/>
  <c r="L672" i="1" s="1"/>
  <c r="V671" i="1" a="1"/>
  <c r="V671" i="1" s="1"/>
  <c r="U671" i="1" a="1"/>
  <c r="U671" i="1"/>
  <c r="T671" i="1"/>
  <c r="S671" i="1"/>
  <c r="R671" i="1"/>
  <c r="Q671" i="1" a="1"/>
  <c r="Q671" i="1" s="1"/>
  <c r="P671" i="1"/>
  <c r="O671" i="1"/>
  <c r="N671" i="1" a="1"/>
  <c r="N671" i="1" s="1"/>
  <c r="M671" i="1" a="1"/>
  <c r="M671" i="1" s="1"/>
  <c r="L671" i="1" a="1"/>
  <c r="L671" i="1" s="1"/>
  <c r="V670" i="1" a="1"/>
  <c r="V670" i="1"/>
  <c r="U670" i="1" a="1"/>
  <c r="U670" i="1" s="1"/>
  <c r="T670" i="1"/>
  <c r="Q670" i="1" a="1"/>
  <c r="Q670" i="1" s="1"/>
  <c r="R670" i="1" s="1"/>
  <c r="S670" i="1" s="1"/>
  <c r="P670" i="1"/>
  <c r="O670" i="1"/>
  <c r="N670" i="1" a="1"/>
  <c r="N670" i="1"/>
  <c r="M670" i="1" a="1"/>
  <c r="M670" i="1"/>
  <c r="L670" i="1" a="1"/>
  <c r="L670" i="1"/>
  <c r="V669" i="1" a="1"/>
  <c r="V669" i="1"/>
  <c r="U669" i="1" a="1"/>
  <c r="U669" i="1" s="1"/>
  <c r="T669" i="1"/>
  <c r="Q669" i="1" a="1"/>
  <c r="Q669" i="1" s="1"/>
  <c r="R669" i="1" s="1"/>
  <c r="S669" i="1" s="1"/>
  <c r="P669" i="1"/>
  <c r="O669" i="1"/>
  <c r="N669" i="1" a="1"/>
  <c r="N669" i="1" s="1"/>
  <c r="M669" i="1" a="1"/>
  <c r="M669" i="1"/>
  <c r="L669" i="1" a="1"/>
  <c r="L669" i="1" s="1"/>
  <c r="V668" i="1" a="1"/>
  <c r="V668" i="1" s="1"/>
  <c r="U668" i="1" a="1"/>
  <c r="U668" i="1" s="1"/>
  <c r="T668" i="1"/>
  <c r="Q668" i="1" a="1"/>
  <c r="Q668" i="1"/>
  <c r="R668" i="1" s="1"/>
  <c r="S668" i="1" s="1"/>
  <c r="P668" i="1"/>
  <c r="O668" i="1"/>
  <c r="N668" i="1" a="1"/>
  <c r="N668" i="1"/>
  <c r="M668" i="1" a="1"/>
  <c r="M668" i="1"/>
  <c r="L668" i="1" a="1"/>
  <c r="L668" i="1" s="1"/>
  <c r="V667" i="1" a="1"/>
  <c r="V667" i="1"/>
  <c r="U667" i="1" a="1"/>
  <c r="U667" i="1"/>
  <c r="T667" i="1"/>
  <c r="Q667" i="1" a="1"/>
  <c r="Q667" i="1" s="1"/>
  <c r="R667" i="1" s="1"/>
  <c r="S667" i="1" s="1"/>
  <c r="P667" i="1"/>
  <c r="O667" i="1"/>
  <c r="N667" i="1" a="1"/>
  <c r="N667" i="1" s="1"/>
  <c r="M667" i="1" a="1"/>
  <c r="M667" i="1" s="1"/>
  <c r="L667" i="1" a="1"/>
  <c r="L667" i="1"/>
  <c r="V666" i="1" a="1"/>
  <c r="V666" i="1" s="1"/>
  <c r="U666" i="1" a="1"/>
  <c r="U666" i="1" s="1"/>
  <c r="T666" i="1"/>
  <c r="Q666" i="1" a="1"/>
  <c r="Q666" i="1"/>
  <c r="R666" i="1" s="1"/>
  <c r="S666" i="1" s="1"/>
  <c r="P666" i="1"/>
  <c r="O666" i="1"/>
  <c r="N666" i="1" a="1"/>
  <c r="N666" i="1"/>
  <c r="M666" i="1" a="1"/>
  <c r="M666" i="1" s="1"/>
  <c r="L666" i="1" a="1"/>
  <c r="L666" i="1"/>
  <c r="V665" i="1" a="1"/>
  <c r="V665" i="1" s="1"/>
  <c r="U665" i="1" a="1"/>
  <c r="U665" i="1"/>
  <c r="T665" i="1"/>
  <c r="Q665" i="1" a="1"/>
  <c r="Q665" i="1"/>
  <c r="R665" i="1" s="1"/>
  <c r="S665" i="1" s="1"/>
  <c r="P665" i="1"/>
  <c r="O665" i="1"/>
  <c r="N665" i="1" a="1"/>
  <c r="N665" i="1" s="1"/>
  <c r="M665" i="1" a="1"/>
  <c r="M665" i="1" s="1"/>
  <c r="L665" i="1" a="1"/>
  <c r="L665" i="1"/>
  <c r="V664" i="1" a="1"/>
  <c r="V664" i="1" s="1"/>
  <c r="U664" i="1" a="1"/>
  <c r="U664" i="1"/>
  <c r="T664" i="1"/>
  <c r="Q664" i="1" a="1"/>
  <c r="Q664" i="1"/>
  <c r="R664" i="1" s="1"/>
  <c r="S664" i="1" s="1"/>
  <c r="P664" i="1"/>
  <c r="O664" i="1"/>
  <c r="N664" i="1" a="1"/>
  <c r="N664" i="1"/>
  <c r="M664" i="1" a="1"/>
  <c r="M664" i="1" s="1"/>
  <c r="L664" i="1" a="1"/>
  <c r="L664" i="1"/>
  <c r="V663" i="1" a="1"/>
  <c r="V663" i="1" s="1"/>
  <c r="U663" i="1" a="1"/>
  <c r="U663" i="1"/>
  <c r="T663" i="1"/>
  <c r="Q663" i="1" a="1"/>
  <c r="Q663" i="1" s="1"/>
  <c r="R663" i="1" s="1"/>
  <c r="S663" i="1" s="1"/>
  <c r="P663" i="1"/>
  <c r="O663" i="1"/>
  <c r="N663" i="1" a="1"/>
  <c r="N663" i="1"/>
  <c r="M663" i="1" a="1"/>
  <c r="M663" i="1" s="1"/>
  <c r="L663" i="1" a="1"/>
  <c r="L663" i="1" s="1"/>
  <c r="V662" i="1" a="1"/>
  <c r="V662" i="1"/>
  <c r="U662" i="1" a="1"/>
  <c r="U662" i="1"/>
  <c r="T662" i="1"/>
  <c r="Q662" i="1" a="1"/>
  <c r="Q662" i="1"/>
  <c r="R662" i="1" s="1"/>
  <c r="S662" i="1" s="1"/>
  <c r="P662" i="1"/>
  <c r="O662" i="1"/>
  <c r="N662" i="1" a="1"/>
  <c r="N662" i="1"/>
  <c r="M662" i="1" a="1"/>
  <c r="M662" i="1"/>
  <c r="L662" i="1" a="1"/>
  <c r="L662" i="1" s="1"/>
  <c r="V661" i="1" a="1"/>
  <c r="V661" i="1"/>
  <c r="U661" i="1" a="1"/>
  <c r="U661" i="1"/>
  <c r="T661" i="1"/>
  <c r="Q661" i="1" a="1"/>
  <c r="Q661" i="1"/>
  <c r="R661" i="1" s="1"/>
  <c r="S661" i="1" s="1"/>
  <c r="P661" i="1"/>
  <c r="O661" i="1"/>
  <c r="N661" i="1" a="1"/>
  <c r="N661" i="1" s="1"/>
  <c r="M661" i="1" a="1"/>
  <c r="M661" i="1"/>
  <c r="L661" i="1" a="1"/>
  <c r="L661" i="1"/>
  <c r="V660" i="1" a="1"/>
  <c r="V660" i="1" s="1"/>
  <c r="U660" i="1" a="1"/>
  <c r="U660" i="1"/>
  <c r="T660" i="1"/>
  <c r="R660" i="1"/>
  <c r="S660" i="1" s="1"/>
  <c r="Q660" i="1" a="1"/>
  <c r="Q660" i="1" s="1"/>
  <c r="P660" i="1"/>
  <c r="O660" i="1"/>
  <c r="N660" i="1" a="1"/>
  <c r="N660" i="1"/>
  <c r="M660" i="1" a="1"/>
  <c r="M660" i="1"/>
  <c r="L660" i="1" a="1"/>
  <c r="L660" i="1" s="1"/>
  <c r="V659" i="1" a="1"/>
  <c r="V659" i="1"/>
  <c r="U659" i="1" a="1"/>
  <c r="U659" i="1" s="1"/>
  <c r="T659" i="1"/>
  <c r="Q659" i="1" a="1"/>
  <c r="Q659" i="1" s="1"/>
  <c r="R659" i="1" s="1"/>
  <c r="S659" i="1" s="1"/>
  <c r="P659" i="1"/>
  <c r="O659" i="1"/>
  <c r="N659" i="1" a="1"/>
  <c r="N659" i="1"/>
  <c r="M659" i="1" a="1"/>
  <c r="M659" i="1"/>
  <c r="L659" i="1" a="1"/>
  <c r="L659" i="1" s="1"/>
  <c r="V658" i="1" a="1"/>
  <c r="V658" i="1"/>
  <c r="U658" i="1" a="1"/>
  <c r="U658" i="1" s="1"/>
  <c r="T658" i="1"/>
  <c r="Q658" i="1" a="1"/>
  <c r="Q658" i="1"/>
  <c r="R658" i="1" s="1"/>
  <c r="S658" i="1" s="1"/>
  <c r="P658" i="1"/>
  <c r="O658" i="1"/>
  <c r="N658" i="1" a="1"/>
  <c r="N658" i="1" s="1"/>
  <c r="M658" i="1" a="1"/>
  <c r="M658" i="1"/>
  <c r="L658" i="1" a="1"/>
  <c r="L658" i="1"/>
  <c r="V657" i="1" a="1"/>
  <c r="V657" i="1" s="1"/>
  <c r="U657" i="1" a="1"/>
  <c r="U657" i="1" s="1"/>
  <c r="T657" i="1"/>
  <c r="R657" i="1"/>
  <c r="S657" i="1" s="1"/>
  <c r="Q657" i="1" a="1"/>
  <c r="Q657" i="1"/>
  <c r="P657" i="1"/>
  <c r="O657" i="1"/>
  <c r="N657" i="1" a="1"/>
  <c r="N657" i="1" s="1"/>
  <c r="M657" i="1" a="1"/>
  <c r="M657" i="1"/>
  <c r="L657" i="1" a="1"/>
  <c r="L657" i="1" s="1"/>
  <c r="V656" i="1" a="1"/>
  <c r="V656" i="1"/>
  <c r="U656" i="1" a="1"/>
  <c r="U656" i="1" s="1"/>
  <c r="T656" i="1"/>
  <c r="R656" i="1"/>
  <c r="S656" i="1" s="1"/>
  <c r="Q656" i="1" a="1"/>
  <c r="Q656" i="1" s="1"/>
  <c r="P656" i="1"/>
  <c r="O656" i="1"/>
  <c r="N656" i="1" a="1"/>
  <c r="N656" i="1"/>
  <c r="M656" i="1" a="1"/>
  <c r="M656" i="1" s="1"/>
  <c r="L656" i="1" a="1"/>
  <c r="L656" i="1"/>
  <c r="V655" i="1" a="1"/>
  <c r="V655" i="1"/>
  <c r="U655" i="1" a="1"/>
  <c r="U655" i="1" s="1"/>
  <c r="T655" i="1"/>
  <c r="Q655" i="1" a="1"/>
  <c r="Q655" i="1"/>
  <c r="R655" i="1" s="1"/>
  <c r="S655" i="1" s="1"/>
  <c r="P655" i="1"/>
  <c r="O655" i="1"/>
  <c r="N655" i="1" a="1"/>
  <c r="N655" i="1"/>
  <c r="M655" i="1" a="1"/>
  <c r="M655" i="1" s="1"/>
  <c r="L655" i="1" a="1"/>
  <c r="L655" i="1"/>
  <c r="V654" i="1" a="1"/>
  <c r="V654" i="1" s="1"/>
  <c r="U654" i="1" a="1"/>
  <c r="U654" i="1" s="1"/>
  <c r="T654" i="1"/>
  <c r="Q654" i="1" a="1"/>
  <c r="Q654" i="1"/>
  <c r="R654" i="1" s="1"/>
  <c r="S654" i="1" s="1"/>
  <c r="P654" i="1"/>
  <c r="O654" i="1"/>
  <c r="N654" i="1" a="1"/>
  <c r="N654" i="1"/>
  <c r="M654" i="1" a="1"/>
  <c r="M654" i="1"/>
  <c r="L654" i="1" a="1"/>
  <c r="L654" i="1" s="1"/>
  <c r="V653" i="1" a="1"/>
  <c r="V653" i="1"/>
  <c r="U653" i="1" a="1"/>
  <c r="U653" i="1"/>
  <c r="T653" i="1"/>
  <c r="Q653" i="1" a="1"/>
  <c r="Q653" i="1"/>
  <c r="R653" i="1" s="1"/>
  <c r="S653" i="1" s="1"/>
  <c r="P653" i="1"/>
  <c r="O653" i="1"/>
  <c r="N653" i="1" a="1"/>
  <c r="N653" i="1" s="1"/>
  <c r="M653" i="1" a="1"/>
  <c r="M653" i="1"/>
  <c r="L653" i="1" a="1"/>
  <c r="L653" i="1" s="1"/>
  <c r="V652" i="1" a="1"/>
  <c r="V652" i="1"/>
  <c r="U652" i="1" a="1"/>
  <c r="U652" i="1" s="1"/>
  <c r="T652" i="1"/>
  <c r="S652" i="1"/>
  <c r="Q652" i="1" a="1"/>
  <c r="Q652" i="1"/>
  <c r="R652" i="1" s="1"/>
  <c r="P652" i="1"/>
  <c r="O652" i="1"/>
  <c r="N652" i="1" a="1"/>
  <c r="N652" i="1" s="1"/>
  <c r="M652" i="1" a="1"/>
  <c r="M652" i="1"/>
  <c r="L652" i="1" a="1"/>
  <c r="L652" i="1"/>
  <c r="V651" i="1" a="1"/>
  <c r="V651" i="1" s="1"/>
  <c r="U651" i="1" a="1"/>
  <c r="U651" i="1"/>
  <c r="T651" i="1"/>
  <c r="S651" i="1"/>
  <c r="Q651" i="1" a="1"/>
  <c r="Q651" i="1"/>
  <c r="R651" i="1" s="1"/>
  <c r="P651" i="1"/>
  <c r="O651" i="1"/>
  <c r="N651" i="1" a="1"/>
  <c r="N651" i="1"/>
  <c r="M651" i="1" a="1"/>
  <c r="M651" i="1" s="1"/>
  <c r="L651" i="1" a="1"/>
  <c r="L651" i="1"/>
  <c r="V650" i="1" a="1"/>
  <c r="V650" i="1" s="1"/>
  <c r="U650" i="1" a="1"/>
  <c r="U650" i="1"/>
  <c r="T650" i="1"/>
  <c r="R650" i="1"/>
  <c r="S650" i="1" s="1"/>
  <c r="Q650" i="1" a="1"/>
  <c r="Q650" i="1" s="1"/>
  <c r="P650" i="1"/>
  <c r="O650" i="1"/>
  <c r="N650" i="1" a="1"/>
  <c r="N650" i="1"/>
  <c r="M650" i="1" a="1"/>
  <c r="M650" i="1" s="1"/>
  <c r="L650" i="1" a="1"/>
  <c r="L650" i="1"/>
  <c r="V649" i="1" a="1"/>
  <c r="V649" i="1"/>
  <c r="U649" i="1" a="1"/>
  <c r="U649" i="1" s="1"/>
  <c r="T649" i="1"/>
  <c r="Q649" i="1" a="1"/>
  <c r="Q649" i="1" s="1"/>
  <c r="R649" i="1" s="1"/>
  <c r="S649" i="1" s="1"/>
  <c r="P649" i="1"/>
  <c r="O649" i="1"/>
  <c r="N649" i="1" a="1"/>
  <c r="N649" i="1" s="1"/>
  <c r="M649" i="1" a="1"/>
  <c r="M649" i="1"/>
  <c r="L649" i="1" a="1"/>
  <c r="L649" i="1"/>
  <c r="V648" i="1" a="1"/>
  <c r="V648" i="1"/>
  <c r="U648" i="1" a="1"/>
  <c r="U648" i="1" s="1"/>
  <c r="T648" i="1"/>
  <c r="R648" i="1"/>
  <c r="S648" i="1" s="1"/>
  <c r="Q648" i="1" a="1"/>
  <c r="Q648" i="1" s="1"/>
  <c r="P648" i="1"/>
  <c r="O648" i="1"/>
  <c r="N648" i="1" a="1"/>
  <c r="N648" i="1"/>
  <c r="M648" i="1" a="1"/>
  <c r="M648" i="1"/>
  <c r="L648" i="1" a="1"/>
  <c r="L648" i="1" s="1"/>
  <c r="V647" i="1" a="1"/>
  <c r="V647" i="1"/>
  <c r="U647" i="1" a="1"/>
  <c r="U647" i="1" s="1"/>
  <c r="T647" i="1"/>
  <c r="Q647" i="1" a="1"/>
  <c r="Q647" i="1"/>
  <c r="R647" i="1" s="1"/>
  <c r="S647" i="1" s="1"/>
  <c r="P647" i="1"/>
  <c r="O647" i="1"/>
  <c r="N647" i="1" a="1"/>
  <c r="N647" i="1"/>
  <c r="M647" i="1" a="1"/>
  <c r="M647" i="1" s="1"/>
  <c r="L647" i="1" a="1"/>
  <c r="L647" i="1"/>
  <c r="V646" i="1" a="1"/>
  <c r="V646" i="1"/>
  <c r="U646" i="1" a="1"/>
  <c r="U646" i="1"/>
  <c r="T646" i="1"/>
  <c r="Q646" i="1" a="1"/>
  <c r="Q646" i="1"/>
  <c r="R646" i="1" s="1"/>
  <c r="S646" i="1" s="1"/>
  <c r="P646" i="1"/>
  <c r="O646" i="1"/>
  <c r="N646" i="1" a="1"/>
  <c r="N646" i="1" s="1"/>
  <c r="M646" i="1" a="1"/>
  <c r="M646" i="1"/>
  <c r="L646" i="1" a="1"/>
  <c r="L646" i="1"/>
  <c r="V645" i="1" a="1"/>
  <c r="V645" i="1" s="1"/>
  <c r="U645" i="1" a="1"/>
  <c r="U645" i="1"/>
  <c r="T645" i="1"/>
  <c r="S645" i="1"/>
  <c r="R645" i="1"/>
  <c r="Q645" i="1" a="1"/>
  <c r="Q645" i="1"/>
  <c r="P645" i="1"/>
  <c r="O645" i="1"/>
  <c r="N645" i="1" a="1"/>
  <c r="N645" i="1" s="1"/>
  <c r="M645" i="1" a="1"/>
  <c r="M645" i="1"/>
  <c r="L645" i="1" a="1"/>
  <c r="L645" i="1"/>
  <c r="V644" i="1" a="1"/>
  <c r="V644" i="1"/>
  <c r="U644" i="1" a="1"/>
  <c r="U644" i="1" s="1"/>
  <c r="T644" i="1"/>
  <c r="Q644" i="1" a="1"/>
  <c r="Q644" i="1" s="1"/>
  <c r="R644" i="1" s="1"/>
  <c r="S644" i="1" s="1"/>
  <c r="P644" i="1"/>
  <c r="O644" i="1"/>
  <c r="N644" i="1" a="1"/>
  <c r="N644" i="1"/>
  <c r="M644" i="1" a="1"/>
  <c r="M644" i="1" s="1"/>
  <c r="L644" i="1" a="1"/>
  <c r="L644" i="1"/>
  <c r="V643" i="1" a="1"/>
  <c r="V643" i="1"/>
  <c r="U643" i="1" a="1"/>
  <c r="U643" i="1" s="1"/>
  <c r="T643" i="1"/>
  <c r="R643" i="1"/>
  <c r="S643" i="1" s="1"/>
  <c r="Q643" i="1" a="1"/>
  <c r="Q643" i="1" s="1"/>
  <c r="P643" i="1"/>
  <c r="O643" i="1"/>
  <c r="N643" i="1" a="1"/>
  <c r="N643" i="1"/>
  <c r="M643" i="1" a="1"/>
  <c r="M643" i="1" s="1"/>
  <c r="L643" i="1" a="1"/>
  <c r="L643" i="1"/>
  <c r="V642" i="1" a="1"/>
  <c r="V642" i="1"/>
  <c r="U642" i="1" a="1"/>
  <c r="U642" i="1" s="1"/>
  <c r="T642" i="1"/>
  <c r="Q642" i="1" a="1"/>
  <c r="Q642" i="1"/>
  <c r="R642" i="1" s="1"/>
  <c r="S642" i="1" s="1"/>
  <c r="P642" i="1"/>
  <c r="O642" i="1"/>
  <c r="N642" i="1" a="1"/>
  <c r="N642" i="1" s="1"/>
  <c r="M642" i="1" a="1"/>
  <c r="M642" i="1" s="1"/>
  <c r="L642" i="1" a="1"/>
  <c r="L642" i="1" s="1"/>
  <c r="V641" i="1" a="1"/>
  <c r="V641" i="1"/>
  <c r="U641" i="1" a="1"/>
  <c r="U641" i="1"/>
  <c r="T641" i="1"/>
  <c r="R641" i="1"/>
  <c r="S641" i="1" s="1"/>
  <c r="Q641" i="1" a="1"/>
  <c r="Q641" i="1"/>
  <c r="P641" i="1"/>
  <c r="O641" i="1"/>
  <c r="N641" i="1" a="1"/>
  <c r="N641" i="1" s="1"/>
  <c r="M641" i="1" a="1"/>
  <c r="M641" i="1"/>
  <c r="L641" i="1" a="1"/>
  <c r="L641" i="1" s="1"/>
  <c r="V640" i="1" a="1"/>
  <c r="V640" i="1"/>
  <c r="U640" i="1" a="1"/>
  <c r="U640" i="1" s="1"/>
  <c r="T640" i="1"/>
  <c r="S640" i="1"/>
  <c r="Q640" i="1" a="1"/>
  <c r="Q640" i="1"/>
  <c r="R640" i="1" s="1"/>
  <c r="P640" i="1"/>
  <c r="O640" i="1"/>
  <c r="N640" i="1" a="1"/>
  <c r="N640" i="1" s="1"/>
  <c r="M640" i="1" a="1"/>
  <c r="M640" i="1"/>
  <c r="L640" i="1" a="1"/>
  <c r="L640" i="1"/>
  <c r="V639" i="1" a="1"/>
  <c r="V639" i="1" s="1"/>
  <c r="U639" i="1" a="1"/>
  <c r="U639" i="1"/>
  <c r="T639" i="1"/>
  <c r="Q639" i="1" a="1"/>
  <c r="Q639" i="1"/>
  <c r="R639" i="1" s="1"/>
  <c r="S639" i="1" s="1"/>
  <c r="P639" i="1"/>
  <c r="O639" i="1"/>
  <c r="N639" i="1" a="1"/>
  <c r="N639" i="1"/>
  <c r="M639" i="1" a="1"/>
  <c r="M639" i="1" s="1"/>
  <c r="L639" i="1" a="1"/>
  <c r="L639" i="1"/>
  <c r="V638" i="1" a="1"/>
  <c r="V638" i="1" s="1"/>
  <c r="U638" i="1" a="1"/>
  <c r="U638" i="1"/>
  <c r="T638" i="1"/>
  <c r="Q638" i="1" a="1"/>
  <c r="Q638" i="1" s="1"/>
  <c r="R638" i="1" s="1"/>
  <c r="S638" i="1" s="1"/>
  <c r="P638" i="1"/>
  <c r="O638" i="1"/>
  <c r="N638" i="1" a="1"/>
  <c r="N638" i="1"/>
  <c r="M638" i="1" a="1"/>
  <c r="M638" i="1" s="1"/>
  <c r="L638" i="1" a="1"/>
  <c r="L638" i="1"/>
  <c r="V637" i="1" a="1"/>
  <c r="V637" i="1" s="1"/>
  <c r="U637" i="1" a="1"/>
  <c r="U637" i="1" s="1"/>
  <c r="T637" i="1"/>
  <c r="Q637" i="1" a="1"/>
  <c r="Q637" i="1" s="1"/>
  <c r="R637" i="1" s="1"/>
  <c r="S637" i="1" s="1"/>
  <c r="P637" i="1"/>
  <c r="O637" i="1"/>
  <c r="N637" i="1" a="1"/>
  <c r="N637" i="1" s="1"/>
  <c r="M637" i="1" a="1"/>
  <c r="M637" i="1"/>
  <c r="L637" i="1" a="1"/>
  <c r="L637" i="1"/>
  <c r="V636" i="1" a="1"/>
  <c r="V636" i="1"/>
  <c r="U636" i="1" a="1"/>
  <c r="U636" i="1" s="1"/>
  <c r="T636" i="1"/>
  <c r="Q636" i="1" a="1"/>
  <c r="Q636" i="1"/>
  <c r="R636" i="1" s="1"/>
  <c r="S636" i="1" s="1"/>
  <c r="P636" i="1"/>
  <c r="O636" i="1"/>
  <c r="N636" i="1" a="1"/>
  <c r="N636" i="1"/>
  <c r="M636" i="1" a="1"/>
  <c r="M636" i="1"/>
  <c r="L636" i="1" a="1"/>
  <c r="L636" i="1" s="1"/>
  <c r="V635" i="1" a="1"/>
  <c r="V635" i="1"/>
  <c r="U635" i="1" a="1"/>
  <c r="U635" i="1" s="1"/>
  <c r="T635" i="1"/>
  <c r="Q635" i="1" a="1"/>
  <c r="Q635" i="1"/>
  <c r="R635" i="1" s="1"/>
  <c r="S635" i="1" s="1"/>
  <c r="P635" i="1"/>
  <c r="O635" i="1"/>
  <c r="N635" i="1" a="1"/>
  <c r="N635" i="1"/>
  <c r="M635" i="1" a="1"/>
  <c r="M635" i="1"/>
  <c r="L635" i="1" a="1"/>
  <c r="L635" i="1" s="1"/>
  <c r="V634" i="1" a="1"/>
  <c r="V634" i="1"/>
  <c r="U634" i="1" a="1"/>
  <c r="U634" i="1"/>
  <c r="T634" i="1"/>
  <c r="Q634" i="1" a="1"/>
  <c r="Q634" i="1"/>
  <c r="R634" i="1" s="1"/>
  <c r="S634" i="1" s="1"/>
  <c r="P634" i="1"/>
  <c r="O634" i="1"/>
  <c r="N634" i="1" a="1"/>
  <c r="N634" i="1" s="1"/>
  <c r="M634" i="1" a="1"/>
  <c r="M634" i="1"/>
  <c r="L634" i="1" a="1"/>
  <c r="L634" i="1"/>
  <c r="V633" i="1" a="1"/>
  <c r="V633" i="1" s="1"/>
  <c r="U633" i="1" a="1"/>
  <c r="U633" i="1"/>
  <c r="T633" i="1"/>
  <c r="S633" i="1"/>
  <c r="Q633" i="1" a="1"/>
  <c r="Q633" i="1" s="1"/>
  <c r="R633" i="1" s="1"/>
  <c r="P633" i="1"/>
  <c r="O633" i="1"/>
  <c r="N633" i="1" a="1"/>
  <c r="N633" i="1"/>
  <c r="M633" i="1" a="1"/>
  <c r="M633" i="1"/>
  <c r="L633" i="1" a="1"/>
  <c r="L633" i="1"/>
  <c r="V632" i="1" a="1"/>
  <c r="V632" i="1"/>
  <c r="U632" i="1" a="1"/>
  <c r="U632" i="1" s="1"/>
  <c r="T632" i="1"/>
  <c r="S632" i="1"/>
  <c r="R632" i="1"/>
  <c r="Q632" i="1" a="1"/>
  <c r="Q632" i="1" s="1"/>
  <c r="P632" i="1"/>
  <c r="O632" i="1"/>
  <c r="N632" i="1" a="1"/>
  <c r="N632" i="1" s="1"/>
  <c r="M632" i="1" a="1"/>
  <c r="M632" i="1" s="1"/>
  <c r="L632" i="1" a="1"/>
  <c r="L632" i="1"/>
  <c r="V631" i="1" a="1"/>
  <c r="V631" i="1"/>
  <c r="U631" i="1" a="1"/>
  <c r="U631" i="1" s="1"/>
  <c r="T631" i="1"/>
  <c r="Q631" i="1" a="1"/>
  <c r="Q631" i="1" s="1"/>
  <c r="R631" i="1" s="1"/>
  <c r="S631" i="1" s="1"/>
  <c r="P631" i="1"/>
  <c r="O631" i="1"/>
  <c r="N631" i="1" a="1"/>
  <c r="N631" i="1"/>
  <c r="M631" i="1" a="1"/>
  <c r="M631" i="1"/>
  <c r="L631" i="1" a="1"/>
  <c r="L631" i="1"/>
  <c r="V630" i="1" a="1"/>
  <c r="V630" i="1"/>
  <c r="U630" i="1" a="1"/>
  <c r="U630" i="1" s="1"/>
  <c r="T630" i="1"/>
  <c r="Q630" i="1" a="1"/>
  <c r="Q630" i="1"/>
  <c r="R630" i="1" s="1"/>
  <c r="S630" i="1" s="1"/>
  <c r="P630" i="1"/>
  <c r="O630" i="1"/>
  <c r="N630" i="1" a="1"/>
  <c r="N630" i="1"/>
  <c r="M630" i="1" a="1"/>
  <c r="M630" i="1" s="1"/>
  <c r="L630" i="1" a="1"/>
  <c r="L630" i="1" s="1"/>
  <c r="V629" i="1" a="1"/>
  <c r="V629" i="1"/>
  <c r="U629" i="1" a="1"/>
  <c r="U629" i="1"/>
  <c r="T629" i="1"/>
  <c r="R629" i="1"/>
  <c r="S629" i="1" s="1"/>
  <c r="Q629" i="1" a="1"/>
  <c r="Q629" i="1"/>
  <c r="P629" i="1"/>
  <c r="O629" i="1"/>
  <c r="N629" i="1" a="1"/>
  <c r="N629" i="1" s="1"/>
  <c r="M629" i="1" a="1"/>
  <c r="M629" i="1"/>
  <c r="L629" i="1" a="1"/>
  <c r="L629" i="1" s="1"/>
  <c r="V628" i="1" a="1"/>
  <c r="V628" i="1"/>
  <c r="U628" i="1" a="1"/>
  <c r="U628" i="1" s="1"/>
  <c r="T628" i="1"/>
  <c r="S628" i="1"/>
  <c r="Q628" i="1" a="1"/>
  <c r="Q628" i="1"/>
  <c r="R628" i="1" s="1"/>
  <c r="P628" i="1"/>
  <c r="O628" i="1"/>
  <c r="N628" i="1" a="1"/>
  <c r="N628" i="1" s="1"/>
  <c r="M628" i="1" a="1"/>
  <c r="M628" i="1"/>
  <c r="L628" i="1" a="1"/>
  <c r="L628" i="1"/>
  <c r="V627" i="1" a="1"/>
  <c r="V627" i="1" s="1"/>
  <c r="U627" i="1" a="1"/>
  <c r="U627" i="1"/>
  <c r="T627" i="1"/>
  <c r="Q627" i="1" a="1"/>
  <c r="Q627" i="1"/>
  <c r="R627" i="1" s="1"/>
  <c r="S627" i="1" s="1"/>
  <c r="P627" i="1"/>
  <c r="O627" i="1"/>
  <c r="N627" i="1" a="1"/>
  <c r="N627" i="1"/>
  <c r="M627" i="1" a="1"/>
  <c r="M627" i="1" s="1"/>
  <c r="L627" i="1" a="1"/>
  <c r="L627" i="1"/>
  <c r="V626" i="1" a="1"/>
  <c r="V626" i="1" s="1"/>
  <c r="U626" i="1" a="1"/>
  <c r="U626" i="1"/>
  <c r="T626" i="1"/>
  <c r="Q626" i="1" a="1"/>
  <c r="Q626" i="1" s="1"/>
  <c r="R626" i="1" s="1"/>
  <c r="S626" i="1" s="1"/>
  <c r="P626" i="1"/>
  <c r="O626" i="1"/>
  <c r="N626" i="1" a="1"/>
  <c r="N626" i="1"/>
  <c r="M626" i="1" a="1"/>
  <c r="M626" i="1" s="1"/>
  <c r="L626" i="1" a="1"/>
  <c r="L626" i="1"/>
  <c r="V625" i="1" a="1"/>
  <c r="V625" i="1"/>
  <c r="U625" i="1" a="1"/>
  <c r="U625" i="1" s="1"/>
  <c r="T625" i="1"/>
  <c r="Q625" i="1" a="1"/>
  <c r="Q625" i="1" s="1"/>
  <c r="R625" i="1" s="1"/>
  <c r="S625" i="1" s="1"/>
  <c r="P625" i="1"/>
  <c r="O625" i="1"/>
  <c r="N625" i="1" a="1"/>
  <c r="N625" i="1" s="1"/>
  <c r="M625" i="1" a="1"/>
  <c r="M625" i="1"/>
  <c r="L625" i="1" a="1"/>
  <c r="L625" i="1"/>
  <c r="V624" i="1" a="1"/>
  <c r="V624" i="1"/>
  <c r="U624" i="1" a="1"/>
  <c r="U624" i="1" s="1"/>
  <c r="T624" i="1"/>
  <c r="S624" i="1"/>
  <c r="Q624" i="1" a="1"/>
  <c r="Q624" i="1"/>
  <c r="R624" i="1" s="1"/>
  <c r="P624" i="1"/>
  <c r="O624" i="1"/>
  <c r="N624" i="1" a="1"/>
  <c r="N624" i="1"/>
  <c r="M624" i="1" a="1"/>
  <c r="M624" i="1"/>
  <c r="L624" i="1" a="1"/>
  <c r="L624" i="1" s="1"/>
  <c r="V623" i="1" a="1"/>
  <c r="V623" i="1"/>
  <c r="U623" i="1" a="1"/>
  <c r="U623" i="1" s="1"/>
  <c r="T623" i="1"/>
  <c r="Q623" i="1" a="1"/>
  <c r="Q623" i="1"/>
  <c r="R623" i="1" s="1"/>
  <c r="S623" i="1" s="1"/>
  <c r="P623" i="1"/>
  <c r="O623" i="1"/>
  <c r="N623" i="1" a="1"/>
  <c r="N623" i="1"/>
  <c r="M623" i="1" a="1"/>
  <c r="M623" i="1"/>
  <c r="L623" i="1" a="1"/>
  <c r="L623" i="1" s="1"/>
  <c r="V622" i="1" a="1"/>
  <c r="V622" i="1"/>
  <c r="U622" i="1" a="1"/>
  <c r="U622" i="1"/>
  <c r="T622" i="1"/>
  <c r="Q622" i="1" a="1"/>
  <c r="Q622" i="1"/>
  <c r="R622" i="1" s="1"/>
  <c r="S622" i="1" s="1"/>
  <c r="P622" i="1"/>
  <c r="O622" i="1"/>
  <c r="N622" i="1" a="1"/>
  <c r="N622" i="1" s="1"/>
  <c r="M622" i="1" a="1"/>
  <c r="M622" i="1"/>
  <c r="L622" i="1" a="1"/>
  <c r="L622" i="1"/>
  <c r="V621" i="1" a="1"/>
  <c r="V621" i="1" s="1"/>
  <c r="U621" i="1" a="1"/>
  <c r="U621" i="1"/>
  <c r="T621" i="1"/>
  <c r="S621" i="1"/>
  <c r="R621" i="1"/>
  <c r="Q621" i="1" a="1"/>
  <c r="Q621" i="1"/>
  <c r="P621" i="1"/>
  <c r="O621" i="1"/>
  <c r="N621" i="1" a="1"/>
  <c r="N621" i="1"/>
  <c r="M621" i="1" a="1"/>
  <c r="M621" i="1"/>
  <c r="L621" i="1" a="1"/>
  <c r="L621" i="1"/>
  <c r="V620" i="1" a="1"/>
  <c r="V620" i="1" s="1"/>
  <c r="U620" i="1" a="1"/>
  <c r="U620" i="1" s="1"/>
  <c r="T620" i="1"/>
  <c r="Q620" i="1" a="1"/>
  <c r="Q620" i="1" s="1"/>
  <c r="R620" i="1" s="1"/>
  <c r="S620" i="1" s="1"/>
  <c r="P620" i="1"/>
  <c r="O620" i="1"/>
  <c r="N620" i="1" a="1"/>
  <c r="N620" i="1"/>
  <c r="M620" i="1" a="1"/>
  <c r="M620" i="1" s="1"/>
  <c r="L620" i="1" a="1"/>
  <c r="L620" i="1"/>
  <c r="V619" i="1" a="1"/>
  <c r="V619" i="1"/>
  <c r="U619" i="1" a="1"/>
  <c r="U619" i="1" s="1"/>
  <c r="T619" i="1"/>
  <c r="Q619" i="1" a="1"/>
  <c r="Q619" i="1" s="1"/>
  <c r="R619" i="1" s="1"/>
  <c r="S619" i="1" s="1"/>
  <c r="P619" i="1"/>
  <c r="O619" i="1"/>
  <c r="N619" i="1" a="1"/>
  <c r="N619" i="1"/>
  <c r="M619" i="1" a="1"/>
  <c r="M619" i="1"/>
  <c r="L619" i="1" a="1"/>
  <c r="L619" i="1"/>
  <c r="V618" i="1" a="1"/>
  <c r="V618" i="1"/>
  <c r="U618" i="1" a="1"/>
  <c r="U618" i="1" s="1"/>
  <c r="T618" i="1"/>
  <c r="Q618" i="1" a="1"/>
  <c r="Q618" i="1"/>
  <c r="R618" i="1" s="1"/>
  <c r="S618" i="1" s="1"/>
  <c r="P618" i="1"/>
  <c r="O618" i="1"/>
  <c r="N618" i="1" a="1"/>
  <c r="N618" i="1" s="1"/>
  <c r="M618" i="1" a="1"/>
  <c r="M618" i="1"/>
  <c r="L618" i="1" a="1"/>
  <c r="L618" i="1" s="1"/>
  <c r="V617" i="1" a="1"/>
  <c r="V617" i="1"/>
  <c r="U617" i="1" a="1"/>
  <c r="U617" i="1"/>
  <c r="T617" i="1"/>
  <c r="Q617" i="1" a="1"/>
  <c r="Q617" i="1"/>
  <c r="R617" i="1" s="1"/>
  <c r="S617" i="1" s="1"/>
  <c r="P617" i="1"/>
  <c r="O617" i="1"/>
  <c r="N617" i="1" a="1"/>
  <c r="N617" i="1" s="1"/>
  <c r="M617" i="1" a="1"/>
  <c r="M617" i="1"/>
  <c r="L617" i="1" a="1"/>
  <c r="L617" i="1"/>
  <c r="V616" i="1" a="1"/>
  <c r="V616" i="1"/>
  <c r="U616" i="1" a="1"/>
  <c r="U616" i="1"/>
  <c r="T616" i="1"/>
  <c r="Q616" i="1" a="1"/>
  <c r="Q616" i="1"/>
  <c r="R616" i="1" s="1"/>
  <c r="S616" i="1" s="1"/>
  <c r="P616" i="1"/>
  <c r="O616" i="1"/>
  <c r="N616" i="1" a="1"/>
  <c r="N616" i="1" s="1"/>
  <c r="M616" i="1" a="1"/>
  <c r="M616" i="1"/>
  <c r="L616" i="1" a="1"/>
  <c r="L616" i="1" s="1"/>
  <c r="V615" i="1" a="1"/>
  <c r="V615" i="1" s="1"/>
  <c r="U615" i="1" a="1"/>
  <c r="U615" i="1"/>
  <c r="T615" i="1"/>
  <c r="R615" i="1"/>
  <c r="S615" i="1" s="1"/>
  <c r="Q615" i="1" a="1"/>
  <c r="Q615" i="1"/>
  <c r="P615" i="1"/>
  <c r="O615" i="1"/>
  <c r="N615" i="1" a="1"/>
  <c r="N615" i="1" s="1"/>
  <c r="M615" i="1" a="1"/>
  <c r="M615" i="1" s="1"/>
  <c r="L615" i="1" a="1"/>
  <c r="L615" i="1"/>
  <c r="V614" i="1" a="1"/>
  <c r="V614" i="1"/>
  <c r="U614" i="1" a="1"/>
  <c r="U614" i="1"/>
  <c r="T614" i="1"/>
  <c r="Q614" i="1" a="1"/>
  <c r="Q614" i="1" s="1"/>
  <c r="R614" i="1" s="1"/>
  <c r="S614" i="1" s="1"/>
  <c r="P614" i="1"/>
  <c r="O614" i="1"/>
  <c r="N614" i="1" a="1"/>
  <c r="N614" i="1" s="1"/>
  <c r="M614" i="1" a="1"/>
  <c r="M614" i="1" s="1"/>
  <c r="L614" i="1" a="1"/>
  <c r="L614" i="1"/>
  <c r="V613" i="1" a="1"/>
  <c r="V613" i="1" s="1"/>
  <c r="U613" i="1" a="1"/>
  <c r="U613" i="1" s="1"/>
  <c r="T613" i="1"/>
  <c r="R613" i="1"/>
  <c r="S613" i="1" s="1"/>
  <c r="Q613" i="1" a="1"/>
  <c r="Q613" i="1"/>
  <c r="P613" i="1"/>
  <c r="O613" i="1"/>
  <c r="N613" i="1" a="1"/>
  <c r="N613" i="1"/>
  <c r="M613" i="1" a="1"/>
  <c r="M613" i="1"/>
  <c r="L613" i="1" a="1"/>
  <c r="L613" i="1"/>
  <c r="V612" i="1" a="1"/>
  <c r="V612" i="1"/>
  <c r="U612" i="1" a="1"/>
  <c r="U612" i="1"/>
  <c r="T612" i="1"/>
  <c r="Q612" i="1" a="1"/>
  <c r="Q612" i="1"/>
  <c r="R612" i="1" s="1"/>
  <c r="S612" i="1" s="1"/>
  <c r="P612" i="1"/>
  <c r="O612" i="1"/>
  <c r="N612" i="1" a="1"/>
  <c r="N612" i="1"/>
  <c r="M612" i="1" a="1"/>
  <c r="M612" i="1" s="1"/>
  <c r="L612" i="1" a="1"/>
  <c r="L612" i="1" s="1"/>
  <c r="V611" i="1" a="1"/>
  <c r="V611" i="1" s="1"/>
  <c r="U611" i="1" a="1"/>
  <c r="U611" i="1"/>
  <c r="T611" i="1"/>
  <c r="Q611" i="1" a="1"/>
  <c r="Q611" i="1"/>
  <c r="R611" i="1" s="1"/>
  <c r="S611" i="1" s="1"/>
  <c r="P611" i="1"/>
  <c r="O611" i="1"/>
  <c r="N611" i="1" a="1"/>
  <c r="N611" i="1"/>
  <c r="M611" i="1" a="1"/>
  <c r="M611" i="1"/>
  <c r="L611" i="1" a="1"/>
  <c r="L611" i="1" s="1"/>
  <c r="V610" i="1" a="1"/>
  <c r="V610" i="1" s="1"/>
  <c r="U610" i="1" a="1"/>
  <c r="U610" i="1"/>
  <c r="T610" i="1"/>
  <c r="Q610" i="1" a="1"/>
  <c r="Q610" i="1"/>
  <c r="R610" i="1" s="1"/>
  <c r="S610" i="1" s="1"/>
  <c r="P610" i="1"/>
  <c r="O610" i="1"/>
  <c r="N610" i="1" a="1"/>
  <c r="N610" i="1" s="1"/>
  <c r="M610" i="1" a="1"/>
  <c r="M610" i="1"/>
  <c r="L610" i="1" a="1"/>
  <c r="L610" i="1"/>
  <c r="V609" i="1" a="1"/>
  <c r="V609" i="1" s="1"/>
  <c r="U609" i="1" a="1"/>
  <c r="U609" i="1"/>
  <c r="T609" i="1"/>
  <c r="Q609" i="1" a="1"/>
  <c r="Q609" i="1" s="1"/>
  <c r="R609" i="1" s="1"/>
  <c r="S609" i="1" s="1"/>
  <c r="P609" i="1"/>
  <c r="O609" i="1"/>
  <c r="N609" i="1" a="1"/>
  <c r="N609" i="1"/>
  <c r="M609" i="1" a="1"/>
  <c r="M609" i="1"/>
  <c r="L609" i="1" a="1"/>
  <c r="L609" i="1"/>
  <c r="V608" i="1" a="1"/>
  <c r="V608" i="1"/>
  <c r="U608" i="1" a="1"/>
  <c r="U608" i="1" s="1"/>
  <c r="T608" i="1"/>
  <c r="S608" i="1"/>
  <c r="R608" i="1"/>
  <c r="Q608" i="1" a="1"/>
  <c r="Q608" i="1" s="1"/>
  <c r="P608" i="1"/>
  <c r="O608" i="1"/>
  <c r="N608" i="1" a="1"/>
  <c r="N608" i="1" s="1"/>
  <c r="M608" i="1" a="1"/>
  <c r="M608" i="1" s="1"/>
  <c r="L608" i="1" a="1"/>
  <c r="L608" i="1"/>
  <c r="V607" i="1" a="1"/>
  <c r="V607" i="1"/>
  <c r="U607" i="1" a="1"/>
  <c r="U607" i="1" s="1"/>
  <c r="T607" i="1"/>
  <c r="Q607" i="1" a="1"/>
  <c r="Q607" i="1" s="1"/>
  <c r="R607" i="1" s="1"/>
  <c r="S607" i="1" s="1"/>
  <c r="P607" i="1"/>
  <c r="O607" i="1"/>
  <c r="N607" i="1" a="1"/>
  <c r="N607" i="1"/>
  <c r="M607" i="1" a="1"/>
  <c r="M607" i="1"/>
  <c r="L607" i="1" a="1"/>
  <c r="L607" i="1"/>
  <c r="V606" i="1" a="1"/>
  <c r="V606" i="1"/>
  <c r="U606" i="1" a="1"/>
  <c r="U606" i="1" s="1"/>
  <c r="T606" i="1"/>
  <c r="Q606" i="1" a="1"/>
  <c r="Q606" i="1"/>
  <c r="R606" i="1" s="1"/>
  <c r="S606" i="1" s="1"/>
  <c r="P606" i="1"/>
  <c r="O606" i="1"/>
  <c r="N606" i="1" a="1"/>
  <c r="N606" i="1"/>
  <c r="M606" i="1" a="1"/>
  <c r="M606" i="1" s="1"/>
  <c r="L606" i="1" a="1"/>
  <c r="L606" i="1" s="1"/>
  <c r="V605" i="1" a="1"/>
  <c r="V605" i="1"/>
  <c r="U605" i="1" a="1"/>
  <c r="U605" i="1"/>
  <c r="T605" i="1"/>
  <c r="R605" i="1"/>
  <c r="S605" i="1" s="1"/>
  <c r="Q605" i="1" a="1"/>
  <c r="Q605" i="1"/>
  <c r="P605" i="1"/>
  <c r="O605" i="1"/>
  <c r="N605" i="1" a="1"/>
  <c r="N605" i="1" s="1"/>
  <c r="M605" i="1" a="1"/>
  <c r="M605" i="1"/>
  <c r="L605" i="1" a="1"/>
  <c r="L605" i="1" s="1"/>
  <c r="V604" i="1" a="1"/>
  <c r="V604" i="1"/>
  <c r="U604" i="1" a="1"/>
  <c r="U604" i="1" s="1"/>
  <c r="T604" i="1"/>
  <c r="S604" i="1"/>
  <c r="Q604" i="1" a="1"/>
  <c r="Q604" i="1"/>
  <c r="R604" i="1" s="1"/>
  <c r="P604" i="1"/>
  <c r="O604" i="1"/>
  <c r="N604" i="1" a="1"/>
  <c r="N604" i="1" s="1"/>
  <c r="M604" i="1" a="1"/>
  <c r="M604" i="1"/>
  <c r="L604" i="1" a="1"/>
  <c r="L604" i="1"/>
  <c r="V603" i="1" a="1"/>
  <c r="V603" i="1" s="1"/>
  <c r="U603" i="1" a="1"/>
  <c r="U603" i="1"/>
  <c r="T603" i="1"/>
  <c r="Q603" i="1" a="1"/>
  <c r="Q603" i="1"/>
  <c r="R603" i="1" s="1"/>
  <c r="S603" i="1" s="1"/>
  <c r="P603" i="1"/>
  <c r="O603" i="1"/>
  <c r="N603" i="1" a="1"/>
  <c r="N603" i="1"/>
  <c r="M603" i="1" a="1"/>
  <c r="M603" i="1" s="1"/>
  <c r="L603" i="1" a="1"/>
  <c r="L603" i="1"/>
  <c r="V602" i="1" a="1"/>
  <c r="V602" i="1" s="1"/>
  <c r="U602" i="1" a="1"/>
  <c r="U602" i="1"/>
  <c r="T602" i="1"/>
  <c r="Q602" i="1" a="1"/>
  <c r="Q602" i="1" s="1"/>
  <c r="R602" i="1" s="1"/>
  <c r="S602" i="1" s="1"/>
  <c r="P602" i="1"/>
  <c r="O602" i="1"/>
  <c r="N602" i="1" a="1"/>
  <c r="N602" i="1"/>
  <c r="M602" i="1" a="1"/>
  <c r="M602" i="1" s="1"/>
  <c r="L602" i="1" a="1"/>
  <c r="L602" i="1"/>
  <c r="V601" i="1" a="1"/>
  <c r="V601" i="1" s="1"/>
  <c r="U601" i="1" a="1"/>
  <c r="U601" i="1" s="1"/>
  <c r="T601" i="1"/>
  <c r="Q601" i="1" a="1"/>
  <c r="Q601" i="1" s="1"/>
  <c r="R601" i="1" s="1"/>
  <c r="S601" i="1" s="1"/>
  <c r="P601" i="1"/>
  <c r="O601" i="1"/>
  <c r="N601" i="1" a="1"/>
  <c r="N601" i="1" s="1"/>
  <c r="M601" i="1" a="1"/>
  <c r="M601" i="1"/>
  <c r="L601" i="1" a="1"/>
  <c r="L601" i="1"/>
  <c r="V600" i="1" a="1"/>
  <c r="V600" i="1"/>
  <c r="U600" i="1" a="1"/>
  <c r="U600" i="1" s="1"/>
  <c r="T600" i="1"/>
  <c r="Q600" i="1" a="1"/>
  <c r="Q600" i="1"/>
  <c r="R600" i="1" s="1"/>
  <c r="S600" i="1" s="1"/>
  <c r="P600" i="1"/>
  <c r="O600" i="1"/>
  <c r="N600" i="1" a="1"/>
  <c r="N600" i="1" s="1"/>
  <c r="M600" i="1" a="1"/>
  <c r="M600" i="1"/>
  <c r="L600" i="1" a="1"/>
  <c r="L600" i="1" s="1"/>
  <c r="V599" i="1" a="1"/>
  <c r="V599" i="1"/>
  <c r="U599" i="1" a="1"/>
  <c r="U599" i="1" s="1"/>
  <c r="T599" i="1"/>
  <c r="Q599" i="1" a="1"/>
  <c r="Q599" i="1"/>
  <c r="R599" i="1" s="1"/>
  <c r="S599" i="1" s="1"/>
  <c r="P599" i="1"/>
  <c r="O599" i="1"/>
  <c r="N599" i="1" a="1"/>
  <c r="N599" i="1"/>
  <c r="M599" i="1" a="1"/>
  <c r="M599" i="1" s="1"/>
  <c r="L599" i="1" a="1"/>
  <c r="L599" i="1"/>
  <c r="V598" i="1" a="1"/>
  <c r="V598" i="1" s="1"/>
  <c r="U598" i="1" a="1"/>
  <c r="U598" i="1"/>
  <c r="T598" i="1"/>
  <c r="S598" i="1"/>
  <c r="Q598" i="1" a="1"/>
  <c r="Q598" i="1"/>
  <c r="R598" i="1" s="1"/>
  <c r="P598" i="1"/>
  <c r="O598" i="1"/>
  <c r="N598" i="1" a="1"/>
  <c r="N598" i="1" s="1"/>
  <c r="M598" i="1" a="1"/>
  <c r="M598" i="1"/>
  <c r="L598" i="1" a="1"/>
  <c r="L598" i="1"/>
  <c r="V597" i="1" a="1"/>
  <c r="V597" i="1" s="1"/>
  <c r="U597" i="1" a="1"/>
  <c r="U597" i="1"/>
  <c r="T597" i="1"/>
  <c r="Q597" i="1" a="1"/>
  <c r="Q597" i="1"/>
  <c r="R597" i="1" s="1"/>
  <c r="S597" i="1" s="1"/>
  <c r="P597" i="1"/>
  <c r="O597" i="1"/>
  <c r="N597" i="1" a="1"/>
  <c r="N597" i="1"/>
  <c r="M597" i="1" a="1"/>
  <c r="M597" i="1"/>
  <c r="L597" i="1" a="1"/>
  <c r="L597" i="1" s="1"/>
  <c r="V596" i="1" a="1"/>
  <c r="V596" i="1"/>
  <c r="U596" i="1" a="1"/>
  <c r="U596" i="1"/>
  <c r="T596" i="1"/>
  <c r="S596" i="1"/>
  <c r="Q596" i="1" a="1"/>
  <c r="Q596" i="1" s="1"/>
  <c r="R596" i="1" s="1"/>
  <c r="P596" i="1"/>
  <c r="O596" i="1"/>
  <c r="N596" i="1" a="1"/>
  <c r="N596" i="1" s="1"/>
  <c r="M596" i="1" a="1"/>
  <c r="M596" i="1"/>
  <c r="L596" i="1" a="1"/>
  <c r="L596" i="1"/>
  <c r="V595" i="1" a="1"/>
  <c r="V595" i="1"/>
  <c r="U595" i="1" a="1"/>
  <c r="U595" i="1" s="1"/>
  <c r="T595" i="1"/>
  <c r="Q595" i="1" a="1"/>
  <c r="Q595" i="1" s="1"/>
  <c r="R595" i="1" s="1"/>
  <c r="S595" i="1" s="1"/>
  <c r="P595" i="1"/>
  <c r="O595" i="1"/>
  <c r="N595" i="1" a="1"/>
  <c r="N595" i="1"/>
  <c r="M595" i="1" a="1"/>
  <c r="M595" i="1"/>
  <c r="L595" i="1" a="1"/>
  <c r="L595" i="1"/>
  <c r="V594" i="1" a="1"/>
  <c r="V594" i="1"/>
  <c r="U594" i="1" a="1"/>
  <c r="U594" i="1" s="1"/>
  <c r="T594" i="1"/>
  <c r="Q594" i="1" a="1"/>
  <c r="Q594" i="1"/>
  <c r="R594" i="1" s="1"/>
  <c r="S594" i="1" s="1"/>
  <c r="P594" i="1"/>
  <c r="O594" i="1"/>
  <c r="N594" i="1" a="1"/>
  <c r="N594" i="1" s="1"/>
  <c r="M594" i="1" a="1"/>
  <c r="M594" i="1" s="1"/>
  <c r="L594" i="1" a="1"/>
  <c r="L594" i="1"/>
  <c r="V593" i="1" a="1"/>
  <c r="V593" i="1" s="1"/>
  <c r="U593" i="1" a="1"/>
  <c r="U593" i="1" s="1"/>
  <c r="T593" i="1"/>
  <c r="Q593" i="1" a="1"/>
  <c r="Q593" i="1" s="1"/>
  <c r="R593" i="1" s="1"/>
  <c r="S593" i="1" s="1"/>
  <c r="P593" i="1"/>
  <c r="O593" i="1"/>
  <c r="N593" i="1" a="1"/>
  <c r="N593" i="1"/>
  <c r="M593" i="1" a="1"/>
  <c r="M593" i="1" s="1"/>
  <c r="L593" i="1" a="1"/>
  <c r="L593" i="1" s="1"/>
  <c r="V592" i="1" a="1"/>
  <c r="V592" i="1"/>
  <c r="U592" i="1" a="1"/>
  <c r="U592" i="1" s="1"/>
  <c r="T592" i="1"/>
  <c r="Q592" i="1" a="1"/>
  <c r="Q592" i="1"/>
  <c r="R592" i="1" s="1"/>
  <c r="S592" i="1" s="1"/>
  <c r="P592" i="1"/>
  <c r="O592" i="1"/>
  <c r="N592" i="1" a="1"/>
  <c r="N592" i="1" s="1"/>
  <c r="M592" i="1" a="1"/>
  <c r="M592" i="1" s="1"/>
  <c r="L592" i="1" a="1"/>
  <c r="L592" i="1" s="1"/>
  <c r="V591" i="1" a="1"/>
  <c r="V591" i="1" s="1"/>
  <c r="U591" i="1" a="1"/>
  <c r="U591" i="1"/>
  <c r="T591" i="1"/>
  <c r="Q591" i="1" a="1"/>
  <c r="Q591" i="1"/>
  <c r="R591" i="1" s="1"/>
  <c r="S591" i="1" s="1"/>
  <c r="P591" i="1"/>
  <c r="O591" i="1"/>
  <c r="N591" i="1" a="1"/>
  <c r="N591" i="1"/>
  <c r="M591" i="1" a="1"/>
  <c r="M591" i="1" s="1"/>
  <c r="L591" i="1" a="1"/>
  <c r="L591" i="1"/>
  <c r="V590" i="1" a="1"/>
  <c r="V590" i="1" s="1"/>
  <c r="U590" i="1" a="1"/>
  <c r="U590" i="1"/>
  <c r="T590" i="1"/>
  <c r="Q590" i="1" a="1"/>
  <c r="Q590" i="1" s="1"/>
  <c r="R590" i="1" s="1"/>
  <c r="S590" i="1" s="1"/>
  <c r="P590" i="1"/>
  <c r="O590" i="1"/>
  <c r="N590" i="1" a="1"/>
  <c r="N590" i="1"/>
  <c r="M590" i="1" a="1"/>
  <c r="M590" i="1" s="1"/>
  <c r="L590" i="1" a="1"/>
  <c r="L590" i="1"/>
  <c r="V589" i="1" a="1"/>
  <c r="V589" i="1"/>
  <c r="U589" i="1" a="1"/>
  <c r="U589" i="1"/>
  <c r="T589" i="1"/>
  <c r="Q589" i="1" a="1"/>
  <c r="Q589" i="1" s="1"/>
  <c r="R589" i="1" s="1"/>
  <c r="S589" i="1" s="1"/>
  <c r="P589" i="1"/>
  <c r="O589" i="1"/>
  <c r="N589" i="1" a="1"/>
  <c r="N589" i="1" s="1"/>
  <c r="M589" i="1" a="1"/>
  <c r="M589" i="1" s="1"/>
  <c r="L589" i="1" a="1"/>
  <c r="L589" i="1"/>
  <c r="V588" i="1" a="1"/>
  <c r="V588" i="1"/>
  <c r="U588" i="1" a="1"/>
  <c r="U588" i="1" s="1"/>
  <c r="T588" i="1"/>
  <c r="Q588" i="1" a="1"/>
  <c r="Q588" i="1"/>
  <c r="R588" i="1" s="1"/>
  <c r="S588" i="1" s="1"/>
  <c r="P588" i="1"/>
  <c r="O588" i="1"/>
  <c r="N588" i="1" a="1"/>
  <c r="N588" i="1" s="1"/>
  <c r="M588" i="1" a="1"/>
  <c r="M588" i="1"/>
  <c r="L588" i="1" a="1"/>
  <c r="L588" i="1" s="1"/>
  <c r="V587" i="1" a="1"/>
  <c r="V587" i="1" s="1"/>
  <c r="U587" i="1" a="1"/>
  <c r="U587" i="1" s="1"/>
  <c r="T587" i="1"/>
  <c r="Q587" i="1" a="1"/>
  <c r="Q587" i="1" s="1"/>
  <c r="R587" i="1" s="1"/>
  <c r="S587" i="1" s="1"/>
  <c r="P587" i="1"/>
  <c r="O587" i="1"/>
  <c r="N587" i="1" a="1"/>
  <c r="N587" i="1"/>
  <c r="M587" i="1" a="1"/>
  <c r="M587" i="1"/>
  <c r="L587" i="1" a="1"/>
  <c r="L587" i="1"/>
  <c r="V586" i="1" a="1"/>
  <c r="V586" i="1"/>
  <c r="U586" i="1" a="1"/>
  <c r="U586" i="1" s="1"/>
  <c r="T586" i="1"/>
  <c r="Q586" i="1" a="1"/>
  <c r="Q586" i="1" s="1"/>
  <c r="R586" i="1" s="1"/>
  <c r="S586" i="1" s="1"/>
  <c r="P586" i="1"/>
  <c r="O586" i="1"/>
  <c r="N586" i="1" a="1"/>
  <c r="N586" i="1"/>
  <c r="M586" i="1" a="1"/>
  <c r="M586" i="1"/>
  <c r="L586" i="1" a="1"/>
  <c r="L586" i="1" s="1"/>
  <c r="V585" i="1" a="1"/>
  <c r="V585" i="1" s="1"/>
  <c r="U585" i="1" a="1"/>
  <c r="U585" i="1" s="1"/>
  <c r="T585" i="1"/>
  <c r="Q585" i="1" a="1"/>
  <c r="Q585" i="1"/>
  <c r="R585" i="1" s="1"/>
  <c r="S585" i="1" s="1"/>
  <c r="P585" i="1"/>
  <c r="O585" i="1"/>
  <c r="N585" i="1" a="1"/>
  <c r="N585" i="1" s="1"/>
  <c r="M585" i="1" a="1"/>
  <c r="M585" i="1"/>
  <c r="L585" i="1" a="1"/>
  <c r="L585" i="1" s="1"/>
  <c r="V584" i="1" a="1"/>
  <c r="V584" i="1"/>
  <c r="U584" i="1" a="1"/>
  <c r="U584" i="1"/>
  <c r="T584" i="1"/>
  <c r="S584" i="1"/>
  <c r="R584" i="1"/>
  <c r="Q584" i="1" a="1"/>
  <c r="Q584" i="1" s="1"/>
  <c r="P584" i="1"/>
  <c r="O584" i="1"/>
  <c r="N584" i="1" a="1"/>
  <c r="N584" i="1" s="1"/>
  <c r="M584" i="1" a="1"/>
  <c r="M584" i="1" s="1"/>
  <c r="L584" i="1" a="1"/>
  <c r="L584" i="1"/>
  <c r="V583" i="1" a="1"/>
  <c r="V583" i="1"/>
  <c r="U583" i="1" a="1"/>
  <c r="U583" i="1" s="1"/>
  <c r="T583" i="1"/>
  <c r="Q583" i="1" a="1"/>
  <c r="Q583" i="1"/>
  <c r="R583" i="1" s="1"/>
  <c r="S583" i="1" s="1"/>
  <c r="P583" i="1"/>
  <c r="O583" i="1"/>
  <c r="N583" i="1" a="1"/>
  <c r="N583" i="1"/>
  <c r="M583" i="1" a="1"/>
  <c r="M583" i="1"/>
  <c r="L583" i="1" a="1"/>
  <c r="L583" i="1"/>
  <c r="V582" i="1" a="1"/>
  <c r="V582" i="1"/>
  <c r="U582" i="1" a="1"/>
  <c r="U582" i="1"/>
  <c r="T582" i="1"/>
  <c r="Q582" i="1" a="1"/>
  <c r="Q582" i="1" s="1"/>
  <c r="R582" i="1" s="1"/>
  <c r="S582" i="1" s="1"/>
  <c r="P582" i="1"/>
  <c r="O582" i="1"/>
  <c r="N582" i="1" a="1"/>
  <c r="N582" i="1"/>
  <c r="M582" i="1" a="1"/>
  <c r="M582" i="1" s="1"/>
  <c r="L582" i="1" a="1"/>
  <c r="L582" i="1"/>
  <c r="V581" i="1" a="1"/>
  <c r="V581" i="1" s="1"/>
  <c r="U581" i="1" a="1"/>
  <c r="U581" i="1" s="1"/>
  <c r="T581" i="1"/>
  <c r="R581" i="1"/>
  <c r="S581" i="1" s="1"/>
  <c r="Q581" i="1" a="1"/>
  <c r="Q581" i="1"/>
  <c r="P581" i="1"/>
  <c r="O581" i="1"/>
  <c r="N581" i="1" a="1"/>
  <c r="N581" i="1" s="1"/>
  <c r="M581" i="1" a="1"/>
  <c r="M581" i="1" s="1"/>
  <c r="L581" i="1" a="1"/>
  <c r="L581" i="1" s="1"/>
  <c r="V580" i="1" a="1"/>
  <c r="V580" i="1"/>
  <c r="U580" i="1" a="1"/>
  <c r="U580" i="1"/>
  <c r="T580" i="1"/>
  <c r="R580" i="1"/>
  <c r="S580" i="1" s="1"/>
  <c r="Q580" i="1" a="1"/>
  <c r="Q580" i="1" s="1"/>
  <c r="P580" i="1"/>
  <c r="O580" i="1"/>
  <c r="N580" i="1" a="1"/>
  <c r="N580" i="1" s="1"/>
  <c r="M580" i="1" a="1"/>
  <c r="M580" i="1" s="1"/>
  <c r="L580" i="1" a="1"/>
  <c r="L580" i="1"/>
  <c r="V579" i="1" a="1"/>
  <c r="V579" i="1" s="1"/>
  <c r="U579" i="1" a="1"/>
  <c r="U579" i="1" s="1"/>
  <c r="T579" i="1"/>
  <c r="Q579" i="1" a="1"/>
  <c r="Q579" i="1"/>
  <c r="R579" i="1" s="1"/>
  <c r="S579" i="1" s="1"/>
  <c r="P579" i="1"/>
  <c r="O579" i="1"/>
  <c r="N579" i="1" a="1"/>
  <c r="N579" i="1"/>
  <c r="M579" i="1" a="1"/>
  <c r="M579" i="1" s="1"/>
  <c r="L579" i="1" a="1"/>
  <c r="L579" i="1" s="1"/>
  <c r="V578" i="1" a="1"/>
  <c r="V578" i="1"/>
  <c r="U578" i="1" a="1"/>
  <c r="U578" i="1"/>
  <c r="T578" i="1"/>
  <c r="Q578" i="1" a="1"/>
  <c r="Q578" i="1"/>
  <c r="R578" i="1" s="1"/>
  <c r="S578" i="1" s="1"/>
  <c r="P578" i="1"/>
  <c r="O578" i="1"/>
  <c r="N578" i="1" a="1"/>
  <c r="N578" i="1" s="1"/>
  <c r="M578" i="1" a="1"/>
  <c r="M578" i="1" s="1"/>
  <c r="L578" i="1" a="1"/>
  <c r="L578" i="1"/>
  <c r="V577" i="1" a="1"/>
  <c r="V577" i="1" s="1"/>
  <c r="U577" i="1" a="1"/>
  <c r="U577" i="1"/>
  <c r="T577" i="1"/>
  <c r="R577" i="1"/>
  <c r="S577" i="1" s="1"/>
  <c r="Q577" i="1" a="1"/>
  <c r="Q577" i="1" s="1"/>
  <c r="P577" i="1"/>
  <c r="O577" i="1"/>
  <c r="N577" i="1" a="1"/>
  <c r="N577" i="1" s="1"/>
  <c r="M577" i="1" a="1"/>
  <c r="M577" i="1"/>
  <c r="L577" i="1" a="1"/>
  <c r="L577" i="1"/>
  <c r="V576" i="1" a="1"/>
  <c r="V576" i="1" s="1"/>
  <c r="U576" i="1" a="1"/>
  <c r="U576" i="1" s="1"/>
  <c r="T576" i="1"/>
  <c r="R576" i="1"/>
  <c r="S576" i="1" s="1"/>
  <c r="Q576" i="1" a="1"/>
  <c r="Q576" i="1" s="1"/>
  <c r="P576" i="1"/>
  <c r="O576" i="1"/>
  <c r="N576" i="1" a="1"/>
  <c r="N576" i="1" s="1"/>
  <c r="M576" i="1" a="1"/>
  <c r="M576" i="1"/>
  <c r="L576" i="1" a="1"/>
  <c r="L576" i="1" s="1"/>
  <c r="V575" i="1" a="1"/>
  <c r="V575" i="1" s="1"/>
  <c r="U575" i="1" a="1"/>
  <c r="U575" i="1"/>
  <c r="T575" i="1"/>
  <c r="Q575" i="1" a="1"/>
  <c r="Q575" i="1" s="1"/>
  <c r="R575" i="1" s="1"/>
  <c r="S575" i="1" s="1"/>
  <c r="P575" i="1"/>
  <c r="O575" i="1"/>
  <c r="N575" i="1" a="1"/>
  <c r="N575" i="1"/>
  <c r="M575" i="1" a="1"/>
  <c r="M575" i="1"/>
  <c r="L575" i="1" a="1"/>
  <c r="L575" i="1" s="1"/>
  <c r="V574" i="1" a="1"/>
  <c r="V574" i="1"/>
  <c r="U574" i="1" a="1"/>
  <c r="U574" i="1"/>
  <c r="T574" i="1"/>
  <c r="Q574" i="1" a="1"/>
  <c r="Q574" i="1"/>
  <c r="R574" i="1" s="1"/>
  <c r="S574" i="1" s="1"/>
  <c r="P574" i="1"/>
  <c r="O574" i="1"/>
  <c r="N574" i="1" a="1"/>
  <c r="N574" i="1" s="1"/>
  <c r="M574" i="1" a="1"/>
  <c r="M574" i="1"/>
  <c r="L574" i="1" a="1"/>
  <c r="L574" i="1" s="1"/>
  <c r="V573" i="1" a="1"/>
  <c r="V573" i="1" s="1"/>
  <c r="U573" i="1" a="1"/>
  <c r="U573" i="1" s="1"/>
  <c r="T573" i="1"/>
  <c r="Q573" i="1" a="1"/>
  <c r="Q573" i="1" s="1"/>
  <c r="R573" i="1" s="1"/>
  <c r="S573" i="1" s="1"/>
  <c r="P573" i="1"/>
  <c r="O573" i="1"/>
  <c r="N573" i="1" a="1"/>
  <c r="N573" i="1"/>
  <c r="M573" i="1" a="1"/>
  <c r="M573" i="1"/>
  <c r="L573" i="1" a="1"/>
  <c r="L573" i="1"/>
  <c r="V572" i="1" a="1"/>
  <c r="V572" i="1"/>
  <c r="U572" i="1" a="1"/>
  <c r="U572" i="1" s="1"/>
  <c r="T572" i="1"/>
  <c r="R572" i="1"/>
  <c r="S572" i="1" s="1"/>
  <c r="Q572" i="1" a="1"/>
  <c r="Q572" i="1" s="1"/>
  <c r="P572" i="1"/>
  <c r="O572" i="1"/>
  <c r="N572" i="1" a="1"/>
  <c r="N572" i="1"/>
  <c r="M572" i="1" a="1"/>
  <c r="M572" i="1"/>
  <c r="L572" i="1" a="1"/>
  <c r="L572" i="1" s="1"/>
  <c r="V571" i="1" a="1"/>
  <c r="V571" i="1"/>
  <c r="U571" i="1" a="1"/>
  <c r="U571" i="1" s="1"/>
  <c r="T571" i="1"/>
  <c r="Q571" i="1" a="1"/>
  <c r="Q571" i="1"/>
  <c r="R571" i="1" s="1"/>
  <c r="S571" i="1" s="1"/>
  <c r="P571" i="1"/>
  <c r="O571" i="1"/>
  <c r="N571" i="1" a="1"/>
  <c r="N571" i="1" s="1"/>
  <c r="M571" i="1" a="1"/>
  <c r="M571" i="1"/>
  <c r="L571" i="1" a="1"/>
  <c r="L571" i="1"/>
  <c r="V570" i="1" a="1"/>
  <c r="V570" i="1" s="1"/>
  <c r="U570" i="1" a="1"/>
  <c r="U570" i="1"/>
  <c r="T570" i="1"/>
  <c r="R570" i="1"/>
  <c r="S570" i="1" s="1"/>
  <c r="Q570" i="1" a="1"/>
  <c r="Q570" i="1"/>
  <c r="P570" i="1"/>
  <c r="O570" i="1"/>
  <c r="N570" i="1" a="1"/>
  <c r="N570" i="1"/>
  <c r="M570" i="1" a="1"/>
  <c r="M570" i="1" s="1"/>
  <c r="L570" i="1" a="1"/>
  <c r="L570" i="1" s="1"/>
  <c r="V569" i="1" a="1"/>
  <c r="V569" i="1"/>
  <c r="U569" i="1" a="1"/>
  <c r="U569" i="1"/>
  <c r="T569" i="1"/>
  <c r="Q569" i="1" a="1"/>
  <c r="Q569" i="1"/>
  <c r="R569" i="1" s="1"/>
  <c r="S569" i="1" s="1"/>
  <c r="P569" i="1"/>
  <c r="O569" i="1"/>
  <c r="N569" i="1" a="1"/>
  <c r="N569" i="1" s="1"/>
  <c r="M569" i="1" a="1"/>
  <c r="M569" i="1"/>
  <c r="L569" i="1" a="1"/>
  <c r="L569" i="1"/>
  <c r="V568" i="1" a="1"/>
  <c r="V568" i="1"/>
  <c r="U568" i="1" a="1"/>
  <c r="U568" i="1" s="1"/>
  <c r="T568" i="1"/>
  <c r="R568" i="1"/>
  <c r="S568" i="1" s="1"/>
  <c r="Q568" i="1" a="1"/>
  <c r="Q568" i="1"/>
  <c r="P568" i="1"/>
  <c r="O568" i="1"/>
  <c r="N568" i="1" a="1"/>
  <c r="N568" i="1" s="1"/>
  <c r="M568" i="1" a="1"/>
  <c r="M568" i="1"/>
  <c r="L568" i="1" a="1"/>
  <c r="L568" i="1"/>
  <c r="V567" i="1" a="1"/>
  <c r="V567" i="1" s="1"/>
  <c r="U567" i="1" a="1"/>
  <c r="U567" i="1" s="1"/>
  <c r="T567" i="1"/>
  <c r="Q567" i="1" a="1"/>
  <c r="Q567" i="1"/>
  <c r="R567" i="1" s="1"/>
  <c r="S567" i="1" s="1"/>
  <c r="P567" i="1"/>
  <c r="O567" i="1"/>
  <c r="N567" i="1" a="1"/>
  <c r="N567" i="1"/>
  <c r="M567" i="1" a="1"/>
  <c r="M567" i="1"/>
  <c r="L567" i="1" a="1"/>
  <c r="L567" i="1"/>
  <c r="V566" i="1" a="1"/>
  <c r="V566" i="1" s="1"/>
  <c r="U566" i="1" a="1"/>
  <c r="U566" i="1"/>
  <c r="T566" i="1"/>
  <c r="R566" i="1"/>
  <c r="S566" i="1" s="1"/>
  <c r="Q566" i="1" a="1"/>
  <c r="Q566" i="1" s="1"/>
  <c r="P566" i="1"/>
  <c r="O566" i="1"/>
  <c r="N566" i="1" a="1"/>
  <c r="N566" i="1" s="1"/>
  <c r="M566" i="1" a="1"/>
  <c r="M566" i="1" s="1"/>
  <c r="L566" i="1" a="1"/>
  <c r="L566" i="1"/>
  <c r="V565" i="1" a="1"/>
  <c r="V565" i="1"/>
  <c r="U565" i="1" a="1"/>
  <c r="U565" i="1"/>
  <c r="T565" i="1"/>
  <c r="S565" i="1"/>
  <c r="Q565" i="1" a="1"/>
  <c r="Q565" i="1"/>
  <c r="R565" i="1" s="1"/>
  <c r="P565" i="1"/>
  <c r="O565" i="1"/>
  <c r="N565" i="1" a="1"/>
  <c r="N565" i="1"/>
  <c r="M565" i="1" a="1"/>
  <c r="M565" i="1"/>
  <c r="L565" i="1" a="1"/>
  <c r="L565" i="1" s="1"/>
  <c r="V564" i="1" a="1"/>
  <c r="V564" i="1" s="1"/>
  <c r="U564" i="1" a="1"/>
  <c r="U564" i="1"/>
  <c r="T564" i="1"/>
  <c r="Q564" i="1" a="1"/>
  <c r="Q564" i="1"/>
  <c r="R564" i="1" s="1"/>
  <c r="S564" i="1" s="1"/>
  <c r="P564" i="1"/>
  <c r="O564" i="1"/>
  <c r="N564" i="1" a="1"/>
  <c r="N564" i="1"/>
  <c r="M564" i="1" a="1"/>
  <c r="M564" i="1"/>
  <c r="L564" i="1" a="1"/>
  <c r="L564" i="1" s="1"/>
  <c r="V563" i="1" a="1"/>
  <c r="V563" i="1"/>
  <c r="U563" i="1" a="1"/>
  <c r="U563" i="1" s="1"/>
  <c r="T563" i="1"/>
  <c r="Q563" i="1" a="1"/>
  <c r="Q563" i="1"/>
  <c r="R563" i="1" s="1"/>
  <c r="S563" i="1" s="1"/>
  <c r="P563" i="1"/>
  <c r="O563" i="1"/>
  <c r="N563" i="1" a="1"/>
  <c r="N563" i="1"/>
  <c r="M563" i="1" a="1"/>
  <c r="M563" i="1"/>
  <c r="L563" i="1" a="1"/>
  <c r="L563" i="1"/>
  <c r="V562" i="1" a="1"/>
  <c r="V562" i="1"/>
  <c r="U562" i="1" a="1"/>
  <c r="U562" i="1"/>
  <c r="T562" i="1"/>
  <c r="S562" i="1"/>
  <c r="Q562" i="1" a="1"/>
  <c r="Q562" i="1" s="1"/>
  <c r="R562" i="1" s="1"/>
  <c r="P562" i="1"/>
  <c r="O562" i="1"/>
  <c r="N562" i="1" a="1"/>
  <c r="N562" i="1" s="1"/>
  <c r="M562" i="1" a="1"/>
  <c r="M562" i="1"/>
  <c r="L562" i="1" a="1"/>
  <c r="L562" i="1"/>
  <c r="V561" i="1" a="1"/>
  <c r="V561" i="1" s="1"/>
  <c r="U561" i="1" a="1"/>
  <c r="U561" i="1" s="1"/>
  <c r="T561" i="1"/>
  <c r="Q561" i="1" a="1"/>
  <c r="Q561" i="1" s="1"/>
  <c r="R561" i="1" s="1"/>
  <c r="S561" i="1" s="1"/>
  <c r="P561" i="1"/>
  <c r="O561" i="1"/>
  <c r="N561" i="1" a="1"/>
  <c r="N561" i="1"/>
  <c r="M561" i="1" a="1"/>
  <c r="M561" i="1"/>
  <c r="L561" i="1" a="1"/>
  <c r="L561" i="1" s="1"/>
  <c r="V560" i="1" a="1"/>
  <c r="V560" i="1"/>
  <c r="U560" i="1" a="1"/>
  <c r="U560" i="1" s="1"/>
  <c r="T560" i="1"/>
  <c r="Q560" i="1" a="1"/>
  <c r="Q560" i="1" s="1"/>
  <c r="R560" i="1" s="1"/>
  <c r="S560" i="1" s="1"/>
  <c r="P560" i="1"/>
  <c r="O560" i="1"/>
  <c r="N560" i="1" a="1"/>
  <c r="N560" i="1" s="1"/>
  <c r="M560" i="1" a="1"/>
  <c r="M560" i="1"/>
  <c r="L560" i="1" a="1"/>
  <c r="L560" i="1" s="1"/>
  <c r="V559" i="1" a="1"/>
  <c r="V559" i="1" s="1"/>
  <c r="U559" i="1" a="1"/>
  <c r="U559" i="1" s="1"/>
  <c r="T559" i="1"/>
  <c r="Q559" i="1" a="1"/>
  <c r="Q559" i="1" s="1"/>
  <c r="R559" i="1" s="1"/>
  <c r="S559" i="1" s="1"/>
  <c r="P559" i="1"/>
  <c r="O559" i="1"/>
  <c r="N559" i="1" a="1"/>
  <c r="N559" i="1"/>
  <c r="M559" i="1" a="1"/>
  <c r="M559" i="1"/>
  <c r="L559" i="1" a="1"/>
  <c r="L559" i="1"/>
  <c r="V558" i="1" a="1"/>
  <c r="V558" i="1"/>
  <c r="U558" i="1" a="1"/>
  <c r="U558" i="1" s="1"/>
  <c r="T558" i="1"/>
  <c r="Q558" i="1" a="1"/>
  <c r="Q558" i="1"/>
  <c r="R558" i="1" s="1"/>
  <c r="S558" i="1" s="1"/>
  <c r="P558" i="1"/>
  <c r="O558" i="1"/>
  <c r="N558" i="1" a="1"/>
  <c r="N558" i="1" s="1"/>
  <c r="M558" i="1" a="1"/>
  <c r="M558" i="1"/>
  <c r="L558" i="1" a="1"/>
  <c r="L558" i="1"/>
  <c r="V557" i="1" a="1"/>
  <c r="V557" i="1"/>
  <c r="U557" i="1" a="1"/>
  <c r="U557" i="1"/>
  <c r="T557" i="1"/>
  <c r="Q557" i="1" a="1"/>
  <c r="Q557" i="1" s="1"/>
  <c r="R557" i="1" s="1"/>
  <c r="S557" i="1" s="1"/>
  <c r="P557" i="1"/>
  <c r="O557" i="1"/>
  <c r="N557" i="1" a="1"/>
  <c r="N557" i="1"/>
  <c r="M557" i="1" a="1"/>
  <c r="M557" i="1" s="1"/>
  <c r="L557" i="1" a="1"/>
  <c r="L557" i="1" s="1"/>
  <c r="V556" i="1" a="1"/>
  <c r="V556" i="1"/>
  <c r="U556" i="1" a="1"/>
  <c r="U556" i="1" s="1"/>
  <c r="T556" i="1"/>
  <c r="Q556" i="1" a="1"/>
  <c r="Q556" i="1"/>
  <c r="R556" i="1" s="1"/>
  <c r="S556" i="1" s="1"/>
  <c r="P556" i="1"/>
  <c r="O556" i="1"/>
  <c r="N556" i="1" a="1"/>
  <c r="N556" i="1" s="1"/>
  <c r="M556" i="1" a="1"/>
  <c r="M556" i="1" s="1"/>
  <c r="L556" i="1" a="1"/>
  <c r="L556" i="1" s="1"/>
  <c r="V555" i="1" a="1"/>
  <c r="V555" i="1" s="1"/>
  <c r="U555" i="1" a="1"/>
  <c r="U555" i="1"/>
  <c r="T555" i="1"/>
  <c r="R555" i="1"/>
  <c r="S555" i="1" s="1"/>
  <c r="Q555" i="1" a="1"/>
  <c r="Q555" i="1"/>
  <c r="P555" i="1"/>
  <c r="O555" i="1"/>
  <c r="N555" i="1" a="1"/>
  <c r="N555" i="1"/>
  <c r="M555" i="1" a="1"/>
  <c r="M555" i="1" s="1"/>
  <c r="L555" i="1" a="1"/>
  <c r="L555" i="1"/>
  <c r="V554" i="1" a="1"/>
  <c r="V554" i="1"/>
  <c r="U554" i="1" a="1"/>
  <c r="U554" i="1"/>
  <c r="T554" i="1"/>
  <c r="R554" i="1"/>
  <c r="S554" i="1" s="1"/>
  <c r="Q554" i="1" a="1"/>
  <c r="Q554" i="1"/>
  <c r="P554" i="1"/>
  <c r="O554" i="1"/>
  <c r="N554" i="1" a="1"/>
  <c r="N554" i="1"/>
  <c r="M554" i="1" a="1"/>
  <c r="M554" i="1" s="1"/>
  <c r="L554" i="1" a="1"/>
  <c r="L554" i="1" s="1"/>
  <c r="V553" i="1" a="1"/>
  <c r="V553" i="1"/>
  <c r="U553" i="1" a="1"/>
  <c r="U553" i="1" s="1"/>
  <c r="T553" i="1"/>
  <c r="Q553" i="1" a="1"/>
  <c r="Q553" i="1" s="1"/>
  <c r="R553" i="1" s="1"/>
  <c r="S553" i="1" s="1"/>
  <c r="P553" i="1"/>
  <c r="O553" i="1"/>
  <c r="N553" i="1" a="1"/>
  <c r="N553" i="1" s="1"/>
  <c r="M553" i="1" a="1"/>
  <c r="M553" i="1"/>
  <c r="L553" i="1" a="1"/>
  <c r="L553" i="1"/>
  <c r="V552" i="1" a="1"/>
  <c r="V552" i="1"/>
  <c r="U552" i="1" a="1"/>
  <c r="U552" i="1"/>
  <c r="T552" i="1"/>
  <c r="R552" i="1"/>
  <c r="S552" i="1" s="1"/>
  <c r="Q552" i="1" a="1"/>
  <c r="Q552" i="1"/>
  <c r="P552" i="1"/>
  <c r="O552" i="1"/>
  <c r="N552" i="1" a="1"/>
  <c r="N552" i="1" s="1"/>
  <c r="M552" i="1" a="1"/>
  <c r="M552" i="1"/>
  <c r="L552" i="1" a="1"/>
  <c r="L552" i="1" s="1"/>
  <c r="V551" i="1" a="1"/>
  <c r="V551" i="1" s="1"/>
  <c r="U551" i="1" a="1"/>
  <c r="U551" i="1" s="1"/>
  <c r="T551" i="1"/>
  <c r="Q551" i="1" a="1"/>
  <c r="Q551" i="1" s="1"/>
  <c r="R551" i="1" s="1"/>
  <c r="S551" i="1" s="1"/>
  <c r="P551" i="1"/>
  <c r="O551" i="1"/>
  <c r="N551" i="1" a="1"/>
  <c r="N551" i="1"/>
  <c r="M551" i="1" a="1"/>
  <c r="M551" i="1"/>
  <c r="L551" i="1" a="1"/>
  <c r="L551" i="1"/>
  <c r="V550" i="1" a="1"/>
  <c r="V550" i="1"/>
  <c r="U550" i="1" a="1"/>
  <c r="U550" i="1" s="1"/>
  <c r="T550" i="1"/>
  <c r="Q550" i="1" a="1"/>
  <c r="Q550" i="1" s="1"/>
  <c r="R550" i="1" s="1"/>
  <c r="S550" i="1" s="1"/>
  <c r="P550" i="1"/>
  <c r="O550" i="1"/>
  <c r="N550" i="1" a="1"/>
  <c r="N550" i="1"/>
  <c r="M550" i="1" a="1"/>
  <c r="M550" i="1"/>
  <c r="L550" i="1" a="1"/>
  <c r="L550" i="1" s="1"/>
  <c r="V549" i="1" a="1"/>
  <c r="V549" i="1" s="1"/>
  <c r="U549" i="1" a="1"/>
  <c r="U549" i="1"/>
  <c r="T549" i="1"/>
  <c r="R549" i="1"/>
  <c r="S549" i="1" s="1"/>
  <c r="Q549" i="1" a="1"/>
  <c r="Q549" i="1"/>
  <c r="P549" i="1"/>
  <c r="O549" i="1"/>
  <c r="N549" i="1" a="1"/>
  <c r="N549" i="1" s="1"/>
  <c r="M549" i="1" a="1"/>
  <c r="M549" i="1"/>
  <c r="L549" i="1" a="1"/>
  <c r="L549" i="1"/>
  <c r="V548" i="1" a="1"/>
  <c r="V548" i="1" s="1"/>
  <c r="U548" i="1" a="1"/>
  <c r="U548" i="1"/>
  <c r="T548" i="1"/>
  <c r="R548" i="1"/>
  <c r="S548" i="1" s="1"/>
  <c r="Q548" i="1" a="1"/>
  <c r="Q548" i="1" s="1"/>
  <c r="P548" i="1"/>
  <c r="O548" i="1"/>
  <c r="N548" i="1" a="1"/>
  <c r="N548" i="1"/>
  <c r="M548" i="1" a="1"/>
  <c r="M548" i="1" s="1"/>
  <c r="L548" i="1" a="1"/>
  <c r="L548" i="1"/>
  <c r="V547" i="1" a="1"/>
  <c r="V547" i="1" s="1"/>
  <c r="U547" i="1" a="1"/>
  <c r="U547" i="1" s="1"/>
  <c r="T547" i="1"/>
  <c r="Q547" i="1" a="1"/>
  <c r="Q547" i="1"/>
  <c r="R547" i="1" s="1"/>
  <c r="S547" i="1" s="1"/>
  <c r="P547" i="1"/>
  <c r="O547" i="1"/>
  <c r="N547" i="1" a="1"/>
  <c r="N547" i="1"/>
  <c r="M547" i="1" a="1"/>
  <c r="M547" i="1" s="1"/>
  <c r="L547" i="1" a="1"/>
  <c r="L547" i="1"/>
  <c r="V546" i="1" a="1"/>
  <c r="V546" i="1" s="1"/>
  <c r="U546" i="1" a="1"/>
  <c r="U546" i="1"/>
  <c r="T546" i="1"/>
  <c r="Q546" i="1" a="1"/>
  <c r="Q546" i="1" s="1"/>
  <c r="R546" i="1" s="1"/>
  <c r="S546" i="1" s="1"/>
  <c r="P546" i="1"/>
  <c r="O546" i="1"/>
  <c r="N546" i="1" a="1"/>
  <c r="N546" i="1"/>
  <c r="M546" i="1" a="1"/>
  <c r="M546" i="1" s="1"/>
  <c r="L546" i="1" a="1"/>
  <c r="L546" i="1" s="1"/>
  <c r="V545" i="1" a="1"/>
  <c r="V545" i="1" s="1"/>
  <c r="U545" i="1" a="1"/>
  <c r="U545" i="1"/>
  <c r="T545" i="1"/>
  <c r="Q545" i="1" a="1"/>
  <c r="Q545" i="1"/>
  <c r="R545" i="1" s="1"/>
  <c r="S545" i="1" s="1"/>
  <c r="P545" i="1"/>
  <c r="O545" i="1"/>
  <c r="N545" i="1" a="1"/>
  <c r="N545" i="1"/>
  <c r="M545" i="1" a="1"/>
  <c r="M545" i="1" s="1"/>
  <c r="L545" i="1" a="1"/>
  <c r="L545" i="1" s="1"/>
  <c r="V544" i="1" a="1"/>
  <c r="V544" i="1"/>
  <c r="U544" i="1" a="1"/>
  <c r="U544" i="1"/>
  <c r="T544" i="1"/>
  <c r="Q544" i="1" a="1"/>
  <c r="Q544" i="1"/>
  <c r="R544" i="1" s="1"/>
  <c r="S544" i="1" s="1"/>
  <c r="P544" i="1"/>
  <c r="O544" i="1"/>
  <c r="N544" i="1" a="1"/>
  <c r="N544" i="1" s="1"/>
  <c r="M544" i="1" a="1"/>
  <c r="M544" i="1" s="1"/>
  <c r="L544" i="1" a="1"/>
  <c r="L544" i="1"/>
  <c r="V543" i="1" a="1"/>
  <c r="V543" i="1"/>
  <c r="U543" i="1" a="1"/>
  <c r="U543" i="1" s="1"/>
  <c r="T543" i="1"/>
  <c r="R543" i="1"/>
  <c r="S543" i="1" s="1"/>
  <c r="Q543" i="1" a="1"/>
  <c r="Q543" i="1"/>
  <c r="P543" i="1"/>
  <c r="O543" i="1"/>
  <c r="N543" i="1" a="1"/>
  <c r="N543" i="1" s="1"/>
  <c r="M543" i="1" a="1"/>
  <c r="M543" i="1"/>
  <c r="L543" i="1" a="1"/>
  <c r="L543" i="1" s="1"/>
  <c r="V542" i="1" a="1"/>
  <c r="V542" i="1"/>
  <c r="U542" i="1" a="1"/>
  <c r="U542" i="1"/>
  <c r="T542" i="1"/>
  <c r="Q542" i="1" a="1"/>
  <c r="Q542" i="1" s="1"/>
  <c r="R542" i="1" s="1"/>
  <c r="S542" i="1" s="1"/>
  <c r="P542" i="1"/>
  <c r="O542" i="1"/>
  <c r="N542" i="1" a="1"/>
  <c r="N542" i="1" s="1"/>
  <c r="M542" i="1" a="1"/>
  <c r="M542" i="1" s="1"/>
  <c r="L542" i="1" a="1"/>
  <c r="L542" i="1"/>
  <c r="V541" i="1" a="1"/>
  <c r="V541" i="1" s="1"/>
  <c r="U541" i="1" a="1"/>
  <c r="U541" i="1"/>
  <c r="T541" i="1"/>
  <c r="Q541" i="1" a="1"/>
  <c r="Q541" i="1" s="1"/>
  <c r="R541" i="1" s="1"/>
  <c r="S541" i="1" s="1"/>
  <c r="P541" i="1"/>
  <c r="O541" i="1"/>
  <c r="N541" i="1" a="1"/>
  <c r="N541" i="1"/>
  <c r="M541" i="1" a="1"/>
  <c r="M541" i="1"/>
  <c r="L541" i="1" a="1"/>
  <c r="L541" i="1"/>
  <c r="V540" i="1" a="1"/>
  <c r="V540" i="1"/>
  <c r="U540" i="1" a="1"/>
  <c r="U540" i="1" s="1"/>
  <c r="T540" i="1"/>
  <c r="R540" i="1"/>
  <c r="S540" i="1" s="1"/>
  <c r="Q540" i="1" a="1"/>
  <c r="Q540" i="1" s="1"/>
  <c r="P540" i="1"/>
  <c r="O540" i="1"/>
  <c r="N540" i="1" a="1"/>
  <c r="N540" i="1" s="1"/>
  <c r="M540" i="1" a="1"/>
  <c r="M540" i="1" s="1"/>
  <c r="L540" i="1" a="1"/>
  <c r="L540" i="1" s="1"/>
  <c r="V539" i="1" a="1"/>
  <c r="V539" i="1"/>
  <c r="U539" i="1" a="1"/>
  <c r="U539" i="1"/>
  <c r="T539" i="1"/>
  <c r="Q539" i="1" a="1"/>
  <c r="Q539" i="1" s="1"/>
  <c r="R539" i="1" s="1"/>
  <c r="S539" i="1" s="1"/>
  <c r="P539" i="1"/>
  <c r="O539" i="1"/>
  <c r="N539" i="1" a="1"/>
  <c r="N539" i="1"/>
  <c r="M539" i="1" a="1"/>
  <c r="M539" i="1"/>
  <c r="L539" i="1" a="1"/>
  <c r="L539" i="1" s="1"/>
  <c r="V538" i="1" a="1"/>
  <c r="V538" i="1"/>
  <c r="U538" i="1" a="1"/>
  <c r="U538" i="1" s="1"/>
  <c r="T538" i="1"/>
  <c r="S538" i="1"/>
  <c r="Q538" i="1" a="1"/>
  <c r="Q538" i="1"/>
  <c r="R538" i="1" s="1"/>
  <c r="P538" i="1"/>
  <c r="O538" i="1"/>
  <c r="N538" i="1" a="1"/>
  <c r="N538" i="1" s="1"/>
  <c r="M538" i="1" a="1"/>
  <c r="M538" i="1" s="1"/>
  <c r="L538" i="1" a="1"/>
  <c r="L538" i="1"/>
  <c r="V537" i="1" a="1"/>
  <c r="V537" i="1" s="1"/>
  <c r="U537" i="1" a="1"/>
  <c r="U537" i="1" s="1"/>
  <c r="T537" i="1"/>
  <c r="R537" i="1"/>
  <c r="S537" i="1" s="1"/>
  <c r="Q537" i="1" a="1"/>
  <c r="Q537" i="1" s="1"/>
  <c r="P537" i="1"/>
  <c r="O537" i="1"/>
  <c r="N537" i="1" a="1"/>
  <c r="N537" i="1" s="1"/>
  <c r="M537" i="1" a="1"/>
  <c r="M537" i="1"/>
  <c r="L537" i="1" a="1"/>
  <c r="L537" i="1"/>
  <c r="V536" i="1" a="1"/>
  <c r="V536" i="1" s="1"/>
  <c r="U536" i="1" a="1"/>
  <c r="U536" i="1" s="1"/>
  <c r="T536" i="1"/>
  <c r="Q536" i="1" a="1"/>
  <c r="Q536" i="1" s="1"/>
  <c r="R536" i="1" s="1"/>
  <c r="S536" i="1" s="1"/>
  <c r="P536" i="1"/>
  <c r="O536" i="1"/>
  <c r="N536" i="1" a="1"/>
  <c r="N536" i="1"/>
  <c r="M536" i="1" a="1"/>
  <c r="M536" i="1"/>
  <c r="L536" i="1" a="1"/>
  <c r="L536" i="1" s="1"/>
  <c r="V535" i="1" a="1"/>
  <c r="V535" i="1" s="1"/>
  <c r="U535" i="1" a="1"/>
  <c r="U535" i="1" s="1"/>
  <c r="T535" i="1"/>
  <c r="S535" i="1"/>
  <c r="Q535" i="1" a="1"/>
  <c r="Q535" i="1"/>
  <c r="R535" i="1" s="1"/>
  <c r="P535" i="1"/>
  <c r="O535" i="1"/>
  <c r="N535" i="1" a="1"/>
  <c r="N535" i="1" s="1"/>
  <c r="M535" i="1" a="1"/>
  <c r="M535" i="1"/>
  <c r="L535" i="1" a="1"/>
  <c r="L535" i="1"/>
  <c r="V534" i="1" a="1"/>
  <c r="V534" i="1"/>
  <c r="U534" i="1" a="1"/>
  <c r="U534" i="1"/>
  <c r="T534" i="1"/>
  <c r="S534" i="1"/>
  <c r="R534" i="1"/>
  <c r="Q534" i="1" a="1"/>
  <c r="Q534" i="1"/>
  <c r="P534" i="1"/>
  <c r="O534" i="1"/>
  <c r="N534" i="1" a="1"/>
  <c r="N534" i="1"/>
  <c r="M534" i="1" a="1"/>
  <c r="M534" i="1" s="1"/>
  <c r="L534" i="1" a="1"/>
  <c r="L534" i="1"/>
  <c r="V533" i="1" a="1"/>
  <c r="V533" i="1" s="1"/>
  <c r="U533" i="1" a="1"/>
  <c r="U533" i="1"/>
  <c r="T533" i="1"/>
  <c r="Q533" i="1" a="1"/>
  <c r="Q533" i="1"/>
  <c r="R533" i="1" s="1"/>
  <c r="S533" i="1" s="1"/>
  <c r="P533" i="1"/>
  <c r="O533" i="1"/>
  <c r="N533" i="1" a="1"/>
  <c r="N533" i="1"/>
  <c r="M533" i="1" a="1"/>
  <c r="M533" i="1" s="1"/>
  <c r="L533" i="1" a="1"/>
  <c r="L533" i="1"/>
  <c r="V532" i="1" a="1"/>
  <c r="V532" i="1"/>
  <c r="U532" i="1" a="1"/>
  <c r="U532" i="1"/>
  <c r="T532" i="1"/>
  <c r="R532" i="1"/>
  <c r="S532" i="1" s="1"/>
  <c r="Q532" i="1" a="1"/>
  <c r="Q532" i="1"/>
  <c r="P532" i="1"/>
  <c r="O532" i="1"/>
  <c r="N532" i="1" a="1"/>
  <c r="N532" i="1" s="1"/>
  <c r="M532" i="1" a="1"/>
  <c r="M532" i="1" s="1"/>
  <c r="L532" i="1" a="1"/>
  <c r="L532" i="1" s="1"/>
  <c r="V531" i="1" a="1"/>
  <c r="V531" i="1" s="1"/>
  <c r="U531" i="1" a="1"/>
  <c r="U531" i="1"/>
  <c r="T531" i="1"/>
  <c r="S531" i="1"/>
  <c r="Q531" i="1" a="1"/>
  <c r="Q531" i="1"/>
  <c r="R531" i="1" s="1"/>
  <c r="P531" i="1"/>
  <c r="O531" i="1"/>
  <c r="N531" i="1" a="1"/>
  <c r="N531" i="1"/>
  <c r="M531" i="1" a="1"/>
  <c r="M531" i="1"/>
  <c r="L531" i="1" a="1"/>
  <c r="L531" i="1"/>
  <c r="V530" i="1" a="1"/>
  <c r="V530" i="1" s="1"/>
  <c r="U530" i="1" a="1"/>
  <c r="U530" i="1"/>
  <c r="T530" i="1"/>
  <c r="R530" i="1"/>
  <c r="S530" i="1" s="1"/>
  <c r="Q530" i="1" a="1"/>
  <c r="Q530" i="1" s="1"/>
  <c r="P530" i="1"/>
  <c r="O530" i="1"/>
  <c r="N530" i="1" a="1"/>
  <c r="N530" i="1"/>
  <c r="M530" i="1" a="1"/>
  <c r="M530" i="1" s="1"/>
  <c r="L530" i="1" a="1"/>
  <c r="L530" i="1"/>
  <c r="V529" i="1" a="1"/>
  <c r="V529" i="1" s="1"/>
  <c r="U529" i="1" a="1"/>
  <c r="U529" i="1"/>
  <c r="T529" i="1"/>
  <c r="Q529" i="1" a="1"/>
  <c r="Q529" i="1"/>
  <c r="R529" i="1" s="1"/>
  <c r="S529" i="1" s="1"/>
  <c r="P529" i="1"/>
  <c r="O529" i="1"/>
  <c r="N529" i="1" a="1"/>
  <c r="N529" i="1"/>
  <c r="M529" i="1" a="1"/>
  <c r="M529" i="1" s="1"/>
  <c r="L529" i="1" a="1"/>
  <c r="L529" i="1" s="1"/>
  <c r="V528" i="1" a="1"/>
  <c r="V528" i="1"/>
  <c r="U528" i="1" a="1"/>
  <c r="U528" i="1"/>
  <c r="T528" i="1"/>
  <c r="Q528" i="1" a="1"/>
  <c r="Q528" i="1"/>
  <c r="R528" i="1" s="1"/>
  <c r="S528" i="1" s="1"/>
  <c r="P528" i="1"/>
  <c r="O528" i="1"/>
  <c r="N528" i="1" a="1"/>
  <c r="N528" i="1"/>
  <c r="M528" i="1" a="1"/>
  <c r="M528" i="1" s="1"/>
  <c r="L528" i="1" a="1"/>
  <c r="L528" i="1" s="1"/>
  <c r="V527" i="1" a="1"/>
  <c r="V527" i="1"/>
  <c r="U527" i="1" a="1"/>
  <c r="U527" i="1"/>
  <c r="T527" i="1"/>
  <c r="S527" i="1"/>
  <c r="R527" i="1"/>
  <c r="Q527" i="1" a="1"/>
  <c r="Q527" i="1"/>
  <c r="P527" i="1"/>
  <c r="O527" i="1"/>
  <c r="N527" i="1" a="1"/>
  <c r="N527" i="1"/>
  <c r="M527" i="1" a="1"/>
  <c r="M527" i="1" s="1"/>
  <c r="L527" i="1" a="1"/>
  <c r="L527" i="1"/>
  <c r="V526" i="1" a="1"/>
  <c r="V526" i="1" s="1"/>
  <c r="U526" i="1" a="1"/>
  <c r="U526" i="1"/>
  <c r="T526" i="1"/>
  <c r="Q526" i="1" a="1"/>
  <c r="Q526" i="1" s="1"/>
  <c r="R526" i="1" s="1"/>
  <c r="S526" i="1" s="1"/>
  <c r="P526" i="1"/>
  <c r="O526" i="1"/>
  <c r="N526" i="1" a="1"/>
  <c r="N526" i="1"/>
  <c r="M526" i="1" a="1"/>
  <c r="M526" i="1" s="1"/>
  <c r="L526" i="1" a="1"/>
  <c r="L526" i="1"/>
  <c r="V525" i="1" a="1"/>
  <c r="V525" i="1" s="1"/>
  <c r="U525" i="1" a="1"/>
  <c r="U525" i="1" s="1"/>
  <c r="T525" i="1"/>
  <c r="Q525" i="1" a="1"/>
  <c r="Q525" i="1"/>
  <c r="R525" i="1" s="1"/>
  <c r="S525" i="1" s="1"/>
  <c r="P525" i="1"/>
  <c r="O525" i="1"/>
  <c r="N525" i="1" a="1"/>
  <c r="N525" i="1"/>
  <c r="M525" i="1" a="1"/>
  <c r="M525" i="1"/>
  <c r="L525" i="1" a="1"/>
  <c r="L525" i="1" s="1"/>
  <c r="V524" i="1" a="1"/>
  <c r="V524" i="1"/>
  <c r="U524" i="1" a="1"/>
  <c r="U524" i="1" s="1"/>
  <c r="T524" i="1"/>
  <c r="Q524" i="1" a="1"/>
  <c r="Q524" i="1" s="1"/>
  <c r="R524" i="1" s="1"/>
  <c r="S524" i="1" s="1"/>
  <c r="P524" i="1"/>
  <c r="O524" i="1"/>
  <c r="N524" i="1" a="1"/>
  <c r="N524" i="1" s="1"/>
  <c r="M524" i="1" a="1"/>
  <c r="M524" i="1" s="1"/>
  <c r="L524" i="1" a="1"/>
  <c r="L524" i="1"/>
  <c r="V523" i="1" a="1"/>
  <c r="V523" i="1" s="1"/>
  <c r="U523" i="1" a="1"/>
  <c r="U523" i="1" s="1"/>
  <c r="T523" i="1"/>
  <c r="Q523" i="1" a="1"/>
  <c r="Q523" i="1" s="1"/>
  <c r="R523" i="1" s="1"/>
  <c r="S523" i="1" s="1"/>
  <c r="P523" i="1"/>
  <c r="O523" i="1"/>
  <c r="N523" i="1" a="1"/>
  <c r="N523" i="1"/>
  <c r="M523" i="1" a="1"/>
  <c r="M523" i="1"/>
  <c r="L523" i="1" a="1"/>
  <c r="L523" i="1"/>
  <c r="V522" i="1" a="1"/>
  <c r="V522" i="1"/>
  <c r="U522" i="1" a="1"/>
  <c r="U522" i="1" s="1"/>
  <c r="T522" i="1"/>
  <c r="Q522" i="1" a="1"/>
  <c r="Q522" i="1"/>
  <c r="R522" i="1" s="1"/>
  <c r="S522" i="1" s="1"/>
  <c r="P522" i="1"/>
  <c r="O522" i="1"/>
  <c r="N522" i="1" a="1"/>
  <c r="N522" i="1"/>
  <c r="M522" i="1" a="1"/>
  <c r="M522" i="1" s="1"/>
  <c r="L522" i="1" a="1"/>
  <c r="L522" i="1"/>
  <c r="V521" i="1" a="1"/>
  <c r="V521" i="1"/>
  <c r="U521" i="1" a="1"/>
  <c r="U521" i="1"/>
  <c r="T521" i="1"/>
  <c r="Q521" i="1" a="1"/>
  <c r="Q521" i="1" s="1"/>
  <c r="R521" i="1" s="1"/>
  <c r="S521" i="1" s="1"/>
  <c r="P521" i="1"/>
  <c r="O521" i="1"/>
  <c r="N521" i="1" a="1"/>
  <c r="N521" i="1"/>
  <c r="M521" i="1" a="1"/>
  <c r="M521" i="1" s="1"/>
  <c r="L521" i="1" a="1"/>
  <c r="L521" i="1" s="1"/>
  <c r="V520" i="1" a="1"/>
  <c r="V520" i="1"/>
  <c r="U520" i="1" a="1"/>
  <c r="U520" i="1" s="1"/>
  <c r="T520" i="1"/>
  <c r="S520" i="1"/>
  <c r="Q520" i="1" a="1"/>
  <c r="Q520" i="1" s="1"/>
  <c r="R520" i="1" s="1"/>
  <c r="P520" i="1"/>
  <c r="O520" i="1"/>
  <c r="N520" i="1" a="1"/>
  <c r="N520" i="1" s="1"/>
  <c r="M520" i="1" a="1"/>
  <c r="M520" i="1" s="1"/>
  <c r="L520" i="1" a="1"/>
  <c r="L520" i="1"/>
  <c r="V519" i="1" a="1"/>
  <c r="V519" i="1" s="1"/>
  <c r="U519" i="1" a="1"/>
  <c r="U519" i="1"/>
  <c r="T519" i="1"/>
  <c r="R519" i="1"/>
  <c r="S519" i="1" s="1"/>
  <c r="Q519" i="1" a="1"/>
  <c r="Q519" i="1"/>
  <c r="P519" i="1"/>
  <c r="O519" i="1"/>
  <c r="N519" i="1" a="1"/>
  <c r="N519" i="1"/>
  <c r="M519" i="1" a="1"/>
  <c r="M519" i="1" s="1"/>
  <c r="L519" i="1" a="1"/>
  <c r="L519" i="1"/>
  <c r="V518" i="1" a="1"/>
  <c r="V518" i="1" s="1"/>
  <c r="U518" i="1" a="1"/>
  <c r="U518" i="1"/>
  <c r="T518" i="1"/>
  <c r="Q518" i="1" a="1"/>
  <c r="Q518" i="1"/>
  <c r="R518" i="1" s="1"/>
  <c r="S518" i="1" s="1"/>
  <c r="P518" i="1"/>
  <c r="O518" i="1"/>
  <c r="N518" i="1" a="1"/>
  <c r="N518" i="1"/>
  <c r="M518" i="1" a="1"/>
  <c r="M518" i="1"/>
  <c r="L518" i="1" a="1"/>
  <c r="L518" i="1" s="1"/>
  <c r="V517" i="1" a="1"/>
  <c r="V517" i="1" s="1"/>
  <c r="U517" i="1" a="1"/>
  <c r="U517" i="1"/>
  <c r="T517" i="1"/>
  <c r="Q517" i="1" a="1"/>
  <c r="Q517" i="1" s="1"/>
  <c r="R517" i="1" s="1"/>
  <c r="S517" i="1" s="1"/>
  <c r="P517" i="1"/>
  <c r="O517" i="1"/>
  <c r="N517" i="1" a="1"/>
  <c r="N517" i="1"/>
  <c r="M517" i="1" a="1"/>
  <c r="M517" i="1"/>
  <c r="L517" i="1" a="1"/>
  <c r="L517" i="1" s="1"/>
  <c r="V516" i="1" a="1"/>
  <c r="V516" i="1" s="1"/>
  <c r="U516" i="1" a="1"/>
  <c r="U516" i="1" s="1"/>
  <c r="T516" i="1"/>
  <c r="Q516" i="1" a="1"/>
  <c r="Q516" i="1" s="1"/>
  <c r="R516" i="1" s="1"/>
  <c r="S516" i="1" s="1"/>
  <c r="P516" i="1"/>
  <c r="O516" i="1"/>
  <c r="N516" i="1" a="1"/>
  <c r="N516" i="1"/>
  <c r="M516" i="1" a="1"/>
  <c r="M516" i="1" s="1"/>
  <c r="L516" i="1" a="1"/>
  <c r="L516" i="1" s="1"/>
  <c r="V515" i="1" a="1"/>
  <c r="V515" i="1" s="1"/>
  <c r="U515" i="1" a="1"/>
  <c r="U515" i="1"/>
  <c r="T515" i="1"/>
  <c r="Q515" i="1" a="1"/>
  <c r="Q515" i="1"/>
  <c r="R515" i="1" s="1"/>
  <c r="S515" i="1" s="1"/>
  <c r="P515" i="1"/>
  <c r="O515" i="1"/>
  <c r="N515" i="1" a="1"/>
  <c r="N515" i="1"/>
  <c r="M515" i="1" a="1"/>
  <c r="M515" i="1"/>
  <c r="L515" i="1" a="1"/>
  <c r="L515" i="1"/>
  <c r="V514" i="1" a="1"/>
  <c r="V514" i="1" s="1"/>
  <c r="U514" i="1" a="1"/>
  <c r="U514" i="1" s="1"/>
  <c r="T514" i="1"/>
  <c r="R514" i="1"/>
  <c r="S514" i="1" s="1"/>
  <c r="Q514" i="1" a="1"/>
  <c r="Q514" i="1" s="1"/>
  <c r="P514" i="1"/>
  <c r="O514" i="1"/>
  <c r="N514" i="1" a="1"/>
  <c r="N514" i="1" s="1"/>
  <c r="M514" i="1" a="1"/>
  <c r="M514" i="1"/>
  <c r="L514" i="1" a="1"/>
  <c r="L514" i="1" s="1"/>
  <c r="V513" i="1" a="1"/>
  <c r="V513" i="1"/>
  <c r="U513" i="1" a="1"/>
  <c r="U513" i="1" s="1"/>
  <c r="T513" i="1"/>
  <c r="Q513" i="1" a="1"/>
  <c r="Q513" i="1" s="1"/>
  <c r="R513" i="1" s="1"/>
  <c r="S513" i="1" s="1"/>
  <c r="P513" i="1"/>
  <c r="O513" i="1"/>
  <c r="N513" i="1" a="1"/>
  <c r="N513" i="1"/>
  <c r="M513" i="1" a="1"/>
  <c r="M513" i="1"/>
  <c r="L513" i="1" a="1"/>
  <c r="L513" i="1"/>
  <c r="V512" i="1" a="1"/>
  <c r="V512" i="1"/>
  <c r="U512" i="1" a="1"/>
  <c r="U512" i="1" s="1"/>
  <c r="T512" i="1"/>
  <c r="R512" i="1"/>
  <c r="S512" i="1" s="1"/>
  <c r="Q512" i="1" a="1"/>
  <c r="Q512" i="1"/>
  <c r="P512" i="1"/>
  <c r="O512" i="1"/>
  <c r="N512" i="1" a="1"/>
  <c r="N512" i="1"/>
  <c r="M512" i="1" a="1"/>
  <c r="M512" i="1"/>
  <c r="L512" i="1" a="1"/>
  <c r="L512" i="1"/>
  <c r="V511" i="1" a="1"/>
  <c r="V511" i="1"/>
  <c r="U511" i="1" a="1"/>
  <c r="U511" i="1"/>
  <c r="T511" i="1"/>
  <c r="Q511" i="1" a="1"/>
  <c r="Q511" i="1"/>
  <c r="R511" i="1" s="1"/>
  <c r="S511" i="1" s="1"/>
  <c r="P511" i="1"/>
  <c r="O511" i="1"/>
  <c r="N511" i="1" a="1"/>
  <c r="N511" i="1"/>
  <c r="M511" i="1" a="1"/>
  <c r="M511" i="1"/>
  <c r="L511" i="1" a="1"/>
  <c r="L511" i="1"/>
  <c r="V510" i="1" a="1"/>
  <c r="V510" i="1"/>
  <c r="U510" i="1" a="1"/>
  <c r="U510" i="1"/>
  <c r="T510" i="1"/>
  <c r="Q510" i="1" a="1"/>
  <c r="Q510" i="1"/>
  <c r="R510" i="1" s="1"/>
  <c r="S510" i="1" s="1"/>
  <c r="P510" i="1"/>
  <c r="O510" i="1"/>
  <c r="N510" i="1" a="1"/>
  <c r="N510" i="1" s="1"/>
  <c r="M510" i="1" a="1"/>
  <c r="M510" i="1" s="1"/>
  <c r="L510" i="1" a="1"/>
  <c r="L510" i="1"/>
  <c r="V509" i="1" a="1"/>
  <c r="V509" i="1"/>
  <c r="U509" i="1" a="1"/>
  <c r="U509" i="1"/>
  <c r="T509" i="1"/>
  <c r="R509" i="1"/>
  <c r="S509" i="1" s="1"/>
  <c r="Q509" i="1" a="1"/>
  <c r="Q509" i="1"/>
  <c r="P509" i="1"/>
  <c r="O509" i="1"/>
  <c r="N509" i="1" a="1"/>
  <c r="N509" i="1" s="1"/>
  <c r="M509" i="1" a="1"/>
  <c r="M509" i="1" s="1"/>
  <c r="L509" i="1" a="1"/>
  <c r="L509" i="1"/>
  <c r="V508" i="1" a="1"/>
  <c r="V508" i="1" s="1"/>
  <c r="U508" i="1" a="1"/>
  <c r="U508" i="1"/>
  <c r="T508" i="1"/>
  <c r="Q508" i="1" a="1"/>
  <c r="Q508" i="1"/>
  <c r="R508" i="1" s="1"/>
  <c r="S508" i="1" s="1"/>
  <c r="P508" i="1"/>
  <c r="O508" i="1"/>
  <c r="N508" i="1" a="1"/>
  <c r="N508" i="1" s="1"/>
  <c r="M508" i="1" a="1"/>
  <c r="M508" i="1" s="1"/>
  <c r="L508" i="1" a="1"/>
  <c r="L508" i="1" s="1"/>
  <c r="V507" i="1" a="1"/>
  <c r="V507" i="1" s="1"/>
  <c r="U507" i="1" a="1"/>
  <c r="U507" i="1"/>
  <c r="T507" i="1"/>
  <c r="Q507" i="1" a="1"/>
  <c r="Q507" i="1" s="1"/>
  <c r="R507" i="1" s="1"/>
  <c r="S507" i="1" s="1"/>
  <c r="P507" i="1"/>
  <c r="O507" i="1"/>
  <c r="N507" i="1" a="1"/>
  <c r="N507" i="1"/>
  <c r="M507" i="1" a="1"/>
  <c r="M507" i="1" s="1"/>
  <c r="L507" i="1" a="1"/>
  <c r="L507" i="1"/>
  <c r="V506" i="1" a="1"/>
  <c r="V506" i="1" s="1"/>
  <c r="U506" i="1" a="1"/>
  <c r="U506" i="1"/>
  <c r="T506" i="1"/>
  <c r="R506" i="1"/>
  <c r="S506" i="1" s="1"/>
  <c r="Q506" i="1" a="1"/>
  <c r="Q506" i="1"/>
  <c r="P506" i="1"/>
  <c r="O506" i="1"/>
  <c r="N506" i="1" a="1"/>
  <c r="N506" i="1"/>
  <c r="M506" i="1" a="1"/>
  <c r="M506" i="1"/>
  <c r="L506" i="1" a="1"/>
  <c r="L506" i="1" s="1"/>
  <c r="V505" i="1" a="1"/>
  <c r="V505" i="1" s="1"/>
  <c r="U505" i="1" a="1"/>
  <c r="U505" i="1" s="1"/>
  <c r="T505" i="1"/>
  <c r="Q505" i="1" a="1"/>
  <c r="Q505" i="1"/>
  <c r="R505" i="1" s="1"/>
  <c r="S505" i="1" s="1"/>
  <c r="P505" i="1"/>
  <c r="O505" i="1"/>
  <c r="N505" i="1" a="1"/>
  <c r="N505" i="1"/>
  <c r="M505" i="1" a="1"/>
  <c r="M505" i="1"/>
  <c r="L505" i="1" a="1"/>
  <c r="L505" i="1" s="1"/>
  <c r="V504" i="1" a="1"/>
  <c r="V504" i="1" s="1"/>
  <c r="U504" i="1" a="1"/>
  <c r="U504" i="1"/>
  <c r="T504" i="1"/>
  <c r="Q504" i="1" a="1"/>
  <c r="Q504" i="1" s="1"/>
  <c r="R504" i="1" s="1"/>
  <c r="S504" i="1" s="1"/>
  <c r="P504" i="1"/>
  <c r="O504" i="1"/>
  <c r="N504" i="1" a="1"/>
  <c r="N504" i="1"/>
  <c r="M504" i="1" a="1"/>
  <c r="M504" i="1" s="1"/>
  <c r="L504" i="1" a="1"/>
  <c r="L504" i="1"/>
  <c r="V503" i="1" a="1"/>
  <c r="V503" i="1" s="1"/>
  <c r="U503" i="1" a="1"/>
  <c r="U503" i="1"/>
  <c r="T503" i="1"/>
  <c r="Q503" i="1" a="1"/>
  <c r="Q503" i="1"/>
  <c r="R503" i="1" s="1"/>
  <c r="S503" i="1" s="1"/>
  <c r="P503" i="1"/>
  <c r="O503" i="1"/>
  <c r="N503" i="1" a="1"/>
  <c r="N503" i="1"/>
  <c r="M503" i="1" a="1"/>
  <c r="M503" i="1"/>
  <c r="L503" i="1" a="1"/>
  <c r="L503" i="1"/>
  <c r="V502" i="1" a="1"/>
  <c r="V502" i="1" s="1"/>
  <c r="U502" i="1" a="1"/>
  <c r="U502" i="1" s="1"/>
  <c r="T502" i="1"/>
  <c r="R502" i="1"/>
  <c r="S502" i="1" s="1"/>
  <c r="Q502" i="1" a="1"/>
  <c r="Q502" i="1" s="1"/>
  <c r="P502" i="1"/>
  <c r="O502" i="1"/>
  <c r="N502" i="1" a="1"/>
  <c r="N502" i="1" s="1"/>
  <c r="M502" i="1" a="1"/>
  <c r="M502" i="1"/>
  <c r="L502" i="1" a="1"/>
  <c r="L502" i="1" s="1"/>
  <c r="V501" i="1" a="1"/>
  <c r="V501" i="1" s="1"/>
  <c r="U501" i="1" a="1"/>
  <c r="U501" i="1" s="1"/>
  <c r="T501" i="1"/>
  <c r="Q501" i="1" a="1"/>
  <c r="Q501" i="1" s="1"/>
  <c r="R501" i="1" s="1"/>
  <c r="S501" i="1" s="1"/>
  <c r="P501" i="1"/>
  <c r="O501" i="1"/>
  <c r="N501" i="1" a="1"/>
  <c r="N501" i="1" s="1"/>
  <c r="M501" i="1" a="1"/>
  <c r="M501" i="1"/>
  <c r="L501" i="1" a="1"/>
  <c r="L501" i="1"/>
  <c r="V500" i="1" a="1"/>
  <c r="V500" i="1"/>
  <c r="U500" i="1" a="1"/>
  <c r="U500" i="1" s="1"/>
  <c r="T500" i="1"/>
  <c r="Q500" i="1" a="1"/>
  <c r="Q500" i="1" s="1"/>
  <c r="R500" i="1" s="1"/>
  <c r="S500" i="1" s="1"/>
  <c r="P500" i="1"/>
  <c r="O500" i="1"/>
  <c r="N500" i="1" a="1"/>
  <c r="N500" i="1"/>
  <c r="M500" i="1" a="1"/>
  <c r="M500" i="1"/>
  <c r="L500" i="1" a="1"/>
  <c r="L500" i="1"/>
  <c r="V499" i="1" a="1"/>
  <c r="V499" i="1"/>
  <c r="U499" i="1" a="1"/>
  <c r="U499" i="1" s="1"/>
  <c r="T499" i="1"/>
  <c r="R499" i="1"/>
  <c r="S499" i="1" s="1"/>
  <c r="Q499" i="1" a="1"/>
  <c r="Q499" i="1"/>
  <c r="P499" i="1"/>
  <c r="O499" i="1"/>
  <c r="N499" i="1" a="1"/>
  <c r="N499" i="1"/>
  <c r="M499" i="1" a="1"/>
  <c r="M499" i="1"/>
  <c r="L499" i="1" a="1"/>
  <c r="L499" i="1" s="1"/>
  <c r="V498" i="1" a="1"/>
  <c r="V498" i="1"/>
  <c r="U498" i="1" a="1"/>
  <c r="U498" i="1"/>
  <c r="T498" i="1"/>
  <c r="Q498" i="1" a="1"/>
  <c r="Q498" i="1"/>
  <c r="R498" i="1" s="1"/>
  <c r="S498" i="1" s="1"/>
  <c r="P498" i="1"/>
  <c r="O498" i="1"/>
  <c r="N498" i="1" a="1"/>
  <c r="N498" i="1" s="1"/>
  <c r="M498" i="1" a="1"/>
  <c r="M498" i="1" s="1"/>
  <c r="L498" i="1" a="1"/>
  <c r="L498" i="1" s="1"/>
  <c r="V497" i="1" a="1"/>
  <c r="V497" i="1"/>
  <c r="U497" i="1" a="1"/>
  <c r="U497" i="1"/>
  <c r="T497" i="1"/>
  <c r="R497" i="1"/>
  <c r="S497" i="1" s="1"/>
  <c r="Q497" i="1" a="1"/>
  <c r="Q497" i="1"/>
  <c r="P497" i="1"/>
  <c r="O497" i="1"/>
  <c r="N497" i="1" a="1"/>
  <c r="N497" i="1" s="1"/>
  <c r="M497" i="1" a="1"/>
  <c r="M497" i="1" s="1"/>
  <c r="L497" i="1" a="1"/>
  <c r="L497" i="1"/>
  <c r="V496" i="1" a="1"/>
  <c r="V496" i="1" s="1"/>
  <c r="U496" i="1" a="1"/>
  <c r="U496" i="1"/>
  <c r="T496" i="1"/>
  <c r="R496" i="1"/>
  <c r="S496" i="1" s="1"/>
  <c r="Q496" i="1" a="1"/>
  <c r="Q496" i="1"/>
  <c r="P496" i="1"/>
  <c r="O496" i="1"/>
  <c r="N496" i="1" a="1"/>
  <c r="N496" i="1"/>
  <c r="M496" i="1" a="1"/>
  <c r="M496" i="1" s="1"/>
  <c r="L496" i="1" a="1"/>
  <c r="L496" i="1" s="1"/>
  <c r="V495" i="1" a="1"/>
  <c r="V495" i="1" s="1"/>
  <c r="U495" i="1" a="1"/>
  <c r="U495" i="1"/>
  <c r="T495" i="1"/>
  <c r="Q495" i="1" a="1"/>
  <c r="Q495" i="1"/>
  <c r="R495" i="1" s="1"/>
  <c r="S495" i="1" s="1"/>
  <c r="P495" i="1"/>
  <c r="O495" i="1"/>
  <c r="N495" i="1" a="1"/>
  <c r="N495" i="1"/>
  <c r="M495" i="1" a="1"/>
  <c r="M495" i="1" s="1"/>
  <c r="L495" i="1" a="1"/>
  <c r="L495" i="1" s="1"/>
  <c r="V494" i="1" a="1"/>
  <c r="V494" i="1" s="1"/>
  <c r="U494" i="1" a="1"/>
  <c r="U494" i="1"/>
  <c r="T494" i="1"/>
  <c r="Q494" i="1" a="1"/>
  <c r="Q494" i="1" s="1"/>
  <c r="R494" i="1" s="1"/>
  <c r="S494" i="1" s="1"/>
  <c r="P494" i="1"/>
  <c r="O494" i="1"/>
  <c r="N494" i="1" a="1"/>
  <c r="N494" i="1"/>
  <c r="M494" i="1" a="1"/>
  <c r="M494" i="1"/>
  <c r="L494" i="1" a="1"/>
  <c r="L494" i="1" s="1"/>
  <c r="V493" i="1" a="1"/>
  <c r="V493" i="1" s="1"/>
  <c r="U493" i="1" a="1"/>
  <c r="U493" i="1" s="1"/>
  <c r="T493" i="1"/>
  <c r="R493" i="1"/>
  <c r="S493" i="1" s="1"/>
  <c r="Q493" i="1" a="1"/>
  <c r="Q493" i="1"/>
  <c r="P493" i="1"/>
  <c r="O493" i="1"/>
  <c r="N493" i="1" a="1"/>
  <c r="N493" i="1"/>
  <c r="M493" i="1" a="1"/>
  <c r="M493" i="1"/>
  <c r="L493" i="1" a="1"/>
  <c r="L493" i="1" s="1"/>
  <c r="V492" i="1" a="1"/>
  <c r="V492" i="1" s="1"/>
  <c r="U492" i="1" a="1"/>
  <c r="U492" i="1" s="1"/>
  <c r="T492" i="1"/>
  <c r="Q492" i="1" a="1"/>
  <c r="Q492" i="1"/>
  <c r="R492" i="1" s="1"/>
  <c r="S492" i="1" s="1"/>
  <c r="P492" i="1"/>
  <c r="O492" i="1"/>
  <c r="N492" i="1" a="1"/>
  <c r="N492" i="1"/>
  <c r="M492" i="1" a="1"/>
  <c r="M492" i="1" s="1"/>
  <c r="L492" i="1" a="1"/>
  <c r="L492" i="1" s="1"/>
  <c r="V491" i="1" a="1"/>
  <c r="V491" i="1" s="1"/>
  <c r="U491" i="1" a="1"/>
  <c r="U491" i="1"/>
  <c r="T491" i="1"/>
  <c r="Q491" i="1" a="1"/>
  <c r="Q491" i="1"/>
  <c r="R491" i="1" s="1"/>
  <c r="S491" i="1" s="1"/>
  <c r="P491" i="1"/>
  <c r="O491" i="1"/>
  <c r="N491" i="1" a="1"/>
  <c r="N491" i="1"/>
  <c r="M491" i="1" a="1"/>
  <c r="M491" i="1"/>
  <c r="L491" i="1" a="1"/>
  <c r="L491" i="1"/>
  <c r="V490" i="1" a="1"/>
  <c r="V490" i="1" s="1"/>
  <c r="U490" i="1" a="1"/>
  <c r="U490" i="1" s="1"/>
  <c r="T490" i="1"/>
  <c r="R490" i="1"/>
  <c r="S490" i="1" s="1"/>
  <c r="Q490" i="1" a="1"/>
  <c r="Q490" i="1" s="1"/>
  <c r="P490" i="1"/>
  <c r="O490" i="1"/>
  <c r="N490" i="1" a="1"/>
  <c r="N490" i="1" s="1"/>
  <c r="M490" i="1" a="1"/>
  <c r="M490" i="1"/>
  <c r="L490" i="1" a="1"/>
  <c r="L490" i="1" s="1"/>
  <c r="V489" i="1" a="1"/>
  <c r="V489" i="1"/>
  <c r="U489" i="1" a="1"/>
  <c r="U489" i="1" s="1"/>
  <c r="T489" i="1"/>
  <c r="Q489" i="1" a="1"/>
  <c r="Q489" i="1" s="1"/>
  <c r="R489" i="1" s="1"/>
  <c r="S489" i="1" s="1"/>
  <c r="P489" i="1"/>
  <c r="O489" i="1"/>
  <c r="N489" i="1" a="1"/>
  <c r="N489" i="1"/>
  <c r="M489" i="1" a="1"/>
  <c r="M489" i="1"/>
  <c r="L489" i="1" a="1"/>
  <c r="L489" i="1"/>
  <c r="V488" i="1" a="1"/>
  <c r="V488" i="1"/>
  <c r="U488" i="1" a="1"/>
  <c r="U488" i="1" s="1"/>
  <c r="T488" i="1"/>
  <c r="Q488" i="1" a="1"/>
  <c r="Q488" i="1"/>
  <c r="R488" i="1" s="1"/>
  <c r="S488" i="1" s="1"/>
  <c r="P488" i="1"/>
  <c r="O488" i="1"/>
  <c r="N488" i="1" a="1"/>
  <c r="N488" i="1"/>
  <c r="M488" i="1" a="1"/>
  <c r="M488" i="1"/>
  <c r="L488" i="1" a="1"/>
  <c r="L488" i="1"/>
  <c r="V487" i="1" a="1"/>
  <c r="V487" i="1"/>
  <c r="U487" i="1" a="1"/>
  <c r="U487" i="1"/>
  <c r="T487" i="1"/>
  <c r="Q487" i="1" a="1"/>
  <c r="Q487" i="1"/>
  <c r="R487" i="1" s="1"/>
  <c r="S487" i="1" s="1"/>
  <c r="P487" i="1"/>
  <c r="O487" i="1"/>
  <c r="N487" i="1" a="1"/>
  <c r="N487" i="1"/>
  <c r="M487" i="1" a="1"/>
  <c r="M487" i="1"/>
  <c r="L487" i="1" a="1"/>
  <c r="L487" i="1"/>
  <c r="V486" i="1" a="1"/>
  <c r="V486" i="1"/>
  <c r="U486" i="1" a="1"/>
  <c r="U486" i="1"/>
  <c r="T486" i="1"/>
  <c r="R486" i="1"/>
  <c r="S486" i="1" s="1"/>
  <c r="Q486" i="1" a="1"/>
  <c r="Q486" i="1"/>
  <c r="P486" i="1"/>
  <c r="O486" i="1"/>
  <c r="N486" i="1" a="1"/>
  <c r="N486" i="1" s="1"/>
  <c r="M486" i="1" a="1"/>
  <c r="M486" i="1" s="1"/>
  <c r="L486" i="1" a="1"/>
  <c r="L486" i="1" s="1"/>
  <c r="V485" i="1" a="1"/>
  <c r="V485" i="1"/>
  <c r="U485" i="1" a="1"/>
  <c r="U485" i="1" s="1"/>
  <c r="T485" i="1"/>
  <c r="Q485" i="1" a="1"/>
  <c r="Q485" i="1"/>
  <c r="R485" i="1" s="1"/>
  <c r="S485" i="1" s="1"/>
  <c r="P485" i="1"/>
  <c r="O485" i="1"/>
  <c r="N485" i="1" a="1"/>
  <c r="N485" i="1" s="1"/>
  <c r="M485" i="1" a="1"/>
  <c r="M485" i="1" s="1"/>
  <c r="L485" i="1" a="1"/>
  <c r="L485" i="1" s="1"/>
  <c r="V484" i="1" a="1"/>
  <c r="V484" i="1" s="1"/>
  <c r="U484" i="1" a="1"/>
  <c r="U484" i="1"/>
  <c r="T484" i="1"/>
  <c r="Q484" i="1" a="1"/>
  <c r="Q484" i="1"/>
  <c r="R484" i="1" s="1"/>
  <c r="S484" i="1" s="1"/>
  <c r="P484" i="1"/>
  <c r="O484" i="1"/>
  <c r="N484" i="1" a="1"/>
  <c r="N484" i="1"/>
  <c r="M484" i="1" a="1"/>
  <c r="M484" i="1" s="1"/>
  <c r="L484" i="1" a="1"/>
  <c r="L484" i="1"/>
  <c r="V483" i="1" a="1"/>
  <c r="V483" i="1" s="1"/>
  <c r="U483" i="1" a="1"/>
  <c r="U483" i="1"/>
  <c r="T483" i="1"/>
  <c r="R483" i="1"/>
  <c r="S483" i="1" s="1"/>
  <c r="Q483" i="1" a="1"/>
  <c r="Q483" i="1"/>
  <c r="P483" i="1"/>
  <c r="O483" i="1"/>
  <c r="N483" i="1" a="1"/>
  <c r="N483" i="1"/>
  <c r="M483" i="1" a="1"/>
  <c r="M483" i="1" s="1"/>
  <c r="L483" i="1" a="1"/>
  <c r="L483" i="1" s="1"/>
  <c r="V482" i="1" a="1"/>
  <c r="V482" i="1" s="1"/>
  <c r="U482" i="1" a="1"/>
  <c r="U482" i="1" s="1"/>
  <c r="T482" i="1"/>
  <c r="Q482" i="1" a="1"/>
  <c r="Q482" i="1"/>
  <c r="R482" i="1" s="1"/>
  <c r="S482" i="1" s="1"/>
  <c r="P482" i="1"/>
  <c r="O482" i="1"/>
  <c r="N482" i="1" a="1"/>
  <c r="N482" i="1" s="1"/>
  <c r="M482" i="1" a="1"/>
  <c r="M482" i="1"/>
  <c r="L482" i="1" a="1"/>
  <c r="L482" i="1" s="1"/>
  <c r="V481" i="1" a="1"/>
  <c r="V481" i="1" s="1"/>
  <c r="U481" i="1" a="1"/>
  <c r="U481" i="1"/>
  <c r="T481" i="1"/>
  <c r="Q481" i="1" a="1"/>
  <c r="Q481" i="1"/>
  <c r="R481" i="1" s="1"/>
  <c r="S481" i="1" s="1"/>
  <c r="P481" i="1"/>
  <c r="O481" i="1"/>
  <c r="N481" i="1" a="1"/>
  <c r="N481" i="1"/>
  <c r="M481" i="1" a="1"/>
  <c r="M481" i="1"/>
  <c r="L481" i="1" a="1"/>
  <c r="L481" i="1" s="1"/>
  <c r="V480" i="1" a="1"/>
  <c r="V480" i="1" s="1"/>
  <c r="U480" i="1" a="1"/>
  <c r="U480" i="1" s="1"/>
  <c r="T480" i="1"/>
  <c r="Q480" i="1" a="1"/>
  <c r="Q480" i="1" s="1"/>
  <c r="R480" i="1" s="1"/>
  <c r="S480" i="1" s="1"/>
  <c r="P480" i="1"/>
  <c r="O480" i="1"/>
  <c r="N480" i="1" a="1"/>
  <c r="N480" i="1"/>
  <c r="M480" i="1" a="1"/>
  <c r="M480" i="1" s="1"/>
  <c r="L480" i="1" a="1"/>
  <c r="L480" i="1" s="1"/>
  <c r="V479" i="1" a="1"/>
  <c r="V479" i="1" s="1"/>
  <c r="U479" i="1" a="1"/>
  <c r="U479" i="1"/>
  <c r="T479" i="1"/>
  <c r="Q479" i="1" a="1"/>
  <c r="Q479" i="1"/>
  <c r="R479" i="1" s="1"/>
  <c r="S479" i="1" s="1"/>
  <c r="P479" i="1"/>
  <c r="O479" i="1"/>
  <c r="N479" i="1" a="1"/>
  <c r="N479" i="1"/>
  <c r="M479" i="1" a="1"/>
  <c r="M479" i="1"/>
  <c r="L479" i="1" a="1"/>
  <c r="L479" i="1"/>
  <c r="V478" i="1" a="1"/>
  <c r="V478" i="1" s="1"/>
  <c r="U478" i="1" a="1"/>
  <c r="U478" i="1" s="1"/>
  <c r="T478" i="1"/>
  <c r="R478" i="1"/>
  <c r="S478" i="1" s="1"/>
  <c r="Q478" i="1" a="1"/>
  <c r="Q478" i="1" s="1"/>
  <c r="P478" i="1"/>
  <c r="O478" i="1"/>
  <c r="N478" i="1" a="1"/>
  <c r="N478" i="1" s="1"/>
  <c r="M478" i="1" a="1"/>
  <c r="M478" i="1"/>
  <c r="L478" i="1" a="1"/>
  <c r="L478" i="1" s="1"/>
  <c r="V477" i="1" a="1"/>
  <c r="V477" i="1"/>
  <c r="U477" i="1" a="1"/>
  <c r="U477" i="1" s="1"/>
  <c r="T477" i="1"/>
  <c r="S477" i="1"/>
  <c r="R477" i="1"/>
  <c r="Q477" i="1" a="1"/>
  <c r="Q477" i="1" s="1"/>
  <c r="P477" i="1"/>
  <c r="O477" i="1"/>
  <c r="N477" i="1" a="1"/>
  <c r="N477" i="1"/>
  <c r="M477" i="1" a="1"/>
  <c r="M477" i="1"/>
  <c r="L477" i="1" a="1"/>
  <c r="L477" i="1"/>
  <c r="V476" i="1" a="1"/>
  <c r="V476" i="1"/>
  <c r="U476" i="1" a="1"/>
  <c r="U476" i="1" s="1"/>
  <c r="T476" i="1"/>
  <c r="R476" i="1"/>
  <c r="S476" i="1" s="1"/>
  <c r="Q476" i="1" a="1"/>
  <c r="Q476" i="1"/>
  <c r="P476" i="1"/>
  <c r="O476" i="1"/>
  <c r="N476" i="1" a="1"/>
  <c r="N476" i="1"/>
  <c r="M476" i="1" a="1"/>
  <c r="M476" i="1"/>
  <c r="L476" i="1" a="1"/>
  <c r="L476" i="1"/>
  <c r="V475" i="1" a="1"/>
  <c r="V475" i="1"/>
  <c r="U475" i="1" a="1"/>
  <c r="U475" i="1"/>
  <c r="T475" i="1"/>
  <c r="Q475" i="1" a="1"/>
  <c r="Q475" i="1"/>
  <c r="R475" i="1" s="1"/>
  <c r="S475" i="1" s="1"/>
  <c r="P475" i="1"/>
  <c r="O475" i="1"/>
  <c r="N475" i="1" a="1"/>
  <c r="N475" i="1" s="1"/>
  <c r="M475" i="1" a="1"/>
  <c r="M475" i="1"/>
  <c r="L475" i="1" a="1"/>
  <c r="L475" i="1"/>
  <c r="V474" i="1" a="1"/>
  <c r="V474" i="1"/>
  <c r="U474" i="1" a="1"/>
  <c r="U474" i="1"/>
  <c r="T474" i="1"/>
  <c r="R474" i="1"/>
  <c r="S474" i="1" s="1"/>
  <c r="Q474" i="1" a="1"/>
  <c r="Q474" i="1" s="1"/>
  <c r="P474" i="1"/>
  <c r="O474" i="1"/>
  <c r="N474" i="1" a="1"/>
  <c r="N474" i="1" s="1"/>
  <c r="M474" i="1" a="1"/>
  <c r="M474" i="1" s="1"/>
  <c r="L474" i="1" a="1"/>
  <c r="L474" i="1"/>
  <c r="V473" i="1" a="1"/>
  <c r="V473" i="1"/>
  <c r="U473" i="1" a="1"/>
  <c r="U473" i="1" s="1"/>
  <c r="T473" i="1"/>
  <c r="R473" i="1"/>
  <c r="S473" i="1" s="1"/>
  <c r="Q473" i="1" a="1"/>
  <c r="Q473" i="1"/>
  <c r="P473" i="1"/>
  <c r="O473" i="1"/>
  <c r="N473" i="1" a="1"/>
  <c r="N473" i="1" s="1"/>
  <c r="M473" i="1" a="1"/>
  <c r="M473" i="1" s="1"/>
  <c r="L473" i="1" a="1"/>
  <c r="L473" i="1"/>
  <c r="V472" i="1" a="1"/>
  <c r="V472" i="1" s="1"/>
  <c r="U472" i="1" a="1"/>
  <c r="U472" i="1"/>
  <c r="T472" i="1"/>
  <c r="Q472" i="1" a="1"/>
  <c r="Q472" i="1"/>
  <c r="R472" i="1" s="1"/>
  <c r="S472" i="1" s="1"/>
  <c r="P472" i="1"/>
  <c r="O472" i="1"/>
  <c r="N472" i="1" a="1"/>
  <c r="N472" i="1" s="1"/>
  <c r="M472" i="1" a="1"/>
  <c r="M472" i="1" s="1"/>
  <c r="L472" i="1" a="1"/>
  <c r="L472" i="1" s="1"/>
  <c r="V471" i="1" a="1"/>
  <c r="V471" i="1" s="1"/>
  <c r="U471" i="1" a="1"/>
  <c r="U471" i="1"/>
  <c r="T471" i="1"/>
  <c r="Q471" i="1" a="1"/>
  <c r="Q471" i="1"/>
  <c r="R471" i="1" s="1"/>
  <c r="S471" i="1" s="1"/>
  <c r="P471" i="1"/>
  <c r="O471" i="1"/>
  <c r="N471" i="1" a="1"/>
  <c r="N471" i="1"/>
  <c r="M471" i="1" a="1"/>
  <c r="M471" i="1" s="1"/>
  <c r="L471" i="1" a="1"/>
  <c r="L471" i="1"/>
  <c r="V470" i="1" a="1"/>
  <c r="V470" i="1" s="1"/>
  <c r="U470" i="1" a="1"/>
  <c r="U470" i="1" s="1"/>
  <c r="T470" i="1"/>
  <c r="R470" i="1"/>
  <c r="S470" i="1" s="1"/>
  <c r="Q470" i="1" a="1"/>
  <c r="Q470" i="1"/>
  <c r="P470" i="1"/>
  <c r="O470" i="1"/>
  <c r="N470" i="1" a="1"/>
  <c r="N470" i="1"/>
  <c r="M470" i="1" a="1"/>
  <c r="M470" i="1"/>
  <c r="L470" i="1" a="1"/>
  <c r="L470" i="1" s="1"/>
  <c r="V469" i="1" a="1"/>
  <c r="V469" i="1" s="1"/>
  <c r="U469" i="1" a="1"/>
  <c r="U469" i="1" s="1"/>
  <c r="T469" i="1"/>
  <c r="Q469" i="1" a="1"/>
  <c r="Q469" i="1"/>
  <c r="R469" i="1" s="1"/>
  <c r="S469" i="1" s="1"/>
  <c r="P469" i="1"/>
  <c r="O469" i="1"/>
  <c r="N469" i="1" a="1"/>
  <c r="N469" i="1"/>
  <c r="M469" i="1" a="1"/>
  <c r="M469" i="1"/>
  <c r="L469" i="1" a="1"/>
  <c r="L469" i="1" s="1"/>
  <c r="V468" i="1" a="1"/>
  <c r="V468" i="1" s="1"/>
  <c r="U468" i="1" a="1"/>
  <c r="U468" i="1"/>
  <c r="T468" i="1"/>
  <c r="Q468" i="1" a="1"/>
  <c r="Q468" i="1" s="1"/>
  <c r="R468" i="1" s="1"/>
  <c r="S468" i="1" s="1"/>
  <c r="P468" i="1"/>
  <c r="O468" i="1"/>
  <c r="N468" i="1" a="1"/>
  <c r="N468" i="1"/>
  <c r="M468" i="1" a="1"/>
  <c r="M468" i="1" s="1"/>
  <c r="L468" i="1" a="1"/>
  <c r="L468" i="1"/>
  <c r="V467" i="1" a="1"/>
  <c r="V467" i="1" s="1"/>
  <c r="U467" i="1" a="1"/>
  <c r="U467" i="1"/>
  <c r="T467" i="1"/>
  <c r="Q467" i="1" a="1"/>
  <c r="Q467" i="1"/>
  <c r="R467" i="1" s="1"/>
  <c r="S467" i="1" s="1"/>
  <c r="P467" i="1"/>
  <c r="O467" i="1"/>
  <c r="N467" i="1" a="1"/>
  <c r="N467" i="1"/>
  <c r="M467" i="1" a="1"/>
  <c r="M467" i="1"/>
  <c r="L467" i="1" a="1"/>
  <c r="L467" i="1"/>
  <c r="V466" i="1" a="1"/>
  <c r="V466" i="1" s="1"/>
  <c r="U466" i="1" a="1"/>
  <c r="U466" i="1" s="1"/>
  <c r="T466" i="1"/>
  <c r="S466" i="1"/>
  <c r="R466" i="1"/>
  <c r="Q466" i="1" a="1"/>
  <c r="Q466" i="1" s="1"/>
  <c r="P466" i="1"/>
  <c r="O466" i="1"/>
  <c r="N466" i="1" a="1"/>
  <c r="N466" i="1" s="1"/>
  <c r="M466" i="1" a="1"/>
  <c r="M466" i="1"/>
  <c r="L466" i="1" a="1"/>
  <c r="L466" i="1" s="1"/>
  <c r="V465" i="1" a="1"/>
  <c r="V465" i="1" s="1"/>
  <c r="U465" i="1" a="1"/>
  <c r="U465" i="1" s="1"/>
  <c r="T465" i="1"/>
  <c r="Q465" i="1" a="1"/>
  <c r="Q465" i="1" s="1"/>
  <c r="R465" i="1" s="1"/>
  <c r="S465" i="1" s="1"/>
  <c r="P465" i="1"/>
  <c r="O465" i="1"/>
  <c r="N465" i="1" a="1"/>
  <c r="N465" i="1" s="1"/>
  <c r="M465" i="1" a="1"/>
  <c r="M465" i="1"/>
  <c r="L465" i="1" a="1"/>
  <c r="L465" i="1"/>
  <c r="V464" i="1" a="1"/>
  <c r="V464" i="1"/>
  <c r="U464" i="1" a="1"/>
  <c r="U464" i="1" s="1"/>
  <c r="T464" i="1"/>
  <c r="Q464" i="1" a="1"/>
  <c r="Q464" i="1"/>
  <c r="R464" i="1" s="1"/>
  <c r="S464" i="1" s="1"/>
  <c r="P464" i="1"/>
  <c r="O464" i="1"/>
  <c r="N464" i="1" a="1"/>
  <c r="N464" i="1" s="1"/>
  <c r="M464" i="1" a="1"/>
  <c r="M464" i="1"/>
  <c r="L464" i="1" a="1"/>
  <c r="L464" i="1"/>
  <c r="V463" i="1" a="1"/>
  <c r="V463" i="1"/>
  <c r="U463" i="1" a="1"/>
  <c r="U463" i="1" s="1"/>
  <c r="T463" i="1"/>
  <c r="S463" i="1"/>
  <c r="Q463" i="1" a="1"/>
  <c r="Q463" i="1" s="1"/>
  <c r="R463" i="1" s="1"/>
  <c r="P463" i="1"/>
  <c r="O463" i="1"/>
  <c r="N463" i="1" a="1"/>
  <c r="N463" i="1" s="1"/>
  <c r="M463" i="1" a="1"/>
  <c r="M463" i="1" s="1"/>
  <c r="L463" i="1" a="1"/>
  <c r="L463" i="1" s="1"/>
  <c r="V462" i="1" a="1"/>
  <c r="V462" i="1" s="1"/>
  <c r="U462" i="1" a="1"/>
  <c r="U462" i="1" s="1"/>
  <c r="T462" i="1"/>
  <c r="Q462" i="1" a="1"/>
  <c r="Q462" i="1" s="1"/>
  <c r="R462" i="1" s="1"/>
  <c r="S462" i="1" s="1"/>
  <c r="P462" i="1"/>
  <c r="O462" i="1"/>
  <c r="N462" i="1" a="1"/>
  <c r="N462" i="1" s="1"/>
  <c r="M462" i="1" a="1"/>
  <c r="M462" i="1" s="1"/>
  <c r="L462" i="1" a="1"/>
  <c r="L462" i="1" s="1"/>
  <c r="V461" i="1" a="1"/>
  <c r="V461" i="1"/>
  <c r="U461" i="1" a="1"/>
  <c r="U461" i="1" s="1"/>
  <c r="T461" i="1"/>
  <c r="S461" i="1"/>
  <c r="R461" i="1"/>
  <c r="Q461" i="1" a="1"/>
  <c r="Q461" i="1"/>
  <c r="P461" i="1"/>
  <c r="O461" i="1"/>
  <c r="N461" i="1" a="1"/>
  <c r="N461" i="1" s="1"/>
  <c r="M461" i="1" a="1"/>
  <c r="M461" i="1"/>
  <c r="L461" i="1" a="1"/>
  <c r="L461" i="1" s="1"/>
  <c r="V460" i="1" a="1"/>
  <c r="V460" i="1"/>
  <c r="U460" i="1" a="1"/>
  <c r="U460" i="1" s="1"/>
  <c r="T460" i="1"/>
  <c r="Q460" i="1" a="1"/>
  <c r="Q460" i="1"/>
  <c r="R460" i="1" s="1"/>
  <c r="S460" i="1" s="1"/>
  <c r="P460" i="1"/>
  <c r="O460" i="1"/>
  <c r="N460" i="1" a="1"/>
  <c r="N460" i="1"/>
  <c r="M460" i="1" a="1"/>
  <c r="M460" i="1" s="1"/>
  <c r="L460" i="1" a="1"/>
  <c r="L460" i="1"/>
  <c r="V459" i="1" a="1"/>
  <c r="V459" i="1" s="1"/>
  <c r="U459" i="1" a="1"/>
  <c r="U459" i="1"/>
  <c r="T459" i="1"/>
  <c r="Q459" i="1" a="1"/>
  <c r="Q459" i="1"/>
  <c r="R459" i="1" s="1"/>
  <c r="S459" i="1" s="1"/>
  <c r="P459" i="1"/>
  <c r="O459" i="1"/>
  <c r="N459" i="1" a="1"/>
  <c r="N459" i="1" s="1"/>
  <c r="M459" i="1" a="1"/>
  <c r="M459" i="1" s="1"/>
  <c r="L459" i="1" a="1"/>
  <c r="L459" i="1"/>
  <c r="V458" i="1" a="1"/>
  <c r="V458" i="1"/>
  <c r="U458" i="1" a="1"/>
  <c r="U458" i="1"/>
  <c r="T458" i="1"/>
  <c r="Q458" i="1" a="1"/>
  <c r="Q458" i="1" s="1"/>
  <c r="R458" i="1" s="1"/>
  <c r="S458" i="1" s="1"/>
  <c r="P458" i="1"/>
  <c r="O458" i="1"/>
  <c r="N458" i="1" a="1"/>
  <c r="N458" i="1"/>
  <c r="M458" i="1" a="1"/>
  <c r="M458" i="1" s="1"/>
  <c r="L458" i="1" a="1"/>
  <c r="L458" i="1"/>
  <c r="V457" i="1" a="1"/>
  <c r="V457" i="1" s="1"/>
  <c r="U457" i="1" a="1"/>
  <c r="U457" i="1" s="1"/>
  <c r="T457" i="1"/>
  <c r="Q457" i="1" a="1"/>
  <c r="Q457" i="1"/>
  <c r="R457" i="1" s="1"/>
  <c r="S457" i="1" s="1"/>
  <c r="P457" i="1"/>
  <c r="O457" i="1"/>
  <c r="N457" i="1" a="1"/>
  <c r="N457" i="1" s="1"/>
  <c r="M457" i="1" a="1"/>
  <c r="M457" i="1"/>
  <c r="L457" i="1" a="1"/>
  <c r="L457" i="1" s="1"/>
  <c r="V456" i="1" a="1"/>
  <c r="V456" i="1" s="1"/>
  <c r="U456" i="1" a="1"/>
  <c r="U456" i="1"/>
  <c r="T456" i="1"/>
  <c r="Q456" i="1" a="1"/>
  <c r="Q456" i="1" s="1"/>
  <c r="R456" i="1" s="1"/>
  <c r="S456" i="1" s="1"/>
  <c r="P456" i="1"/>
  <c r="O456" i="1"/>
  <c r="N456" i="1" a="1"/>
  <c r="N456" i="1"/>
  <c r="M456" i="1" a="1"/>
  <c r="M456" i="1"/>
  <c r="L456" i="1" a="1"/>
  <c r="L456" i="1"/>
  <c r="V455" i="1" a="1"/>
  <c r="V455" i="1"/>
  <c r="U455" i="1" a="1"/>
  <c r="U455" i="1" s="1"/>
  <c r="T455" i="1"/>
  <c r="S455" i="1"/>
  <c r="Q455" i="1" a="1"/>
  <c r="Q455" i="1" s="1"/>
  <c r="R455" i="1" s="1"/>
  <c r="P455" i="1"/>
  <c r="O455" i="1"/>
  <c r="N455" i="1" a="1"/>
  <c r="N455" i="1"/>
  <c r="M455" i="1" a="1"/>
  <c r="M455" i="1"/>
  <c r="L455" i="1" a="1"/>
  <c r="L455" i="1" s="1"/>
  <c r="V454" i="1" a="1"/>
  <c r="V454" i="1" s="1"/>
  <c r="U454" i="1" a="1"/>
  <c r="U454" i="1" s="1"/>
  <c r="T454" i="1"/>
  <c r="Q454" i="1" a="1"/>
  <c r="Q454" i="1"/>
  <c r="R454" i="1" s="1"/>
  <c r="S454" i="1" s="1"/>
  <c r="P454" i="1"/>
  <c r="O454" i="1"/>
  <c r="N454" i="1" a="1"/>
  <c r="N454" i="1" s="1"/>
  <c r="M454" i="1" a="1"/>
  <c r="M454" i="1"/>
  <c r="L454" i="1" a="1"/>
  <c r="L454" i="1" s="1"/>
  <c r="V453" i="1" a="1"/>
  <c r="V453" i="1"/>
  <c r="U453" i="1" a="1"/>
  <c r="U453" i="1"/>
  <c r="T453" i="1"/>
  <c r="S453" i="1"/>
  <c r="R453" i="1"/>
  <c r="Q453" i="1" a="1"/>
  <c r="Q453" i="1" s="1"/>
  <c r="P453" i="1"/>
  <c r="O453" i="1"/>
  <c r="N453" i="1" a="1"/>
  <c r="N453" i="1" s="1"/>
  <c r="M453" i="1" a="1"/>
  <c r="M453" i="1"/>
  <c r="L453" i="1" a="1"/>
  <c r="L453" i="1"/>
  <c r="V452" i="1" a="1"/>
  <c r="V452" i="1"/>
  <c r="U452" i="1" a="1"/>
  <c r="U452" i="1" s="1"/>
  <c r="T452" i="1"/>
  <c r="R452" i="1"/>
  <c r="S452" i="1" s="1"/>
  <c r="Q452" i="1" a="1"/>
  <c r="Q452" i="1" s="1"/>
  <c r="P452" i="1"/>
  <c r="O452" i="1"/>
  <c r="N452" i="1" a="1"/>
  <c r="N452" i="1"/>
  <c r="M452" i="1" a="1"/>
  <c r="M452" i="1"/>
  <c r="L452" i="1" a="1"/>
  <c r="L452" i="1"/>
  <c r="V451" i="1" a="1"/>
  <c r="V451" i="1"/>
  <c r="U451" i="1" a="1"/>
  <c r="U451" i="1" s="1"/>
  <c r="T451" i="1"/>
  <c r="Q451" i="1" a="1"/>
  <c r="Q451" i="1" s="1"/>
  <c r="R451" i="1" s="1"/>
  <c r="S451" i="1" s="1"/>
  <c r="P451" i="1"/>
  <c r="O451" i="1"/>
  <c r="N451" i="1" a="1"/>
  <c r="N451" i="1" s="1"/>
  <c r="M451" i="1" a="1"/>
  <c r="M451" i="1" s="1"/>
  <c r="L451" i="1" a="1"/>
  <c r="L451" i="1" s="1"/>
  <c r="V450" i="1" a="1"/>
  <c r="V450" i="1"/>
  <c r="U450" i="1" a="1"/>
  <c r="U450" i="1" s="1"/>
  <c r="T450" i="1"/>
  <c r="R450" i="1"/>
  <c r="S450" i="1" s="1"/>
  <c r="Q450" i="1" a="1"/>
  <c r="Q450" i="1" s="1"/>
  <c r="P450" i="1"/>
  <c r="O450" i="1"/>
  <c r="N450" i="1" a="1"/>
  <c r="N450" i="1" s="1"/>
  <c r="M450" i="1" a="1"/>
  <c r="M450" i="1"/>
  <c r="L450" i="1" a="1"/>
  <c r="L450" i="1" s="1"/>
  <c r="V449" i="1" a="1"/>
  <c r="V449" i="1"/>
  <c r="U449" i="1" a="1"/>
  <c r="U449" i="1" s="1"/>
  <c r="T449" i="1"/>
  <c r="Q449" i="1" a="1"/>
  <c r="Q449" i="1"/>
  <c r="R449" i="1" s="1"/>
  <c r="S449" i="1" s="1"/>
  <c r="P449" i="1"/>
  <c r="O449" i="1"/>
  <c r="N449" i="1" a="1"/>
  <c r="N449" i="1" s="1"/>
  <c r="M449" i="1" a="1"/>
  <c r="M449" i="1"/>
  <c r="L449" i="1" a="1"/>
  <c r="L449" i="1" s="1"/>
  <c r="V448" i="1" a="1"/>
  <c r="V448" i="1" s="1"/>
  <c r="U448" i="1" a="1"/>
  <c r="U448" i="1" s="1"/>
  <c r="T448" i="1"/>
  <c r="R448" i="1"/>
  <c r="S448" i="1" s="1"/>
  <c r="Q448" i="1" a="1"/>
  <c r="Q448" i="1"/>
  <c r="P448" i="1"/>
  <c r="O448" i="1"/>
  <c r="N448" i="1" a="1"/>
  <c r="N448" i="1"/>
  <c r="M448" i="1" a="1"/>
  <c r="M448" i="1" s="1"/>
  <c r="L448" i="1" a="1"/>
  <c r="L448" i="1"/>
  <c r="V447" i="1" a="1"/>
  <c r="V447" i="1"/>
  <c r="U447" i="1" a="1"/>
  <c r="U447" i="1"/>
  <c r="T447" i="1"/>
  <c r="Q447" i="1" a="1"/>
  <c r="Q447" i="1" s="1"/>
  <c r="R447" i="1" s="1"/>
  <c r="S447" i="1" s="1"/>
  <c r="P447" i="1"/>
  <c r="O447" i="1"/>
  <c r="N447" i="1" a="1"/>
  <c r="N447" i="1"/>
  <c r="M447" i="1" a="1"/>
  <c r="M447" i="1" s="1"/>
  <c r="L447" i="1" a="1"/>
  <c r="L447" i="1"/>
  <c r="V446" i="1" a="1"/>
  <c r="V446" i="1" s="1"/>
  <c r="U446" i="1" a="1"/>
  <c r="U446" i="1"/>
  <c r="T446" i="1"/>
  <c r="Q446" i="1" a="1"/>
  <c r="Q446" i="1"/>
  <c r="R446" i="1" s="1"/>
  <c r="S446" i="1" s="1"/>
  <c r="P446" i="1"/>
  <c r="O446" i="1"/>
  <c r="N446" i="1" a="1"/>
  <c r="N446" i="1"/>
  <c r="M446" i="1" a="1"/>
  <c r="M446" i="1" s="1"/>
  <c r="L446" i="1" a="1"/>
  <c r="L446" i="1" s="1"/>
  <c r="V445" i="1" a="1"/>
  <c r="V445" i="1" s="1"/>
  <c r="U445" i="1" a="1"/>
  <c r="U445" i="1"/>
  <c r="T445" i="1"/>
  <c r="Q445" i="1" a="1"/>
  <c r="Q445" i="1"/>
  <c r="R445" i="1" s="1"/>
  <c r="S445" i="1" s="1"/>
  <c r="P445" i="1"/>
  <c r="O445" i="1"/>
  <c r="N445" i="1" a="1"/>
  <c r="N445" i="1" s="1"/>
  <c r="M445" i="1" a="1"/>
  <c r="M445" i="1"/>
  <c r="L445" i="1" a="1"/>
  <c r="L445" i="1" s="1"/>
  <c r="V444" i="1" a="1"/>
  <c r="V444" i="1" s="1"/>
  <c r="U444" i="1" a="1"/>
  <c r="U444" i="1"/>
  <c r="T444" i="1"/>
  <c r="Q444" i="1" a="1"/>
  <c r="Q444" i="1" s="1"/>
  <c r="R444" i="1" s="1"/>
  <c r="S444" i="1" s="1"/>
  <c r="P444" i="1"/>
  <c r="O444" i="1"/>
  <c r="N444" i="1" a="1"/>
  <c r="N444" i="1"/>
  <c r="M444" i="1" a="1"/>
  <c r="M444" i="1"/>
  <c r="L444" i="1" a="1"/>
  <c r="L444" i="1"/>
  <c r="V443" i="1" a="1"/>
  <c r="V443" i="1"/>
  <c r="U443" i="1" a="1"/>
  <c r="U443" i="1" s="1"/>
  <c r="T443" i="1"/>
  <c r="Q443" i="1" a="1"/>
  <c r="Q443" i="1"/>
  <c r="R443" i="1" s="1"/>
  <c r="S443" i="1" s="1"/>
  <c r="P443" i="1"/>
  <c r="O443" i="1"/>
  <c r="N443" i="1" a="1"/>
  <c r="N443" i="1" s="1"/>
  <c r="M443" i="1" a="1"/>
  <c r="M443" i="1"/>
  <c r="L443" i="1" a="1"/>
  <c r="L443" i="1" s="1"/>
  <c r="V442" i="1" a="1"/>
  <c r="V442" i="1" s="1"/>
  <c r="U442" i="1" a="1"/>
  <c r="U442" i="1"/>
  <c r="T442" i="1"/>
  <c r="R442" i="1"/>
  <c r="S442" i="1" s="1"/>
  <c r="Q442" i="1" a="1"/>
  <c r="Q442" i="1"/>
  <c r="P442" i="1"/>
  <c r="O442" i="1"/>
  <c r="N442" i="1" a="1"/>
  <c r="N442" i="1" s="1"/>
  <c r="M442" i="1" a="1"/>
  <c r="M442" i="1"/>
  <c r="L442" i="1" a="1"/>
  <c r="L442" i="1"/>
  <c r="V441" i="1" a="1"/>
  <c r="V441" i="1"/>
  <c r="U441" i="1" a="1"/>
  <c r="U441" i="1" s="1"/>
  <c r="T441" i="1"/>
  <c r="S441" i="1"/>
  <c r="R441" i="1"/>
  <c r="Q441" i="1" a="1"/>
  <c r="Q441" i="1" s="1"/>
  <c r="P441" i="1"/>
  <c r="O441" i="1"/>
  <c r="N441" i="1" a="1"/>
  <c r="N441" i="1"/>
  <c r="M441" i="1" a="1"/>
  <c r="M441" i="1"/>
  <c r="L441" i="1" a="1"/>
  <c r="L441" i="1" s="1"/>
  <c r="V440" i="1" a="1"/>
  <c r="V440" i="1"/>
  <c r="U440" i="1" a="1"/>
  <c r="U440" i="1" s="1"/>
  <c r="T440" i="1"/>
  <c r="Q440" i="1" a="1"/>
  <c r="Q440" i="1"/>
  <c r="R440" i="1" s="1"/>
  <c r="S440" i="1" s="1"/>
  <c r="P440" i="1"/>
  <c r="O440" i="1"/>
  <c r="N440" i="1" a="1"/>
  <c r="N440" i="1" s="1"/>
  <c r="M440" i="1" a="1"/>
  <c r="M440" i="1"/>
  <c r="L440" i="1" a="1"/>
  <c r="L440" i="1"/>
  <c r="V439" i="1" a="1"/>
  <c r="V439" i="1"/>
  <c r="U439" i="1" a="1"/>
  <c r="U439" i="1"/>
  <c r="T439" i="1"/>
  <c r="Q439" i="1" a="1"/>
  <c r="Q439" i="1" s="1"/>
  <c r="R439" i="1" s="1"/>
  <c r="S439" i="1" s="1"/>
  <c r="P439" i="1"/>
  <c r="O439" i="1"/>
  <c r="N439" i="1" a="1"/>
  <c r="N439" i="1" s="1"/>
  <c r="M439" i="1" a="1"/>
  <c r="M439" i="1"/>
  <c r="L439" i="1" a="1"/>
  <c r="L439" i="1" s="1"/>
  <c r="V438" i="1" a="1"/>
  <c r="V438" i="1"/>
  <c r="U438" i="1" a="1"/>
  <c r="U438" i="1" s="1"/>
  <c r="T438" i="1"/>
  <c r="Q438" i="1" a="1"/>
  <c r="Q438" i="1" s="1"/>
  <c r="R438" i="1" s="1"/>
  <c r="S438" i="1" s="1"/>
  <c r="P438" i="1"/>
  <c r="O438" i="1"/>
  <c r="N438" i="1" a="1"/>
  <c r="N438" i="1" s="1"/>
  <c r="M438" i="1" a="1"/>
  <c r="M438" i="1" s="1"/>
  <c r="L438" i="1" a="1"/>
  <c r="L438" i="1" s="1"/>
  <c r="V437" i="1" a="1"/>
  <c r="V437" i="1"/>
  <c r="U437" i="1" a="1"/>
  <c r="U437" i="1" s="1"/>
  <c r="T437" i="1"/>
  <c r="Q437" i="1" a="1"/>
  <c r="Q437" i="1"/>
  <c r="R437" i="1" s="1"/>
  <c r="S437" i="1" s="1"/>
  <c r="P437" i="1"/>
  <c r="O437" i="1"/>
  <c r="N437" i="1" a="1"/>
  <c r="N437" i="1" s="1"/>
  <c r="M437" i="1" a="1"/>
  <c r="M437" i="1" s="1"/>
  <c r="L437" i="1" a="1"/>
  <c r="L437" i="1" s="1"/>
  <c r="V436" i="1" a="1"/>
  <c r="V436" i="1"/>
  <c r="U436" i="1" a="1"/>
  <c r="U436" i="1" s="1"/>
  <c r="T436" i="1"/>
  <c r="Q436" i="1" a="1"/>
  <c r="Q436" i="1"/>
  <c r="R436" i="1" s="1"/>
  <c r="S436" i="1" s="1"/>
  <c r="P436" i="1"/>
  <c r="O436" i="1"/>
  <c r="N436" i="1" a="1"/>
  <c r="N436" i="1"/>
  <c r="M436" i="1" a="1"/>
  <c r="M436" i="1"/>
  <c r="L436" i="1" a="1"/>
  <c r="L436" i="1"/>
  <c r="V435" i="1" a="1"/>
  <c r="V435" i="1"/>
  <c r="U435" i="1" a="1"/>
  <c r="U435" i="1"/>
  <c r="T435" i="1"/>
  <c r="Q435" i="1" a="1"/>
  <c r="Q435" i="1"/>
  <c r="R435" i="1" s="1"/>
  <c r="S435" i="1" s="1"/>
  <c r="P435" i="1"/>
  <c r="O435" i="1"/>
  <c r="N435" i="1" a="1"/>
  <c r="N435" i="1"/>
  <c r="M435" i="1" a="1"/>
  <c r="M435" i="1" s="1"/>
  <c r="L435" i="1" a="1"/>
  <c r="L435" i="1"/>
  <c r="V434" i="1" a="1"/>
  <c r="V434" i="1" s="1"/>
  <c r="U434" i="1" a="1"/>
  <c r="U434" i="1"/>
  <c r="T434" i="1"/>
  <c r="Q434" i="1" a="1"/>
  <c r="Q434" i="1" s="1"/>
  <c r="R434" i="1" s="1"/>
  <c r="S434" i="1" s="1"/>
  <c r="P434" i="1"/>
  <c r="O434" i="1"/>
  <c r="N434" i="1" a="1"/>
  <c r="N434" i="1" s="1"/>
  <c r="M434" i="1" a="1"/>
  <c r="M434" i="1" s="1"/>
  <c r="L434" i="1" a="1"/>
  <c r="L434" i="1"/>
  <c r="V433" i="1" a="1"/>
  <c r="V433" i="1" s="1"/>
  <c r="U433" i="1" a="1"/>
  <c r="U433" i="1"/>
  <c r="T433" i="1"/>
  <c r="R433" i="1"/>
  <c r="S433" i="1" s="1"/>
  <c r="Q433" i="1" a="1"/>
  <c r="Q433" i="1" s="1"/>
  <c r="P433" i="1"/>
  <c r="O433" i="1"/>
  <c r="N433" i="1" a="1"/>
  <c r="N433" i="1"/>
  <c r="M433" i="1" a="1"/>
  <c r="M433" i="1"/>
  <c r="L433" i="1" a="1"/>
  <c r="L433" i="1" s="1"/>
  <c r="V432" i="1" a="1"/>
  <c r="V432" i="1" s="1"/>
  <c r="U432" i="1" a="1"/>
  <c r="U432" i="1" s="1"/>
  <c r="T432" i="1"/>
  <c r="Q432" i="1" a="1"/>
  <c r="Q432" i="1"/>
  <c r="R432" i="1" s="1"/>
  <c r="S432" i="1" s="1"/>
  <c r="P432" i="1"/>
  <c r="O432" i="1"/>
  <c r="N432" i="1" a="1"/>
  <c r="N432" i="1"/>
  <c r="M432" i="1" a="1"/>
  <c r="M432" i="1"/>
  <c r="L432" i="1" a="1"/>
  <c r="L432" i="1" s="1"/>
  <c r="V431" i="1" a="1"/>
  <c r="V431" i="1"/>
  <c r="U431" i="1" a="1"/>
  <c r="U431" i="1"/>
  <c r="T431" i="1"/>
  <c r="Q431" i="1" a="1"/>
  <c r="Q431" i="1" s="1"/>
  <c r="R431" i="1" s="1"/>
  <c r="S431" i="1" s="1"/>
  <c r="P431" i="1"/>
  <c r="O431" i="1"/>
  <c r="N431" i="1" a="1"/>
  <c r="N431" i="1" s="1"/>
  <c r="M431" i="1" a="1"/>
  <c r="M431" i="1"/>
  <c r="L431" i="1" a="1"/>
  <c r="L431" i="1"/>
  <c r="V430" i="1" a="1"/>
  <c r="V430" i="1" s="1"/>
  <c r="U430" i="1" a="1"/>
  <c r="U430" i="1"/>
  <c r="T430" i="1"/>
  <c r="Q430" i="1" a="1"/>
  <c r="Q430" i="1" s="1"/>
  <c r="R430" i="1" s="1"/>
  <c r="S430" i="1" s="1"/>
  <c r="P430" i="1"/>
  <c r="O430" i="1"/>
  <c r="N430" i="1" a="1"/>
  <c r="N430" i="1"/>
  <c r="M430" i="1" a="1"/>
  <c r="M430" i="1"/>
  <c r="L430" i="1" a="1"/>
  <c r="L430" i="1"/>
  <c r="V429" i="1" a="1"/>
  <c r="V429" i="1" s="1"/>
  <c r="U429" i="1" a="1"/>
  <c r="U429" i="1" s="1"/>
  <c r="T429" i="1"/>
  <c r="Q429" i="1" a="1"/>
  <c r="Q429" i="1" s="1"/>
  <c r="R429" i="1" s="1"/>
  <c r="S429" i="1" s="1"/>
  <c r="P429" i="1"/>
  <c r="O429" i="1"/>
  <c r="N429" i="1" a="1"/>
  <c r="N429" i="1" s="1"/>
  <c r="M429" i="1" a="1"/>
  <c r="M429" i="1" s="1"/>
  <c r="L429" i="1" a="1"/>
  <c r="L429" i="1" s="1"/>
  <c r="V428" i="1" a="1"/>
  <c r="V428" i="1"/>
  <c r="U428" i="1" a="1"/>
  <c r="U428" i="1" s="1"/>
  <c r="T428" i="1"/>
  <c r="R428" i="1"/>
  <c r="S428" i="1" s="1"/>
  <c r="Q428" i="1" a="1"/>
  <c r="Q428" i="1"/>
  <c r="P428" i="1"/>
  <c r="O428" i="1"/>
  <c r="N428" i="1" a="1"/>
  <c r="N428" i="1" s="1"/>
  <c r="M428" i="1" a="1"/>
  <c r="M428" i="1"/>
  <c r="L428" i="1" a="1"/>
  <c r="L428" i="1"/>
  <c r="V427" i="1" a="1"/>
  <c r="V427" i="1"/>
  <c r="U427" i="1" a="1"/>
  <c r="U427" i="1" s="1"/>
  <c r="T427" i="1"/>
  <c r="S427" i="1"/>
  <c r="Q427" i="1" a="1"/>
  <c r="Q427" i="1" s="1"/>
  <c r="R427" i="1" s="1"/>
  <c r="P427" i="1"/>
  <c r="O427" i="1"/>
  <c r="N427" i="1" a="1"/>
  <c r="N427" i="1" s="1"/>
  <c r="M427" i="1" a="1"/>
  <c r="M427" i="1" s="1"/>
  <c r="L427" i="1" a="1"/>
  <c r="L427" i="1"/>
  <c r="V426" i="1" a="1"/>
  <c r="V426" i="1" s="1"/>
  <c r="U426" i="1" a="1"/>
  <c r="U426" i="1" s="1"/>
  <c r="T426" i="1"/>
  <c r="Q426" i="1" a="1"/>
  <c r="Q426" i="1" s="1"/>
  <c r="R426" i="1" s="1"/>
  <c r="S426" i="1" s="1"/>
  <c r="P426" i="1"/>
  <c r="O426" i="1"/>
  <c r="N426" i="1" a="1"/>
  <c r="N426" i="1"/>
  <c r="M426" i="1" a="1"/>
  <c r="M426" i="1" s="1"/>
  <c r="L426" i="1" a="1"/>
  <c r="L426" i="1" s="1"/>
  <c r="V425" i="1" a="1"/>
  <c r="V425" i="1"/>
  <c r="U425" i="1" a="1"/>
  <c r="U425" i="1" s="1"/>
  <c r="T425" i="1"/>
  <c r="R425" i="1"/>
  <c r="S425" i="1" s="1"/>
  <c r="Q425" i="1" a="1"/>
  <c r="Q425" i="1" s="1"/>
  <c r="P425" i="1"/>
  <c r="O425" i="1"/>
  <c r="N425" i="1" a="1"/>
  <c r="N425" i="1" s="1"/>
  <c r="M425" i="1" a="1"/>
  <c r="M425" i="1"/>
  <c r="L425" i="1" a="1"/>
  <c r="L425" i="1" s="1"/>
  <c r="V424" i="1" a="1"/>
  <c r="V424" i="1" s="1"/>
  <c r="U424" i="1" a="1"/>
  <c r="U424" i="1" s="1"/>
  <c r="T424" i="1"/>
  <c r="Q424" i="1" a="1"/>
  <c r="Q424" i="1"/>
  <c r="R424" i="1" s="1"/>
  <c r="S424" i="1" s="1"/>
  <c r="P424" i="1"/>
  <c r="O424" i="1"/>
  <c r="N424" i="1" a="1"/>
  <c r="N424" i="1"/>
  <c r="M424" i="1" a="1"/>
  <c r="M424" i="1"/>
  <c r="L424" i="1" a="1"/>
  <c r="L424" i="1"/>
  <c r="V423" i="1" a="1"/>
  <c r="V423" i="1" s="1"/>
  <c r="U423" i="1" a="1"/>
  <c r="U423" i="1"/>
  <c r="T423" i="1"/>
  <c r="Q423" i="1" a="1"/>
  <c r="Q423" i="1" s="1"/>
  <c r="R423" i="1" s="1"/>
  <c r="S423" i="1" s="1"/>
  <c r="P423" i="1"/>
  <c r="O423" i="1"/>
  <c r="N423" i="1" a="1"/>
  <c r="N423" i="1" s="1"/>
  <c r="M423" i="1" a="1"/>
  <c r="M423" i="1" s="1"/>
  <c r="L423" i="1" a="1"/>
  <c r="L423" i="1"/>
  <c r="V422" i="1" a="1"/>
  <c r="V422" i="1"/>
  <c r="U422" i="1" a="1"/>
  <c r="U422" i="1"/>
  <c r="T422" i="1"/>
  <c r="Q422" i="1" a="1"/>
  <c r="Q422" i="1" s="1"/>
  <c r="R422" i="1" s="1"/>
  <c r="S422" i="1" s="1"/>
  <c r="P422" i="1"/>
  <c r="O422" i="1"/>
  <c r="N422" i="1" a="1"/>
  <c r="N422" i="1"/>
  <c r="M422" i="1" a="1"/>
  <c r="M422" i="1" s="1"/>
  <c r="L422" i="1" a="1"/>
  <c r="L422" i="1" s="1"/>
  <c r="V421" i="1" a="1"/>
  <c r="V421" i="1"/>
  <c r="U421" i="1" a="1"/>
  <c r="U421" i="1" s="1"/>
  <c r="T421" i="1"/>
  <c r="Q421" i="1" a="1"/>
  <c r="Q421" i="1"/>
  <c r="R421" i="1" s="1"/>
  <c r="S421" i="1" s="1"/>
  <c r="P421" i="1"/>
  <c r="O421" i="1"/>
  <c r="N421" i="1" a="1"/>
  <c r="N421" i="1" s="1"/>
  <c r="M421" i="1" a="1"/>
  <c r="M421" i="1" s="1"/>
  <c r="L421" i="1" a="1"/>
  <c r="L421" i="1" s="1"/>
  <c r="V420" i="1" a="1"/>
  <c r="V420" i="1" s="1"/>
  <c r="U420" i="1" a="1"/>
  <c r="U420" i="1"/>
  <c r="T420" i="1"/>
  <c r="Q420" i="1" a="1"/>
  <c r="Q420" i="1" s="1"/>
  <c r="R420" i="1" s="1"/>
  <c r="S420" i="1" s="1"/>
  <c r="P420" i="1"/>
  <c r="O420" i="1"/>
  <c r="N420" i="1" a="1"/>
  <c r="N420" i="1"/>
  <c r="M420" i="1" a="1"/>
  <c r="M420" i="1"/>
  <c r="L420" i="1" a="1"/>
  <c r="L420" i="1"/>
  <c r="V419" i="1" a="1"/>
  <c r="V419" i="1"/>
  <c r="U419" i="1" a="1"/>
  <c r="U419" i="1" s="1"/>
  <c r="T419" i="1"/>
  <c r="S419" i="1"/>
  <c r="Q419" i="1" a="1"/>
  <c r="Q419" i="1" s="1"/>
  <c r="R419" i="1" s="1"/>
  <c r="P419" i="1"/>
  <c r="O419" i="1"/>
  <c r="N419" i="1" a="1"/>
  <c r="N419" i="1"/>
  <c r="M419" i="1" a="1"/>
  <c r="M419" i="1"/>
  <c r="L419" i="1" a="1"/>
  <c r="L419" i="1"/>
  <c r="V418" i="1" a="1"/>
  <c r="V418" i="1" s="1"/>
  <c r="U418" i="1" a="1"/>
  <c r="U418" i="1" s="1"/>
  <c r="T418" i="1"/>
  <c r="Q418" i="1" a="1"/>
  <c r="Q418" i="1"/>
  <c r="R418" i="1" s="1"/>
  <c r="S418" i="1" s="1"/>
  <c r="P418" i="1"/>
  <c r="O418" i="1"/>
  <c r="N418" i="1" a="1"/>
  <c r="N418" i="1" s="1"/>
  <c r="M418" i="1" a="1"/>
  <c r="M418" i="1"/>
  <c r="L418" i="1" a="1"/>
  <c r="L418" i="1" s="1"/>
  <c r="V417" i="1" a="1"/>
  <c r="V417" i="1"/>
  <c r="U417" i="1" a="1"/>
  <c r="U417" i="1"/>
  <c r="T417" i="1"/>
  <c r="R417" i="1"/>
  <c r="S417" i="1" s="1"/>
  <c r="Q417" i="1" a="1"/>
  <c r="Q417" i="1" s="1"/>
  <c r="P417" i="1"/>
  <c r="O417" i="1"/>
  <c r="N417" i="1" a="1"/>
  <c r="N417" i="1" s="1"/>
  <c r="M417" i="1" a="1"/>
  <c r="M417" i="1"/>
  <c r="L417" i="1" a="1"/>
  <c r="L417" i="1"/>
  <c r="V416" i="1" a="1"/>
  <c r="V416" i="1"/>
  <c r="U416" i="1" a="1"/>
  <c r="U416" i="1" s="1"/>
  <c r="T416" i="1"/>
  <c r="Q416" i="1" a="1"/>
  <c r="Q416" i="1" s="1"/>
  <c r="R416" i="1" s="1"/>
  <c r="S416" i="1" s="1"/>
  <c r="P416" i="1"/>
  <c r="O416" i="1"/>
  <c r="N416" i="1" a="1"/>
  <c r="N416" i="1"/>
  <c r="M416" i="1" a="1"/>
  <c r="M416" i="1"/>
  <c r="L416" i="1" a="1"/>
  <c r="L416" i="1"/>
  <c r="V415" i="1" a="1"/>
  <c r="V415" i="1" s="1"/>
  <c r="U415" i="1" a="1"/>
  <c r="U415" i="1" s="1"/>
  <c r="T415" i="1"/>
  <c r="Q415" i="1" a="1"/>
  <c r="Q415" i="1" s="1"/>
  <c r="R415" i="1" s="1"/>
  <c r="S415" i="1" s="1"/>
  <c r="P415" i="1"/>
  <c r="O415" i="1"/>
  <c r="N415" i="1" a="1"/>
  <c r="N415" i="1" s="1"/>
  <c r="M415" i="1" a="1"/>
  <c r="M415" i="1" s="1"/>
  <c r="L415" i="1" a="1"/>
  <c r="L415" i="1" s="1"/>
  <c r="V414" i="1" a="1"/>
  <c r="V414" i="1"/>
  <c r="U414" i="1" a="1"/>
  <c r="U414" i="1" s="1"/>
  <c r="T414" i="1"/>
  <c r="Q414" i="1" a="1"/>
  <c r="Q414" i="1"/>
  <c r="R414" i="1" s="1"/>
  <c r="S414" i="1" s="1"/>
  <c r="P414" i="1"/>
  <c r="O414" i="1"/>
  <c r="N414" i="1" a="1"/>
  <c r="N414" i="1" s="1"/>
  <c r="M414" i="1" a="1"/>
  <c r="M414" i="1"/>
  <c r="L414" i="1" a="1"/>
  <c r="L414" i="1" s="1"/>
  <c r="V413" i="1" a="1"/>
  <c r="V413" i="1"/>
  <c r="U413" i="1" a="1"/>
  <c r="U413" i="1"/>
  <c r="T413" i="1"/>
  <c r="Q413" i="1" a="1"/>
  <c r="Q413" i="1"/>
  <c r="R413" i="1" s="1"/>
  <c r="S413" i="1" s="1"/>
  <c r="P413" i="1"/>
  <c r="O413" i="1"/>
  <c r="N413" i="1" a="1"/>
  <c r="N413" i="1" s="1"/>
  <c r="M413" i="1" a="1"/>
  <c r="M413" i="1"/>
  <c r="L413" i="1" a="1"/>
  <c r="L413" i="1" s="1"/>
  <c r="V412" i="1" a="1"/>
  <c r="V412" i="1" s="1"/>
  <c r="U412" i="1" a="1"/>
  <c r="U412" i="1" s="1"/>
  <c r="T412" i="1"/>
  <c r="Q412" i="1" a="1"/>
  <c r="Q412" i="1"/>
  <c r="R412" i="1" s="1"/>
  <c r="S412" i="1" s="1"/>
  <c r="P412" i="1"/>
  <c r="O412" i="1"/>
  <c r="N412" i="1" a="1"/>
  <c r="N412" i="1"/>
  <c r="M412" i="1" a="1"/>
  <c r="M412" i="1" s="1"/>
  <c r="L412" i="1" a="1"/>
  <c r="L412" i="1"/>
  <c r="V411" i="1" a="1"/>
  <c r="V411" i="1"/>
  <c r="U411" i="1" a="1"/>
  <c r="U411" i="1"/>
  <c r="T411" i="1"/>
  <c r="S411" i="1"/>
  <c r="R411" i="1"/>
  <c r="Q411" i="1" a="1"/>
  <c r="Q411" i="1" s="1"/>
  <c r="P411" i="1"/>
  <c r="O411" i="1"/>
  <c r="N411" i="1" a="1"/>
  <c r="N411" i="1"/>
  <c r="M411" i="1" a="1"/>
  <c r="M411" i="1" s="1"/>
  <c r="L411" i="1" a="1"/>
  <c r="L411" i="1"/>
  <c r="V410" i="1" a="1"/>
  <c r="V410" i="1"/>
  <c r="U410" i="1" a="1"/>
  <c r="U410" i="1" s="1"/>
  <c r="T410" i="1"/>
  <c r="Q410" i="1" a="1"/>
  <c r="Q410" i="1"/>
  <c r="R410" i="1" s="1"/>
  <c r="S410" i="1" s="1"/>
  <c r="P410" i="1"/>
  <c r="O410" i="1"/>
  <c r="N410" i="1" a="1"/>
  <c r="N410" i="1" s="1"/>
  <c r="M410" i="1" a="1"/>
  <c r="M410" i="1" s="1"/>
  <c r="L410" i="1" a="1"/>
  <c r="L410" i="1" s="1"/>
  <c r="V409" i="1" a="1"/>
  <c r="V409" i="1" s="1"/>
  <c r="U409" i="1" a="1"/>
  <c r="U409" i="1"/>
  <c r="T409" i="1"/>
  <c r="Q409" i="1" a="1"/>
  <c r="Q409" i="1" s="1"/>
  <c r="R409" i="1" s="1"/>
  <c r="S409" i="1" s="1"/>
  <c r="P409" i="1"/>
  <c r="O409" i="1"/>
  <c r="N409" i="1" a="1"/>
  <c r="N409" i="1" s="1"/>
  <c r="M409" i="1" a="1"/>
  <c r="M409" i="1"/>
  <c r="L409" i="1" a="1"/>
  <c r="L409" i="1" s="1"/>
  <c r="V408" i="1" a="1"/>
  <c r="V408" i="1" s="1"/>
  <c r="U408" i="1" a="1"/>
  <c r="U408" i="1"/>
  <c r="T408" i="1"/>
  <c r="Q408" i="1" a="1"/>
  <c r="Q408" i="1" s="1"/>
  <c r="R408" i="1" s="1"/>
  <c r="S408" i="1" s="1"/>
  <c r="P408" i="1"/>
  <c r="O408" i="1"/>
  <c r="N408" i="1" a="1"/>
  <c r="N408" i="1"/>
  <c r="M408" i="1" a="1"/>
  <c r="M408" i="1"/>
  <c r="L408" i="1" a="1"/>
  <c r="L408" i="1"/>
  <c r="V407" i="1" a="1"/>
  <c r="V407" i="1" s="1"/>
  <c r="U407" i="1" a="1"/>
  <c r="U407" i="1" s="1"/>
  <c r="T407" i="1"/>
  <c r="Q407" i="1" a="1"/>
  <c r="Q407" i="1"/>
  <c r="R407" i="1" s="1"/>
  <c r="S407" i="1" s="1"/>
  <c r="P407" i="1"/>
  <c r="O407" i="1"/>
  <c r="N407" i="1" a="1"/>
  <c r="N407" i="1" s="1"/>
  <c r="M407" i="1" a="1"/>
  <c r="M407" i="1"/>
  <c r="L407" i="1" a="1"/>
  <c r="L407" i="1" s="1"/>
  <c r="V406" i="1" a="1"/>
  <c r="V406" i="1" s="1"/>
  <c r="U406" i="1" a="1"/>
  <c r="U406" i="1"/>
  <c r="T406" i="1"/>
  <c r="Q406" i="1" a="1"/>
  <c r="Q406" i="1" s="1"/>
  <c r="R406" i="1" s="1"/>
  <c r="S406" i="1" s="1"/>
  <c r="P406" i="1"/>
  <c r="O406" i="1"/>
  <c r="N406" i="1" a="1"/>
  <c r="N406" i="1" s="1"/>
  <c r="M406" i="1" a="1"/>
  <c r="M406" i="1"/>
  <c r="L406" i="1" a="1"/>
  <c r="L406" i="1" s="1"/>
  <c r="V405" i="1" a="1"/>
  <c r="V405" i="1"/>
  <c r="U405" i="1" a="1"/>
  <c r="U405" i="1"/>
  <c r="T405" i="1"/>
  <c r="S405" i="1"/>
  <c r="R405" i="1"/>
  <c r="Q405" i="1" a="1"/>
  <c r="Q405" i="1" s="1"/>
  <c r="P405" i="1"/>
  <c r="O405" i="1"/>
  <c r="N405" i="1" a="1"/>
  <c r="N405" i="1" s="1"/>
  <c r="M405" i="1" a="1"/>
  <c r="M405" i="1"/>
  <c r="L405" i="1" a="1"/>
  <c r="L405" i="1" s="1"/>
  <c r="V404" i="1" a="1"/>
  <c r="V404" i="1" s="1"/>
  <c r="U404" i="1" a="1"/>
  <c r="U404" i="1" s="1"/>
  <c r="T404" i="1"/>
  <c r="Q404" i="1" a="1"/>
  <c r="Q404" i="1"/>
  <c r="R404" i="1" s="1"/>
  <c r="S404" i="1" s="1"/>
  <c r="P404" i="1"/>
  <c r="O404" i="1"/>
  <c r="N404" i="1" a="1"/>
  <c r="N404" i="1"/>
  <c r="M404" i="1" a="1"/>
  <c r="M404" i="1"/>
  <c r="L404" i="1" a="1"/>
  <c r="L404" i="1"/>
  <c r="V403" i="1" a="1"/>
  <c r="V403" i="1"/>
  <c r="U403" i="1" a="1"/>
  <c r="U403" i="1"/>
  <c r="T403" i="1"/>
  <c r="Q403" i="1" a="1"/>
  <c r="Q403" i="1"/>
  <c r="R403" i="1" s="1"/>
  <c r="S403" i="1" s="1"/>
  <c r="P403" i="1"/>
  <c r="O403" i="1"/>
  <c r="N403" i="1" a="1"/>
  <c r="N403" i="1" s="1"/>
  <c r="M403" i="1" a="1"/>
  <c r="M403" i="1"/>
  <c r="L403" i="1" a="1"/>
  <c r="L403" i="1" s="1"/>
  <c r="V402" i="1" a="1"/>
  <c r="V402" i="1" s="1"/>
  <c r="U402" i="1" a="1"/>
  <c r="U402" i="1"/>
  <c r="T402" i="1"/>
  <c r="Q402" i="1" a="1"/>
  <c r="Q402" i="1" s="1"/>
  <c r="R402" i="1" s="1"/>
  <c r="S402" i="1" s="1"/>
  <c r="P402" i="1"/>
  <c r="O402" i="1"/>
  <c r="N402" i="1" a="1"/>
  <c r="N402" i="1" s="1"/>
  <c r="M402" i="1" a="1"/>
  <c r="M402" i="1" s="1"/>
  <c r="L402" i="1" a="1"/>
  <c r="L402" i="1"/>
  <c r="V401" i="1" a="1"/>
  <c r="V401" i="1"/>
  <c r="U401" i="1" a="1"/>
  <c r="U401" i="1" s="1"/>
  <c r="T401" i="1"/>
  <c r="S401" i="1"/>
  <c r="R401" i="1"/>
  <c r="Q401" i="1" a="1"/>
  <c r="Q401" i="1"/>
  <c r="P401" i="1"/>
  <c r="O401" i="1"/>
  <c r="N401" i="1" a="1"/>
  <c r="N401" i="1" s="1"/>
  <c r="M401" i="1" a="1"/>
  <c r="M401" i="1" s="1"/>
  <c r="L401" i="1" a="1"/>
  <c r="L401" i="1" s="1"/>
  <c r="V400" i="1" a="1"/>
  <c r="V400" i="1"/>
  <c r="U400" i="1" a="1"/>
  <c r="U400" i="1" s="1"/>
  <c r="T400" i="1"/>
  <c r="R400" i="1"/>
  <c r="S400" i="1" s="1"/>
  <c r="Q400" i="1" a="1"/>
  <c r="Q400" i="1"/>
  <c r="P400" i="1"/>
  <c r="O400" i="1"/>
  <c r="N400" i="1" a="1"/>
  <c r="N400" i="1"/>
  <c r="M400" i="1" a="1"/>
  <c r="M400" i="1"/>
  <c r="L400" i="1" a="1"/>
  <c r="L400" i="1"/>
  <c r="V399" i="1" a="1"/>
  <c r="V399" i="1"/>
  <c r="U399" i="1" a="1"/>
  <c r="U399" i="1"/>
  <c r="T399" i="1"/>
  <c r="Q399" i="1" a="1"/>
  <c r="Q399" i="1"/>
  <c r="R399" i="1" s="1"/>
  <c r="S399" i="1" s="1"/>
  <c r="P399" i="1"/>
  <c r="O399" i="1"/>
  <c r="N399" i="1" a="1"/>
  <c r="N399" i="1" s="1"/>
  <c r="M399" i="1" a="1"/>
  <c r="M399" i="1" s="1"/>
  <c r="L399" i="1" a="1"/>
  <c r="L399" i="1"/>
  <c r="V398" i="1" a="1"/>
  <c r="V398" i="1" s="1"/>
  <c r="U398" i="1" a="1"/>
  <c r="U398" i="1"/>
  <c r="T398" i="1"/>
  <c r="Q398" i="1" a="1"/>
  <c r="Q398" i="1" s="1"/>
  <c r="R398" i="1" s="1"/>
  <c r="S398" i="1" s="1"/>
  <c r="P398" i="1"/>
  <c r="O398" i="1"/>
  <c r="N398" i="1" a="1"/>
  <c r="N398" i="1" s="1"/>
  <c r="M398" i="1" a="1"/>
  <c r="M398" i="1" s="1"/>
  <c r="L398" i="1" a="1"/>
  <c r="L398" i="1" s="1"/>
  <c r="V397" i="1" a="1"/>
  <c r="V397" i="1" s="1"/>
  <c r="U397" i="1" a="1"/>
  <c r="U397" i="1"/>
  <c r="T397" i="1"/>
  <c r="Q397" i="1" a="1"/>
  <c r="Q397" i="1" s="1"/>
  <c r="R397" i="1" s="1"/>
  <c r="S397" i="1" s="1"/>
  <c r="P397" i="1"/>
  <c r="O397" i="1"/>
  <c r="N397" i="1" a="1"/>
  <c r="N397" i="1" s="1"/>
  <c r="M397" i="1" a="1"/>
  <c r="M397" i="1"/>
  <c r="L397" i="1" a="1"/>
  <c r="L397" i="1" s="1"/>
  <c r="V396" i="1" a="1"/>
  <c r="V396" i="1"/>
  <c r="U396" i="1" a="1"/>
  <c r="U396" i="1" s="1"/>
  <c r="T396" i="1"/>
  <c r="Q396" i="1" a="1"/>
  <c r="Q396" i="1"/>
  <c r="R396" i="1" s="1"/>
  <c r="S396" i="1" s="1"/>
  <c r="P396" i="1"/>
  <c r="O396" i="1"/>
  <c r="N396" i="1" a="1"/>
  <c r="N396" i="1" s="1"/>
  <c r="M396" i="1" a="1"/>
  <c r="M396" i="1"/>
  <c r="L396" i="1" a="1"/>
  <c r="L396" i="1" s="1"/>
  <c r="V395" i="1" a="1"/>
  <c r="V395" i="1"/>
  <c r="U395" i="1" a="1"/>
  <c r="U395" i="1" s="1"/>
  <c r="T395" i="1"/>
  <c r="R395" i="1"/>
  <c r="S395" i="1" s="1"/>
  <c r="Q395" i="1" a="1"/>
  <c r="Q395" i="1" s="1"/>
  <c r="P395" i="1"/>
  <c r="O395" i="1"/>
  <c r="N395" i="1" a="1"/>
  <c r="N395" i="1" s="1"/>
  <c r="M395" i="1" a="1"/>
  <c r="M395" i="1" s="1"/>
  <c r="L395" i="1" a="1"/>
  <c r="L395" i="1" s="1"/>
  <c r="V394" i="1" a="1"/>
  <c r="V394" i="1"/>
  <c r="U394" i="1" a="1"/>
  <c r="U394" i="1"/>
  <c r="T394" i="1"/>
  <c r="Q394" i="1" a="1"/>
  <c r="Q394" i="1"/>
  <c r="R394" i="1" s="1"/>
  <c r="S394" i="1" s="1"/>
  <c r="P394" i="1"/>
  <c r="O394" i="1"/>
  <c r="N394" i="1" a="1"/>
  <c r="N394" i="1"/>
  <c r="M394" i="1" a="1"/>
  <c r="M394" i="1"/>
  <c r="L394" i="1" a="1"/>
  <c r="L394" i="1" s="1"/>
  <c r="V393" i="1" a="1"/>
  <c r="V393" i="1" s="1"/>
  <c r="U393" i="1" a="1"/>
  <c r="U393" i="1"/>
  <c r="T393" i="1"/>
  <c r="Q393" i="1" a="1"/>
  <c r="Q393" i="1" s="1"/>
  <c r="R393" i="1" s="1"/>
  <c r="S393" i="1" s="1"/>
  <c r="P393" i="1"/>
  <c r="O393" i="1"/>
  <c r="N393" i="1" a="1"/>
  <c r="N393" i="1" s="1"/>
  <c r="M393" i="1" a="1"/>
  <c r="M393" i="1" s="1"/>
  <c r="L393" i="1" a="1"/>
  <c r="L393" i="1"/>
  <c r="V392" i="1" a="1"/>
  <c r="V392" i="1" s="1"/>
  <c r="U392" i="1" a="1"/>
  <c r="U392" i="1" s="1"/>
  <c r="T392" i="1"/>
  <c r="S392" i="1"/>
  <c r="R392" i="1"/>
  <c r="Q392" i="1" a="1"/>
  <c r="Q392" i="1" s="1"/>
  <c r="P392" i="1"/>
  <c r="O392" i="1"/>
  <c r="N392" i="1" a="1"/>
  <c r="N392" i="1"/>
  <c r="M392" i="1" a="1"/>
  <c r="M392" i="1"/>
  <c r="L392" i="1" a="1"/>
  <c r="L392" i="1" s="1"/>
  <c r="V391" i="1" a="1"/>
  <c r="V391" i="1"/>
  <c r="U391" i="1" a="1"/>
  <c r="U391" i="1" s="1"/>
  <c r="T391" i="1"/>
  <c r="S391" i="1"/>
  <c r="R391" i="1"/>
  <c r="Q391" i="1" a="1"/>
  <c r="Q391" i="1" s="1"/>
  <c r="P391" i="1"/>
  <c r="O391" i="1"/>
  <c r="N391" i="1" a="1"/>
  <c r="N391" i="1" s="1"/>
  <c r="M391" i="1" a="1"/>
  <c r="M391" i="1" s="1"/>
  <c r="L391" i="1" a="1"/>
  <c r="L391" i="1"/>
  <c r="V390" i="1" a="1"/>
  <c r="V390" i="1" s="1"/>
  <c r="U390" i="1" a="1"/>
  <c r="U390" i="1" s="1"/>
  <c r="T390" i="1"/>
  <c r="S390" i="1"/>
  <c r="R390" i="1"/>
  <c r="Q390" i="1" a="1"/>
  <c r="Q390" i="1" s="1"/>
  <c r="P390" i="1"/>
  <c r="O390" i="1"/>
  <c r="N390" i="1" a="1"/>
  <c r="N390" i="1"/>
  <c r="M390" i="1" a="1"/>
  <c r="M390" i="1" s="1"/>
  <c r="L390" i="1" a="1"/>
  <c r="L390" i="1"/>
  <c r="V389" i="1" a="1"/>
  <c r="V389" i="1" s="1"/>
  <c r="U389" i="1" a="1"/>
  <c r="U389" i="1" s="1"/>
  <c r="T389" i="1"/>
  <c r="Q389" i="1" a="1"/>
  <c r="Q389" i="1"/>
  <c r="R389" i="1" s="1"/>
  <c r="S389" i="1" s="1"/>
  <c r="P389" i="1"/>
  <c r="O389" i="1"/>
  <c r="N389" i="1" a="1"/>
  <c r="N389" i="1"/>
  <c r="M389" i="1" a="1"/>
  <c r="M389" i="1" s="1"/>
  <c r="L389" i="1" a="1"/>
  <c r="L389" i="1" s="1"/>
  <c r="V388" i="1" a="1"/>
  <c r="V388" i="1" s="1"/>
  <c r="U388" i="1" a="1"/>
  <c r="U388" i="1" s="1"/>
  <c r="T388" i="1"/>
  <c r="Q388" i="1" a="1"/>
  <c r="Q388" i="1" s="1"/>
  <c r="R388" i="1" s="1"/>
  <c r="S388" i="1" s="1"/>
  <c r="P388" i="1"/>
  <c r="O388" i="1"/>
  <c r="N388" i="1" a="1"/>
  <c r="N388" i="1" s="1"/>
  <c r="M388" i="1" a="1"/>
  <c r="M388" i="1"/>
  <c r="L388" i="1" a="1"/>
  <c r="L388" i="1" s="1"/>
  <c r="V387" i="1" a="1"/>
  <c r="V387" i="1"/>
  <c r="U387" i="1" a="1"/>
  <c r="U387" i="1"/>
  <c r="T387" i="1"/>
  <c r="Q387" i="1" a="1"/>
  <c r="Q387" i="1" s="1"/>
  <c r="R387" i="1" s="1"/>
  <c r="S387" i="1" s="1"/>
  <c r="P387" i="1"/>
  <c r="O387" i="1"/>
  <c r="N387" i="1" a="1"/>
  <c r="N387" i="1" s="1"/>
  <c r="M387" i="1" a="1"/>
  <c r="M387" i="1" s="1"/>
  <c r="L387" i="1" a="1"/>
  <c r="L387" i="1" s="1"/>
  <c r="V386" i="1" a="1"/>
  <c r="V386" i="1" s="1"/>
  <c r="U386" i="1" a="1"/>
  <c r="U386" i="1" s="1"/>
  <c r="T386" i="1"/>
  <c r="R386" i="1"/>
  <c r="S386" i="1" s="1"/>
  <c r="Q386" i="1" a="1"/>
  <c r="Q386" i="1"/>
  <c r="P386" i="1"/>
  <c r="O386" i="1"/>
  <c r="N386" i="1" a="1"/>
  <c r="N386" i="1" s="1"/>
  <c r="M386" i="1" a="1"/>
  <c r="M386" i="1" s="1"/>
  <c r="L386" i="1" a="1"/>
  <c r="L386" i="1"/>
  <c r="V385" i="1" a="1"/>
  <c r="V385" i="1" s="1"/>
  <c r="U385" i="1" a="1"/>
  <c r="U385" i="1"/>
  <c r="T385" i="1"/>
  <c r="S385" i="1"/>
  <c r="R385" i="1"/>
  <c r="Q385" i="1" a="1"/>
  <c r="Q385" i="1" s="1"/>
  <c r="P385" i="1"/>
  <c r="O385" i="1"/>
  <c r="N385" i="1" a="1"/>
  <c r="N385" i="1"/>
  <c r="M385" i="1" a="1"/>
  <c r="M385" i="1" s="1"/>
  <c r="L385" i="1" a="1"/>
  <c r="L385" i="1"/>
  <c r="V384" i="1" a="1"/>
  <c r="V384" i="1" s="1"/>
  <c r="U384" i="1" a="1"/>
  <c r="U384" i="1" s="1"/>
  <c r="T384" i="1"/>
  <c r="Q384" i="1" a="1"/>
  <c r="Q384" i="1" s="1"/>
  <c r="R384" i="1" s="1"/>
  <c r="S384" i="1" s="1"/>
  <c r="P384" i="1"/>
  <c r="O384" i="1"/>
  <c r="N384" i="1" a="1"/>
  <c r="N384" i="1" s="1"/>
  <c r="M384" i="1" a="1"/>
  <c r="M384" i="1" s="1"/>
  <c r="L384" i="1" a="1"/>
  <c r="L384" i="1" s="1"/>
  <c r="V383" i="1" a="1"/>
  <c r="V383" i="1"/>
  <c r="U383" i="1" a="1"/>
  <c r="U383" i="1" s="1"/>
  <c r="T383" i="1"/>
  <c r="Q383" i="1" a="1"/>
  <c r="Q383" i="1" s="1"/>
  <c r="R383" i="1" s="1"/>
  <c r="S383" i="1" s="1"/>
  <c r="P383" i="1"/>
  <c r="O383" i="1"/>
  <c r="N383" i="1" a="1"/>
  <c r="N383" i="1" s="1"/>
  <c r="M383" i="1" a="1"/>
  <c r="M383" i="1"/>
  <c r="L383" i="1" a="1"/>
  <c r="L383" i="1" s="1"/>
  <c r="V382" i="1" a="1"/>
  <c r="V382" i="1" s="1"/>
  <c r="U382" i="1" a="1"/>
  <c r="U382" i="1"/>
  <c r="T382" i="1"/>
  <c r="Q382" i="1" a="1"/>
  <c r="Q382" i="1"/>
  <c r="R382" i="1" s="1"/>
  <c r="S382" i="1" s="1"/>
  <c r="P382" i="1"/>
  <c r="O382" i="1"/>
  <c r="N382" i="1" a="1"/>
  <c r="N382" i="1"/>
  <c r="M382" i="1" a="1"/>
  <c r="M382" i="1" s="1"/>
  <c r="L382" i="1" a="1"/>
  <c r="L382" i="1"/>
  <c r="V381" i="1" a="1"/>
  <c r="V381" i="1" s="1"/>
  <c r="U381" i="1" a="1"/>
  <c r="U381" i="1"/>
  <c r="T381" i="1"/>
  <c r="Q381" i="1" a="1"/>
  <c r="Q381" i="1" s="1"/>
  <c r="R381" i="1" s="1"/>
  <c r="S381" i="1" s="1"/>
  <c r="P381" i="1"/>
  <c r="O381" i="1"/>
  <c r="N381" i="1" a="1"/>
  <c r="N381" i="1" s="1"/>
  <c r="M381" i="1" a="1"/>
  <c r="M381" i="1" s="1"/>
  <c r="L381" i="1" a="1"/>
  <c r="L381" i="1"/>
  <c r="V380" i="1" a="1"/>
  <c r="V380" i="1" s="1"/>
  <c r="U380" i="1" a="1"/>
  <c r="U380" i="1"/>
  <c r="T380" i="1"/>
  <c r="Q380" i="1" a="1"/>
  <c r="Q380" i="1" s="1"/>
  <c r="R380" i="1" s="1"/>
  <c r="S380" i="1" s="1"/>
  <c r="P380" i="1"/>
  <c r="O380" i="1"/>
  <c r="N380" i="1" a="1"/>
  <c r="N380" i="1"/>
  <c r="M380" i="1" a="1"/>
  <c r="M380" i="1"/>
  <c r="L380" i="1" a="1"/>
  <c r="L380" i="1"/>
  <c r="V379" i="1" a="1"/>
  <c r="V379" i="1"/>
  <c r="U379" i="1" a="1"/>
  <c r="U379" i="1" s="1"/>
  <c r="T379" i="1"/>
  <c r="S379" i="1"/>
  <c r="R379" i="1"/>
  <c r="Q379" i="1" a="1"/>
  <c r="Q379" i="1" s="1"/>
  <c r="P379" i="1"/>
  <c r="O379" i="1"/>
  <c r="N379" i="1" a="1"/>
  <c r="N379" i="1" s="1"/>
  <c r="M379" i="1" a="1"/>
  <c r="M379" i="1" s="1"/>
  <c r="L379" i="1" a="1"/>
  <c r="L379" i="1"/>
  <c r="V378" i="1" a="1"/>
  <c r="V378" i="1" s="1"/>
  <c r="U378" i="1" a="1"/>
  <c r="U378" i="1" s="1"/>
  <c r="T378" i="1"/>
  <c r="Q378" i="1" a="1"/>
  <c r="Q378" i="1" s="1"/>
  <c r="R378" i="1" s="1"/>
  <c r="S378" i="1" s="1"/>
  <c r="P378" i="1"/>
  <c r="O378" i="1"/>
  <c r="N378" i="1" a="1"/>
  <c r="N378" i="1"/>
  <c r="M378" i="1" a="1"/>
  <c r="M378" i="1"/>
  <c r="L378" i="1" a="1"/>
  <c r="L378" i="1"/>
  <c r="V377" i="1" a="1"/>
  <c r="V377" i="1"/>
  <c r="U377" i="1" a="1"/>
  <c r="U377" i="1" s="1"/>
  <c r="T377" i="1"/>
  <c r="Q377" i="1" a="1"/>
  <c r="Q377" i="1"/>
  <c r="R377" i="1" s="1"/>
  <c r="S377" i="1" s="1"/>
  <c r="P377" i="1"/>
  <c r="O377" i="1"/>
  <c r="N377" i="1" a="1"/>
  <c r="N377" i="1" s="1"/>
  <c r="M377" i="1" a="1"/>
  <c r="M377" i="1" s="1"/>
  <c r="L377" i="1" a="1"/>
  <c r="L377" i="1" s="1"/>
  <c r="V376" i="1" a="1"/>
  <c r="V376" i="1"/>
  <c r="U376" i="1" a="1"/>
  <c r="U376" i="1"/>
  <c r="T376" i="1"/>
  <c r="Q376" i="1" a="1"/>
  <c r="Q376" i="1"/>
  <c r="R376" i="1" s="1"/>
  <c r="S376" i="1" s="1"/>
  <c r="P376" i="1"/>
  <c r="O376" i="1"/>
  <c r="N376" i="1" a="1"/>
  <c r="N376" i="1" s="1"/>
  <c r="M376" i="1" a="1"/>
  <c r="M376" i="1"/>
  <c r="L376" i="1" a="1"/>
  <c r="L376" i="1" s="1"/>
  <c r="V375" i="1" a="1"/>
  <c r="V375" i="1"/>
  <c r="U375" i="1" a="1"/>
  <c r="U375" i="1" s="1"/>
  <c r="T375" i="1"/>
  <c r="S375" i="1"/>
  <c r="R375" i="1"/>
  <c r="Q375" i="1" a="1"/>
  <c r="Q375" i="1"/>
  <c r="P375" i="1"/>
  <c r="O375" i="1"/>
  <c r="N375" i="1" a="1"/>
  <c r="N375" i="1" s="1"/>
  <c r="M375" i="1" a="1"/>
  <c r="M375" i="1" s="1"/>
  <c r="L375" i="1" a="1"/>
  <c r="L375" i="1" s="1"/>
  <c r="V374" i="1" a="1"/>
  <c r="V374" i="1" s="1"/>
  <c r="U374" i="1" a="1"/>
  <c r="U374" i="1" s="1"/>
  <c r="T374" i="1"/>
  <c r="R374" i="1"/>
  <c r="S374" i="1" s="1"/>
  <c r="Q374" i="1" a="1"/>
  <c r="Q374" i="1"/>
  <c r="P374" i="1"/>
  <c r="O374" i="1"/>
  <c r="N374" i="1" a="1"/>
  <c r="N374" i="1" s="1"/>
  <c r="M374" i="1" a="1"/>
  <c r="M374" i="1" s="1"/>
  <c r="L374" i="1" a="1"/>
  <c r="L374" i="1"/>
  <c r="V373" i="1" a="1"/>
  <c r="V373" i="1" s="1"/>
  <c r="U373" i="1" a="1"/>
  <c r="U373" i="1"/>
  <c r="T373" i="1"/>
  <c r="Q373" i="1" a="1"/>
  <c r="Q373" i="1" s="1"/>
  <c r="R373" i="1" s="1"/>
  <c r="S373" i="1" s="1"/>
  <c r="P373" i="1"/>
  <c r="O373" i="1"/>
  <c r="N373" i="1" a="1"/>
  <c r="N373" i="1" s="1"/>
  <c r="M373" i="1" a="1"/>
  <c r="M373" i="1" s="1"/>
  <c r="L373" i="1" a="1"/>
  <c r="L373" i="1"/>
  <c r="V372" i="1" a="1"/>
  <c r="V372" i="1" s="1"/>
  <c r="U372" i="1" a="1"/>
  <c r="U372" i="1" s="1"/>
  <c r="T372" i="1"/>
  <c r="R372" i="1"/>
  <c r="S372" i="1" s="1"/>
  <c r="Q372" i="1" a="1"/>
  <c r="Q372" i="1"/>
  <c r="P372" i="1"/>
  <c r="O372" i="1"/>
  <c r="N372" i="1" a="1"/>
  <c r="N372" i="1" s="1"/>
  <c r="M372" i="1" a="1"/>
  <c r="M372" i="1"/>
  <c r="L372" i="1" a="1"/>
  <c r="L372" i="1" s="1"/>
  <c r="V371" i="1" a="1"/>
  <c r="V371" i="1"/>
  <c r="U371" i="1" a="1"/>
  <c r="U371" i="1"/>
  <c r="T371" i="1"/>
  <c r="S371" i="1"/>
  <c r="Q371" i="1" a="1"/>
  <c r="Q371" i="1" s="1"/>
  <c r="R371" i="1" s="1"/>
  <c r="P371" i="1"/>
  <c r="O371" i="1"/>
  <c r="N371" i="1" a="1"/>
  <c r="N371" i="1" s="1"/>
  <c r="M371" i="1" a="1"/>
  <c r="M371" i="1"/>
  <c r="L371" i="1" a="1"/>
  <c r="L371" i="1" s="1"/>
  <c r="V370" i="1" a="1"/>
  <c r="V370" i="1" s="1"/>
  <c r="U370" i="1" a="1"/>
  <c r="U370" i="1" s="1"/>
  <c r="T370" i="1"/>
  <c r="Q370" i="1" a="1"/>
  <c r="Q370" i="1"/>
  <c r="R370" i="1" s="1"/>
  <c r="S370" i="1" s="1"/>
  <c r="P370" i="1"/>
  <c r="O370" i="1"/>
  <c r="N370" i="1" a="1"/>
  <c r="N370" i="1"/>
  <c r="M370" i="1" a="1"/>
  <c r="M370" i="1" s="1"/>
  <c r="L370" i="1" a="1"/>
  <c r="L370" i="1" s="1"/>
  <c r="V369" i="1" a="1"/>
  <c r="V369" i="1" s="1"/>
  <c r="U369" i="1" a="1"/>
  <c r="U369" i="1"/>
  <c r="T369" i="1"/>
  <c r="Q369" i="1" a="1"/>
  <c r="Q369" i="1" s="1"/>
  <c r="R369" i="1" s="1"/>
  <c r="S369" i="1" s="1"/>
  <c r="P369" i="1"/>
  <c r="O369" i="1"/>
  <c r="N369" i="1" a="1"/>
  <c r="N369" i="1" s="1"/>
  <c r="M369" i="1" a="1"/>
  <c r="M369" i="1" s="1"/>
  <c r="L369" i="1" a="1"/>
  <c r="L369" i="1" s="1"/>
  <c r="V368" i="1" a="1"/>
  <c r="V368" i="1" s="1"/>
  <c r="U368" i="1" a="1"/>
  <c r="U368" i="1"/>
  <c r="T368" i="1"/>
  <c r="Q368" i="1" a="1"/>
  <c r="Q368" i="1" s="1"/>
  <c r="R368" i="1" s="1"/>
  <c r="S368" i="1" s="1"/>
  <c r="P368" i="1"/>
  <c r="O368" i="1"/>
  <c r="N368" i="1" a="1"/>
  <c r="N368" i="1"/>
  <c r="M368" i="1" a="1"/>
  <c r="M368" i="1"/>
  <c r="L368" i="1" a="1"/>
  <c r="L368" i="1"/>
  <c r="V367" i="1" a="1"/>
  <c r="V367" i="1" s="1"/>
  <c r="U367" i="1" a="1"/>
  <c r="U367" i="1" s="1"/>
  <c r="T367" i="1"/>
  <c r="Q367" i="1" a="1"/>
  <c r="Q367" i="1" s="1"/>
  <c r="R367" i="1" s="1"/>
  <c r="S367" i="1" s="1"/>
  <c r="P367" i="1"/>
  <c r="O367" i="1"/>
  <c r="N367" i="1" a="1"/>
  <c r="N367" i="1" s="1"/>
  <c r="M367" i="1" a="1"/>
  <c r="M367" i="1" s="1"/>
  <c r="L367" i="1" a="1"/>
  <c r="L367" i="1"/>
  <c r="V366" i="1" a="1"/>
  <c r="V366" i="1"/>
  <c r="U366" i="1" a="1"/>
  <c r="U366" i="1" s="1"/>
  <c r="T366" i="1"/>
  <c r="Q366" i="1" a="1"/>
  <c r="Q366" i="1" s="1"/>
  <c r="R366" i="1" s="1"/>
  <c r="S366" i="1" s="1"/>
  <c r="P366" i="1"/>
  <c r="O366" i="1"/>
  <c r="N366" i="1" a="1"/>
  <c r="N366" i="1"/>
  <c r="M366" i="1" a="1"/>
  <c r="M366" i="1"/>
  <c r="L366" i="1" a="1"/>
  <c r="L366" i="1"/>
  <c r="V365" i="1" a="1"/>
  <c r="V365" i="1" s="1"/>
  <c r="U365" i="1" a="1"/>
  <c r="U365" i="1" s="1"/>
  <c r="T365" i="1"/>
  <c r="Q365" i="1" a="1"/>
  <c r="Q365" i="1"/>
  <c r="R365" i="1" s="1"/>
  <c r="S365" i="1" s="1"/>
  <c r="P365" i="1"/>
  <c r="O365" i="1"/>
  <c r="N365" i="1" a="1"/>
  <c r="N365" i="1" s="1"/>
  <c r="M365" i="1" a="1"/>
  <c r="M365" i="1" s="1"/>
  <c r="L365" i="1" a="1"/>
  <c r="L365" i="1" s="1"/>
  <c r="V364" i="1" a="1"/>
  <c r="V364" i="1" s="1"/>
  <c r="U364" i="1" a="1"/>
  <c r="U364" i="1" s="1"/>
  <c r="T364" i="1"/>
  <c r="Q364" i="1" a="1"/>
  <c r="Q364" i="1" s="1"/>
  <c r="R364" i="1" s="1"/>
  <c r="S364" i="1" s="1"/>
  <c r="P364" i="1"/>
  <c r="O364" i="1"/>
  <c r="N364" i="1" a="1"/>
  <c r="N364" i="1" s="1"/>
  <c r="M364" i="1" a="1"/>
  <c r="M364" i="1"/>
  <c r="L364" i="1" a="1"/>
  <c r="L364" i="1" s="1"/>
  <c r="V363" i="1" a="1"/>
  <c r="V363" i="1"/>
  <c r="U363" i="1" a="1"/>
  <c r="U363" i="1" s="1"/>
  <c r="T363" i="1"/>
  <c r="Q363" i="1" a="1"/>
  <c r="Q363" i="1" s="1"/>
  <c r="R363" i="1" s="1"/>
  <c r="S363" i="1" s="1"/>
  <c r="P363" i="1"/>
  <c r="O363" i="1"/>
  <c r="N363" i="1" a="1"/>
  <c r="N363" i="1" s="1"/>
  <c r="M363" i="1" a="1"/>
  <c r="M363" i="1" s="1"/>
  <c r="L363" i="1" a="1"/>
  <c r="L363" i="1"/>
  <c r="V362" i="1" a="1"/>
  <c r="V362" i="1" s="1"/>
  <c r="U362" i="1" a="1"/>
  <c r="U362" i="1" s="1"/>
  <c r="T362" i="1"/>
  <c r="R362" i="1"/>
  <c r="S362" i="1" s="1"/>
  <c r="Q362" i="1" a="1"/>
  <c r="Q362" i="1"/>
  <c r="P362" i="1"/>
  <c r="O362" i="1"/>
  <c r="N362" i="1" a="1"/>
  <c r="N362" i="1" s="1"/>
  <c r="M362" i="1" a="1"/>
  <c r="M362" i="1" s="1"/>
  <c r="L362" i="1" a="1"/>
  <c r="L362" i="1"/>
  <c r="V361" i="1" a="1"/>
  <c r="V361" i="1"/>
  <c r="U361" i="1" a="1"/>
  <c r="U361" i="1"/>
  <c r="T361" i="1"/>
  <c r="S361" i="1"/>
  <c r="R361" i="1"/>
  <c r="Q361" i="1" a="1"/>
  <c r="Q361" i="1" s="1"/>
  <c r="P361" i="1"/>
  <c r="O361" i="1"/>
  <c r="N361" i="1" a="1"/>
  <c r="N361" i="1" s="1"/>
  <c r="M361" i="1" a="1"/>
  <c r="M361" i="1" s="1"/>
  <c r="L361" i="1" a="1"/>
  <c r="L361" i="1" s="1"/>
  <c r="V360" i="1" a="1"/>
  <c r="V360" i="1"/>
  <c r="U360" i="1" a="1"/>
  <c r="U360" i="1" s="1"/>
  <c r="T360" i="1"/>
  <c r="Q360" i="1" a="1"/>
  <c r="Q360" i="1"/>
  <c r="R360" i="1" s="1"/>
  <c r="S360" i="1" s="1"/>
  <c r="P360" i="1"/>
  <c r="O360" i="1"/>
  <c r="N360" i="1" a="1"/>
  <c r="N360" i="1"/>
  <c r="M360" i="1" a="1"/>
  <c r="M360" i="1" s="1"/>
  <c r="L360" i="1" a="1"/>
  <c r="L360" i="1" s="1"/>
  <c r="V359" i="1" a="1"/>
  <c r="V359" i="1"/>
  <c r="U359" i="1" a="1"/>
  <c r="U359" i="1" s="1"/>
  <c r="T359" i="1"/>
  <c r="Q359" i="1" a="1"/>
  <c r="Q359" i="1"/>
  <c r="R359" i="1" s="1"/>
  <c r="S359" i="1" s="1"/>
  <c r="P359" i="1"/>
  <c r="O359" i="1"/>
  <c r="N359" i="1" a="1"/>
  <c r="N359" i="1" s="1"/>
  <c r="M359" i="1" a="1"/>
  <c r="M359" i="1" s="1"/>
  <c r="L359" i="1" a="1"/>
  <c r="L359" i="1" s="1"/>
  <c r="V358" i="1" a="1"/>
  <c r="V358" i="1"/>
  <c r="U358" i="1" a="1"/>
  <c r="U358" i="1" s="1"/>
  <c r="T358" i="1"/>
  <c r="Q358" i="1" a="1"/>
  <c r="Q358" i="1"/>
  <c r="R358" i="1" s="1"/>
  <c r="S358" i="1" s="1"/>
  <c r="P358" i="1"/>
  <c r="O358" i="1"/>
  <c r="N358" i="1" a="1"/>
  <c r="N358" i="1"/>
  <c r="M358" i="1" a="1"/>
  <c r="M358" i="1" s="1"/>
  <c r="L358" i="1" a="1"/>
  <c r="L358" i="1"/>
  <c r="V357" i="1" a="1"/>
  <c r="V357" i="1" s="1"/>
  <c r="U357" i="1" a="1"/>
  <c r="U357" i="1"/>
  <c r="T357" i="1"/>
  <c r="Q357" i="1" a="1"/>
  <c r="Q357" i="1" s="1"/>
  <c r="R357" i="1" s="1"/>
  <c r="S357" i="1" s="1"/>
  <c r="P357" i="1"/>
  <c r="O357" i="1"/>
  <c r="N357" i="1" a="1"/>
  <c r="N357" i="1" s="1"/>
  <c r="M357" i="1" a="1"/>
  <c r="M357" i="1" s="1"/>
  <c r="L357" i="1" a="1"/>
  <c r="L357" i="1" s="1"/>
  <c r="V356" i="1" a="1"/>
  <c r="V356" i="1" s="1"/>
  <c r="U356" i="1" a="1"/>
  <c r="U356" i="1" s="1"/>
  <c r="T356" i="1"/>
  <c r="R356" i="1"/>
  <c r="S356" i="1" s="1"/>
  <c r="Q356" i="1" a="1"/>
  <c r="Q356" i="1" s="1"/>
  <c r="P356" i="1"/>
  <c r="O356" i="1"/>
  <c r="N356" i="1" a="1"/>
  <c r="N356" i="1"/>
  <c r="M356" i="1" a="1"/>
  <c r="M356" i="1"/>
  <c r="L356" i="1" a="1"/>
  <c r="L356" i="1" s="1"/>
  <c r="V355" i="1" a="1"/>
  <c r="V355" i="1" s="1"/>
  <c r="U355" i="1" a="1"/>
  <c r="U355" i="1" s="1"/>
  <c r="T355" i="1"/>
  <c r="Q355" i="1" a="1"/>
  <c r="Q355" i="1" s="1"/>
  <c r="R355" i="1" s="1"/>
  <c r="S355" i="1" s="1"/>
  <c r="P355" i="1"/>
  <c r="O355" i="1"/>
  <c r="N355" i="1" a="1"/>
  <c r="N355" i="1"/>
  <c r="M355" i="1" a="1"/>
  <c r="M355" i="1" s="1"/>
  <c r="L355" i="1" a="1"/>
  <c r="L355" i="1"/>
  <c r="V354" i="1" a="1"/>
  <c r="V354" i="1" s="1"/>
  <c r="U354" i="1" a="1"/>
  <c r="U354" i="1" s="1"/>
  <c r="T354" i="1"/>
  <c r="Q354" i="1" a="1"/>
  <c r="Q354" i="1" s="1"/>
  <c r="R354" i="1" s="1"/>
  <c r="S354" i="1" s="1"/>
  <c r="P354" i="1"/>
  <c r="O354" i="1"/>
  <c r="N354" i="1" a="1"/>
  <c r="N354" i="1"/>
  <c r="M354" i="1" a="1"/>
  <c r="M354" i="1" s="1"/>
  <c r="L354" i="1" a="1"/>
  <c r="L354" i="1"/>
  <c r="V353" i="1" a="1"/>
  <c r="V353" i="1"/>
  <c r="U353" i="1" a="1"/>
  <c r="U353" i="1" s="1"/>
  <c r="T353" i="1"/>
  <c r="Q353" i="1" a="1"/>
  <c r="Q353" i="1"/>
  <c r="R353" i="1" s="1"/>
  <c r="S353" i="1" s="1"/>
  <c r="P353" i="1"/>
  <c r="O353" i="1"/>
  <c r="N353" i="1" a="1"/>
  <c r="N353" i="1" s="1"/>
  <c r="M353" i="1" a="1"/>
  <c r="M353" i="1"/>
  <c r="L353" i="1" a="1"/>
  <c r="L353" i="1" s="1"/>
  <c r="V352" i="1" a="1"/>
  <c r="V352" i="1" s="1"/>
  <c r="U352" i="1" a="1"/>
  <c r="U352" i="1"/>
  <c r="T352" i="1"/>
  <c r="Q352" i="1" a="1"/>
  <c r="Q352" i="1" s="1"/>
  <c r="R352" i="1" s="1"/>
  <c r="S352" i="1" s="1"/>
  <c r="P352" i="1"/>
  <c r="O352" i="1"/>
  <c r="N352" i="1" a="1"/>
  <c r="N352" i="1" s="1"/>
  <c r="M352" i="1" a="1"/>
  <c r="M352" i="1"/>
  <c r="L352" i="1" a="1"/>
  <c r="L352" i="1" s="1"/>
  <c r="V351" i="1" a="1"/>
  <c r="V351" i="1"/>
  <c r="U351" i="1" a="1"/>
  <c r="U351" i="1" s="1"/>
  <c r="T351" i="1"/>
  <c r="S351" i="1"/>
  <c r="Q351" i="1" a="1"/>
  <c r="Q351" i="1" s="1"/>
  <c r="R351" i="1" s="1"/>
  <c r="P351" i="1"/>
  <c r="O351" i="1"/>
  <c r="N351" i="1" a="1"/>
  <c r="N351" i="1" s="1"/>
  <c r="M351" i="1" a="1"/>
  <c r="M351" i="1" s="1"/>
  <c r="L351" i="1" a="1"/>
  <c r="L351" i="1"/>
  <c r="V350" i="1" a="1"/>
  <c r="V350" i="1" s="1"/>
  <c r="U350" i="1" a="1"/>
  <c r="U350" i="1" s="1"/>
  <c r="T350" i="1"/>
  <c r="Q350" i="1" a="1"/>
  <c r="Q350" i="1"/>
  <c r="R350" i="1" s="1"/>
  <c r="S350" i="1" s="1"/>
  <c r="P350" i="1"/>
  <c r="O350" i="1"/>
  <c r="N350" i="1" a="1"/>
  <c r="N350" i="1"/>
  <c r="M350" i="1" a="1"/>
  <c r="M350" i="1" s="1"/>
  <c r="L350" i="1" a="1"/>
  <c r="L350" i="1"/>
  <c r="V349" i="1" a="1"/>
  <c r="V349" i="1" s="1"/>
  <c r="U349" i="1" a="1"/>
  <c r="U349" i="1"/>
  <c r="T349" i="1"/>
  <c r="S349" i="1"/>
  <c r="R349" i="1"/>
  <c r="Q349" i="1" a="1"/>
  <c r="Q349" i="1" s="1"/>
  <c r="P349" i="1"/>
  <c r="O349" i="1"/>
  <c r="N349" i="1" a="1"/>
  <c r="N349" i="1" s="1"/>
  <c r="M349" i="1" a="1"/>
  <c r="M349" i="1" s="1"/>
  <c r="L349" i="1" a="1"/>
  <c r="L349" i="1" s="1"/>
  <c r="V348" i="1" a="1"/>
  <c r="V348" i="1"/>
  <c r="U348" i="1" a="1"/>
  <c r="U348" i="1" s="1"/>
  <c r="T348" i="1"/>
  <c r="Q348" i="1" a="1"/>
  <c r="Q348" i="1" s="1"/>
  <c r="R348" i="1" s="1"/>
  <c r="S348" i="1" s="1"/>
  <c r="P348" i="1"/>
  <c r="O348" i="1"/>
  <c r="N348" i="1" a="1"/>
  <c r="N348" i="1" s="1"/>
  <c r="M348" i="1" a="1"/>
  <c r="M348" i="1" s="1"/>
  <c r="L348" i="1" a="1"/>
  <c r="L348" i="1" s="1"/>
  <c r="V347" i="1" a="1"/>
  <c r="V347" i="1"/>
  <c r="U347" i="1" a="1"/>
  <c r="U347" i="1"/>
  <c r="T347" i="1"/>
  <c r="Q347" i="1" a="1"/>
  <c r="Q347" i="1" s="1"/>
  <c r="R347" i="1" s="1"/>
  <c r="S347" i="1" s="1"/>
  <c r="P347" i="1"/>
  <c r="O347" i="1"/>
  <c r="N347" i="1" a="1"/>
  <c r="N347" i="1" s="1"/>
  <c r="M347" i="1" a="1"/>
  <c r="M347" i="1" s="1"/>
  <c r="L347" i="1" a="1"/>
  <c r="L347" i="1" s="1"/>
  <c r="V346" i="1" a="1"/>
  <c r="V346" i="1" s="1"/>
  <c r="U346" i="1" a="1"/>
  <c r="U346" i="1" s="1"/>
  <c r="T346" i="1"/>
  <c r="Q346" i="1" a="1"/>
  <c r="Q346" i="1"/>
  <c r="R346" i="1" s="1"/>
  <c r="S346" i="1" s="1"/>
  <c r="P346" i="1"/>
  <c r="O346" i="1"/>
  <c r="N346" i="1" a="1"/>
  <c r="N346" i="1"/>
  <c r="M346" i="1" a="1"/>
  <c r="M346" i="1"/>
  <c r="L346" i="1" a="1"/>
  <c r="L346" i="1"/>
  <c r="V345" i="1" a="1"/>
  <c r="V345" i="1" s="1"/>
  <c r="U345" i="1" a="1"/>
  <c r="U345" i="1"/>
  <c r="T345" i="1"/>
  <c r="Q345" i="1" a="1"/>
  <c r="Q345" i="1"/>
  <c r="R345" i="1" s="1"/>
  <c r="S345" i="1" s="1"/>
  <c r="P345" i="1"/>
  <c r="O345" i="1"/>
  <c r="N345" i="1" a="1"/>
  <c r="N345" i="1" s="1"/>
  <c r="M345" i="1" a="1"/>
  <c r="M345" i="1" s="1"/>
  <c r="L345" i="1" a="1"/>
  <c r="L345" i="1"/>
  <c r="V344" i="1" a="1"/>
  <c r="V344" i="1" s="1"/>
  <c r="U344" i="1" a="1"/>
  <c r="U344" i="1" s="1"/>
  <c r="T344" i="1"/>
  <c r="R344" i="1"/>
  <c r="S344" i="1" s="1"/>
  <c r="Q344" i="1" a="1"/>
  <c r="Q344" i="1" s="1"/>
  <c r="P344" i="1"/>
  <c r="O344" i="1"/>
  <c r="N344" i="1" a="1"/>
  <c r="N344" i="1" s="1"/>
  <c r="M344" i="1" a="1"/>
  <c r="M344" i="1"/>
  <c r="L344" i="1" a="1"/>
  <c r="L344" i="1" s="1"/>
  <c r="V343" i="1" a="1"/>
  <c r="V343" i="1"/>
  <c r="U343" i="1" a="1"/>
  <c r="U343" i="1" s="1"/>
  <c r="T343" i="1"/>
  <c r="Q343" i="1" a="1"/>
  <c r="Q343" i="1" s="1"/>
  <c r="R343" i="1" s="1"/>
  <c r="S343" i="1" s="1"/>
  <c r="P343" i="1"/>
  <c r="O343" i="1"/>
  <c r="N343" i="1" a="1"/>
  <c r="N343" i="1" s="1"/>
  <c r="M343" i="1" a="1"/>
  <c r="M343" i="1" s="1"/>
  <c r="L343" i="1" a="1"/>
  <c r="L343" i="1"/>
  <c r="V342" i="1" a="1"/>
  <c r="V342" i="1" s="1"/>
  <c r="U342" i="1" a="1"/>
  <c r="U342" i="1" s="1"/>
  <c r="T342" i="1"/>
  <c r="Q342" i="1" a="1"/>
  <c r="Q342" i="1" s="1"/>
  <c r="R342" i="1" s="1"/>
  <c r="S342" i="1" s="1"/>
  <c r="P342" i="1"/>
  <c r="O342" i="1"/>
  <c r="N342" i="1" a="1"/>
  <c r="N342" i="1"/>
  <c r="M342" i="1" a="1"/>
  <c r="M342" i="1" s="1"/>
  <c r="L342" i="1" a="1"/>
  <c r="L342" i="1"/>
  <c r="V341" i="1" a="1"/>
  <c r="V341" i="1"/>
  <c r="U341" i="1" a="1"/>
  <c r="U341" i="1"/>
  <c r="T341" i="1"/>
  <c r="Q341" i="1" a="1"/>
  <c r="Q341" i="1" s="1"/>
  <c r="R341" i="1" s="1"/>
  <c r="S341" i="1" s="1"/>
  <c r="P341" i="1"/>
  <c r="O341" i="1"/>
  <c r="N341" i="1" a="1"/>
  <c r="N341" i="1" s="1"/>
  <c r="M341" i="1" a="1"/>
  <c r="M341" i="1" s="1"/>
  <c r="L341" i="1" a="1"/>
  <c r="L341" i="1" s="1"/>
  <c r="V340" i="1" a="1"/>
  <c r="V340" i="1"/>
  <c r="U340" i="1" a="1"/>
  <c r="U340" i="1" s="1"/>
  <c r="T340" i="1"/>
  <c r="Q340" i="1" a="1"/>
  <c r="Q340" i="1" s="1"/>
  <c r="R340" i="1" s="1"/>
  <c r="S340" i="1" s="1"/>
  <c r="P340" i="1"/>
  <c r="O340" i="1"/>
  <c r="N340" i="1" a="1"/>
  <c r="N340" i="1" s="1"/>
  <c r="M340" i="1" a="1"/>
  <c r="M340" i="1"/>
  <c r="L340" i="1" a="1"/>
  <c r="L340" i="1" s="1"/>
  <c r="V339" i="1" a="1"/>
  <c r="V339" i="1"/>
  <c r="U339" i="1" a="1"/>
  <c r="U339" i="1"/>
  <c r="T339" i="1"/>
  <c r="S339" i="1"/>
  <c r="R339" i="1"/>
  <c r="Q339" i="1" a="1"/>
  <c r="Q339" i="1"/>
  <c r="P339" i="1"/>
  <c r="O339" i="1"/>
  <c r="N339" i="1" a="1"/>
  <c r="N339" i="1" s="1"/>
  <c r="M339" i="1" a="1"/>
  <c r="M339" i="1" s="1"/>
  <c r="L339" i="1" a="1"/>
  <c r="L339" i="1"/>
  <c r="V338" i="1" a="1"/>
  <c r="V338" i="1" s="1"/>
  <c r="U338" i="1" a="1"/>
  <c r="U338" i="1" s="1"/>
  <c r="T338" i="1"/>
  <c r="S338" i="1"/>
  <c r="R338" i="1"/>
  <c r="Q338" i="1" a="1"/>
  <c r="Q338" i="1"/>
  <c r="P338" i="1"/>
  <c r="O338" i="1"/>
  <c r="N338" i="1" a="1"/>
  <c r="N338" i="1"/>
  <c r="M338" i="1" a="1"/>
  <c r="M338" i="1" s="1"/>
  <c r="L338" i="1" a="1"/>
  <c r="L338" i="1"/>
  <c r="V337" i="1" a="1"/>
  <c r="V337" i="1"/>
  <c r="U337" i="1" a="1"/>
  <c r="U337" i="1"/>
  <c r="T337" i="1"/>
  <c r="S337" i="1"/>
  <c r="R337" i="1"/>
  <c r="Q337" i="1" a="1"/>
  <c r="Q337" i="1" s="1"/>
  <c r="P337" i="1"/>
  <c r="O337" i="1"/>
  <c r="N337" i="1" a="1"/>
  <c r="N337" i="1" s="1"/>
  <c r="M337" i="1" a="1"/>
  <c r="M337" i="1" s="1"/>
  <c r="L337" i="1" a="1"/>
  <c r="L337" i="1"/>
  <c r="V336" i="1" a="1"/>
  <c r="V336" i="1" s="1"/>
  <c r="U336" i="1" a="1"/>
  <c r="U336" i="1" s="1"/>
  <c r="T336" i="1"/>
  <c r="Q336" i="1" a="1"/>
  <c r="Q336" i="1"/>
  <c r="R336" i="1" s="1"/>
  <c r="S336" i="1" s="1"/>
  <c r="P336" i="1"/>
  <c r="O336" i="1"/>
  <c r="N336" i="1" a="1"/>
  <c r="N336" i="1"/>
  <c r="M336" i="1" a="1"/>
  <c r="M336" i="1"/>
  <c r="L336" i="1" a="1"/>
  <c r="L336" i="1" s="1"/>
  <c r="V335" i="1" a="1"/>
  <c r="V335" i="1"/>
  <c r="U335" i="1" a="1"/>
  <c r="U335" i="1"/>
  <c r="T335" i="1"/>
  <c r="Q335" i="1" a="1"/>
  <c r="Q335" i="1"/>
  <c r="R335" i="1" s="1"/>
  <c r="S335" i="1" s="1"/>
  <c r="P335" i="1"/>
  <c r="O335" i="1"/>
  <c r="N335" i="1" a="1"/>
  <c r="N335" i="1" s="1"/>
  <c r="M335" i="1" a="1"/>
  <c r="M335" i="1" s="1"/>
  <c r="L335" i="1" a="1"/>
  <c r="L335" i="1" s="1"/>
  <c r="V334" i="1" a="1"/>
  <c r="V334" i="1"/>
  <c r="U334" i="1" a="1"/>
  <c r="U334" i="1" s="1"/>
  <c r="T334" i="1"/>
  <c r="Q334" i="1" a="1"/>
  <c r="Q334" i="1"/>
  <c r="R334" i="1" s="1"/>
  <c r="S334" i="1" s="1"/>
  <c r="P334" i="1"/>
  <c r="O334" i="1"/>
  <c r="N334" i="1" a="1"/>
  <c r="N334" i="1"/>
  <c r="M334" i="1" a="1"/>
  <c r="M334" i="1"/>
  <c r="L334" i="1" a="1"/>
  <c r="L334" i="1" s="1"/>
  <c r="V333" i="1" a="1"/>
  <c r="V333" i="1" s="1"/>
  <c r="U333" i="1" a="1"/>
  <c r="U333" i="1"/>
  <c r="T333" i="1"/>
  <c r="Q333" i="1" a="1"/>
  <c r="Q333" i="1" s="1"/>
  <c r="R333" i="1" s="1"/>
  <c r="S333" i="1" s="1"/>
  <c r="P333" i="1"/>
  <c r="O333" i="1"/>
  <c r="N333" i="1" a="1"/>
  <c r="N333" i="1" s="1"/>
  <c r="M333" i="1" a="1"/>
  <c r="M333" i="1" s="1"/>
  <c r="L333" i="1" a="1"/>
  <c r="L333" i="1" s="1"/>
  <c r="V332" i="1" a="1"/>
  <c r="V332" i="1" s="1"/>
  <c r="U332" i="1" a="1"/>
  <c r="U332" i="1"/>
  <c r="T332" i="1"/>
  <c r="S332" i="1"/>
  <c r="R332" i="1"/>
  <c r="Q332" i="1" a="1"/>
  <c r="Q332" i="1" s="1"/>
  <c r="P332" i="1"/>
  <c r="O332" i="1"/>
  <c r="N332" i="1" a="1"/>
  <c r="N332" i="1" s="1"/>
  <c r="M332" i="1" a="1"/>
  <c r="M332" i="1"/>
  <c r="L332" i="1" a="1"/>
  <c r="L332" i="1" s="1"/>
  <c r="V331" i="1" a="1"/>
  <c r="V331" i="1" s="1"/>
  <c r="U331" i="1" a="1"/>
  <c r="U331" i="1" s="1"/>
  <c r="T331" i="1"/>
  <c r="Q331" i="1" a="1"/>
  <c r="Q331" i="1" s="1"/>
  <c r="R331" i="1" s="1"/>
  <c r="S331" i="1" s="1"/>
  <c r="P331" i="1"/>
  <c r="O331" i="1"/>
  <c r="N331" i="1" a="1"/>
  <c r="N331" i="1"/>
  <c r="M331" i="1" a="1"/>
  <c r="M331" i="1" s="1"/>
  <c r="L331" i="1" a="1"/>
  <c r="L331" i="1"/>
  <c r="V330" i="1" a="1"/>
  <c r="V330" i="1" s="1"/>
  <c r="U330" i="1" a="1"/>
  <c r="U330" i="1" s="1"/>
  <c r="T330" i="1"/>
  <c r="Q330" i="1" a="1"/>
  <c r="Q330" i="1"/>
  <c r="R330" i="1" s="1"/>
  <c r="S330" i="1" s="1"/>
  <c r="P330" i="1"/>
  <c r="O330" i="1"/>
  <c r="N330" i="1" a="1"/>
  <c r="N330" i="1"/>
  <c r="M330" i="1" a="1"/>
  <c r="M330" i="1" s="1"/>
  <c r="L330" i="1" a="1"/>
  <c r="L330" i="1"/>
  <c r="V329" i="1" a="1"/>
  <c r="V329" i="1" s="1"/>
  <c r="U329" i="1" a="1"/>
  <c r="U329" i="1"/>
  <c r="T329" i="1"/>
  <c r="Q329" i="1" a="1"/>
  <c r="Q329" i="1"/>
  <c r="R329" i="1" s="1"/>
  <c r="S329" i="1" s="1"/>
  <c r="P329" i="1"/>
  <c r="O329" i="1"/>
  <c r="N329" i="1" a="1"/>
  <c r="N329" i="1" s="1"/>
  <c r="M329" i="1" a="1"/>
  <c r="M329" i="1"/>
  <c r="L329" i="1" a="1"/>
  <c r="L329" i="1" s="1"/>
  <c r="V328" i="1" a="1"/>
  <c r="V328" i="1"/>
  <c r="U328" i="1" a="1"/>
  <c r="U328" i="1" s="1"/>
  <c r="T328" i="1"/>
  <c r="Q328" i="1" a="1"/>
  <c r="Q328" i="1" s="1"/>
  <c r="R328" i="1" s="1"/>
  <c r="S328" i="1" s="1"/>
  <c r="P328" i="1"/>
  <c r="O328" i="1"/>
  <c r="N328" i="1" a="1"/>
  <c r="N328" i="1" s="1"/>
  <c r="M328" i="1" a="1"/>
  <c r="M328" i="1"/>
  <c r="L328" i="1" a="1"/>
  <c r="L328" i="1" s="1"/>
  <c r="V327" i="1" a="1"/>
  <c r="V327" i="1"/>
  <c r="U327" i="1" a="1"/>
  <c r="U327" i="1" s="1"/>
  <c r="T327" i="1"/>
  <c r="S327" i="1"/>
  <c r="R327" i="1"/>
  <c r="Q327" i="1" a="1"/>
  <c r="Q327" i="1"/>
  <c r="P327" i="1"/>
  <c r="O327" i="1"/>
  <c r="N327" i="1" a="1"/>
  <c r="N327" i="1" s="1"/>
  <c r="M327" i="1" a="1"/>
  <c r="M327" i="1"/>
  <c r="L327" i="1" a="1"/>
  <c r="L327" i="1" s="1"/>
  <c r="V326" i="1" a="1"/>
  <c r="V326" i="1" s="1"/>
  <c r="U326" i="1" a="1"/>
  <c r="U326" i="1" s="1"/>
  <c r="T326" i="1"/>
  <c r="Q326" i="1" a="1"/>
  <c r="Q326" i="1"/>
  <c r="R326" i="1" s="1"/>
  <c r="S326" i="1" s="1"/>
  <c r="P326" i="1"/>
  <c r="O326" i="1"/>
  <c r="N326" i="1" a="1"/>
  <c r="N326" i="1"/>
  <c r="M326" i="1" a="1"/>
  <c r="M326" i="1" s="1"/>
  <c r="L326" i="1" a="1"/>
  <c r="L326" i="1"/>
  <c r="V325" i="1" a="1"/>
  <c r="V325" i="1"/>
  <c r="U325" i="1" a="1"/>
  <c r="U325" i="1"/>
  <c r="T325" i="1"/>
  <c r="S325" i="1"/>
  <c r="R325" i="1"/>
  <c r="Q325" i="1" a="1"/>
  <c r="Q325" i="1" s="1"/>
  <c r="P325" i="1"/>
  <c r="O325" i="1"/>
  <c r="N325" i="1" a="1"/>
  <c r="N325" i="1" s="1"/>
  <c r="M325" i="1" a="1"/>
  <c r="M325" i="1" s="1"/>
  <c r="L325" i="1" a="1"/>
  <c r="L325" i="1" s="1"/>
  <c r="V324" i="1" a="1"/>
  <c r="V324" i="1"/>
  <c r="U324" i="1" a="1"/>
  <c r="U324" i="1" s="1"/>
  <c r="T324" i="1"/>
  <c r="R324" i="1"/>
  <c r="S324" i="1" s="1"/>
  <c r="Q324" i="1" a="1"/>
  <c r="Q324" i="1" s="1"/>
  <c r="P324" i="1"/>
  <c r="O324" i="1"/>
  <c r="N324" i="1" a="1"/>
  <c r="N324" i="1"/>
  <c r="M324" i="1" a="1"/>
  <c r="M324" i="1" s="1"/>
  <c r="L324" i="1" a="1"/>
  <c r="L324" i="1" s="1"/>
  <c r="V323" i="1" a="1"/>
  <c r="V323" i="1"/>
  <c r="U323" i="1" a="1"/>
  <c r="U323" i="1"/>
  <c r="T323" i="1"/>
  <c r="Q323" i="1" a="1"/>
  <c r="Q323" i="1"/>
  <c r="R323" i="1" s="1"/>
  <c r="S323" i="1" s="1"/>
  <c r="P323" i="1"/>
  <c r="O323" i="1"/>
  <c r="N323" i="1" a="1"/>
  <c r="N323" i="1" s="1"/>
  <c r="M323" i="1" a="1"/>
  <c r="M323" i="1"/>
  <c r="L323" i="1" a="1"/>
  <c r="L323" i="1" s="1"/>
  <c r="V322" i="1" a="1"/>
  <c r="V322" i="1" s="1"/>
  <c r="U322" i="1" a="1"/>
  <c r="U322" i="1" s="1"/>
  <c r="T322" i="1"/>
  <c r="Q322" i="1" a="1"/>
  <c r="Q322" i="1"/>
  <c r="R322" i="1" s="1"/>
  <c r="S322" i="1" s="1"/>
  <c r="P322" i="1"/>
  <c r="O322" i="1"/>
  <c r="N322" i="1" a="1"/>
  <c r="N322" i="1"/>
  <c r="M322" i="1" a="1"/>
  <c r="M322" i="1"/>
  <c r="L322" i="1" a="1"/>
  <c r="L322" i="1" s="1"/>
  <c r="V321" i="1" a="1"/>
  <c r="V321" i="1" s="1"/>
  <c r="U321" i="1" a="1"/>
  <c r="U321" i="1"/>
  <c r="T321" i="1"/>
  <c r="Q321" i="1" a="1"/>
  <c r="Q321" i="1" s="1"/>
  <c r="R321" i="1" s="1"/>
  <c r="S321" i="1" s="1"/>
  <c r="P321" i="1"/>
  <c r="O321" i="1"/>
  <c r="N321" i="1" a="1"/>
  <c r="N321" i="1" s="1"/>
  <c r="M321" i="1" a="1"/>
  <c r="M321" i="1" s="1"/>
  <c r="L321" i="1" a="1"/>
  <c r="L321" i="1" s="1"/>
  <c r="V320" i="1" a="1"/>
  <c r="V320" i="1" s="1"/>
  <c r="U320" i="1" a="1"/>
  <c r="U320" i="1" s="1"/>
  <c r="T320" i="1"/>
  <c r="Q320" i="1" a="1"/>
  <c r="Q320" i="1" s="1"/>
  <c r="R320" i="1" s="1"/>
  <c r="S320" i="1" s="1"/>
  <c r="P320" i="1"/>
  <c r="O320" i="1"/>
  <c r="N320" i="1" a="1"/>
  <c r="N320" i="1" s="1"/>
  <c r="M320" i="1" a="1"/>
  <c r="M320" i="1"/>
  <c r="L320" i="1" a="1"/>
  <c r="L320" i="1" s="1"/>
  <c r="V319" i="1" a="1"/>
  <c r="V319" i="1"/>
  <c r="U319" i="1" a="1"/>
  <c r="U319" i="1" s="1"/>
  <c r="T319" i="1"/>
  <c r="R319" i="1"/>
  <c r="S319" i="1" s="1"/>
  <c r="Q319" i="1" a="1"/>
  <c r="Q319" i="1" s="1"/>
  <c r="P319" i="1"/>
  <c r="O319" i="1"/>
  <c r="N319" i="1" a="1"/>
  <c r="N319" i="1"/>
  <c r="M319" i="1" a="1"/>
  <c r="M319" i="1" s="1"/>
  <c r="L319" i="1" a="1"/>
  <c r="L319" i="1"/>
  <c r="V318" i="1" a="1"/>
  <c r="V318" i="1"/>
  <c r="U318" i="1" a="1"/>
  <c r="U318" i="1" s="1"/>
  <c r="T318" i="1"/>
  <c r="Q318" i="1" a="1"/>
  <c r="Q318" i="1"/>
  <c r="R318" i="1" s="1"/>
  <c r="S318" i="1" s="1"/>
  <c r="P318" i="1"/>
  <c r="O318" i="1"/>
  <c r="N318" i="1" a="1"/>
  <c r="N318" i="1"/>
  <c r="M318" i="1" a="1"/>
  <c r="M318" i="1"/>
  <c r="L318" i="1" a="1"/>
  <c r="L318" i="1"/>
  <c r="V317" i="1" a="1"/>
  <c r="V317" i="1" s="1"/>
  <c r="U317" i="1" a="1"/>
  <c r="U317" i="1"/>
  <c r="T317" i="1"/>
  <c r="Q317" i="1" a="1"/>
  <c r="Q317" i="1" s="1"/>
  <c r="R317" i="1" s="1"/>
  <c r="S317" i="1" s="1"/>
  <c r="P317" i="1"/>
  <c r="O317" i="1"/>
  <c r="N317" i="1" a="1"/>
  <c r="N317" i="1"/>
  <c r="M317" i="1" a="1"/>
  <c r="M317" i="1" s="1"/>
  <c r="L317" i="1" a="1"/>
  <c r="L317" i="1" s="1"/>
  <c r="V316" i="1" a="1"/>
  <c r="V316" i="1"/>
  <c r="U316" i="1" a="1"/>
  <c r="U316" i="1" s="1"/>
  <c r="T316" i="1"/>
  <c r="R316" i="1"/>
  <c r="S316" i="1" s="1"/>
  <c r="Q316" i="1" a="1"/>
  <c r="Q316" i="1"/>
  <c r="P316" i="1"/>
  <c r="O316" i="1"/>
  <c r="N316" i="1" a="1"/>
  <c r="N316" i="1" s="1"/>
  <c r="M316" i="1" a="1"/>
  <c r="M316" i="1"/>
  <c r="L316" i="1" a="1"/>
  <c r="L316" i="1"/>
  <c r="V315" i="1" a="1"/>
  <c r="V315" i="1"/>
  <c r="U315" i="1" a="1"/>
  <c r="U315" i="1" s="1"/>
  <c r="T315" i="1"/>
  <c r="S315" i="1"/>
  <c r="R315" i="1"/>
  <c r="Q315" i="1" a="1"/>
  <c r="Q315" i="1"/>
  <c r="P315" i="1"/>
  <c r="O315" i="1"/>
  <c r="N315" i="1" a="1"/>
  <c r="N315" i="1" s="1"/>
  <c r="M315" i="1" a="1"/>
  <c r="M315" i="1" s="1"/>
  <c r="L315" i="1" a="1"/>
  <c r="L315" i="1"/>
  <c r="V314" i="1" a="1"/>
  <c r="V314" i="1" s="1"/>
  <c r="U314" i="1" a="1"/>
  <c r="U314" i="1"/>
  <c r="T314" i="1"/>
  <c r="Q314" i="1" a="1"/>
  <c r="Q314" i="1"/>
  <c r="R314" i="1" s="1"/>
  <c r="S314" i="1" s="1"/>
  <c r="P314" i="1"/>
  <c r="O314" i="1"/>
  <c r="N314" i="1" a="1"/>
  <c r="N314" i="1" s="1"/>
  <c r="M314" i="1" a="1"/>
  <c r="M314" i="1" s="1"/>
  <c r="L314" i="1" a="1"/>
  <c r="L314" i="1"/>
  <c r="V313" i="1" a="1"/>
  <c r="V313" i="1" s="1"/>
  <c r="U313" i="1" a="1"/>
  <c r="U313" i="1"/>
  <c r="T313" i="1"/>
  <c r="Q313" i="1" a="1"/>
  <c r="Q313" i="1" s="1"/>
  <c r="R313" i="1" s="1"/>
  <c r="S313" i="1" s="1"/>
  <c r="P313" i="1"/>
  <c r="O313" i="1"/>
  <c r="N313" i="1" a="1"/>
  <c r="N313" i="1" s="1"/>
  <c r="M313" i="1" a="1"/>
  <c r="M313" i="1" s="1"/>
  <c r="L313" i="1" a="1"/>
  <c r="L313" i="1" s="1"/>
  <c r="V312" i="1" a="1"/>
  <c r="V312" i="1"/>
  <c r="U312" i="1" a="1"/>
  <c r="U312" i="1" s="1"/>
  <c r="T312" i="1"/>
  <c r="Q312" i="1" a="1"/>
  <c r="Q312" i="1" s="1"/>
  <c r="R312" i="1" s="1"/>
  <c r="S312" i="1" s="1"/>
  <c r="P312" i="1"/>
  <c r="O312" i="1"/>
  <c r="N312" i="1" a="1"/>
  <c r="N312" i="1" s="1"/>
  <c r="M312" i="1" a="1"/>
  <c r="M312" i="1"/>
  <c r="L312" i="1" a="1"/>
  <c r="L312" i="1" s="1"/>
  <c r="V311" i="1" a="1"/>
  <c r="V311" i="1"/>
  <c r="U311" i="1" a="1"/>
  <c r="U311" i="1"/>
  <c r="T311" i="1"/>
  <c r="R311" i="1"/>
  <c r="S311" i="1" s="1"/>
  <c r="Q311" i="1" a="1"/>
  <c r="Q311" i="1" s="1"/>
  <c r="P311" i="1"/>
  <c r="O311" i="1"/>
  <c r="N311" i="1" a="1"/>
  <c r="N311" i="1" s="1"/>
  <c r="M311" i="1" a="1"/>
  <c r="M311" i="1" s="1"/>
  <c r="L311" i="1" a="1"/>
  <c r="L311" i="1" s="1"/>
  <c r="V310" i="1" a="1"/>
  <c r="V310" i="1"/>
  <c r="U310" i="1" a="1"/>
  <c r="U310" i="1"/>
  <c r="T310" i="1"/>
  <c r="Q310" i="1" a="1"/>
  <c r="Q310" i="1"/>
  <c r="R310" i="1" s="1"/>
  <c r="S310" i="1" s="1"/>
  <c r="P310" i="1"/>
  <c r="O310" i="1"/>
  <c r="N310" i="1" a="1"/>
  <c r="N310" i="1"/>
  <c r="M310" i="1" a="1"/>
  <c r="M310" i="1" s="1"/>
  <c r="L310" i="1" a="1"/>
  <c r="L310" i="1"/>
  <c r="V309" i="1" a="1"/>
  <c r="V309" i="1" s="1"/>
  <c r="U309" i="1" a="1"/>
  <c r="U309" i="1"/>
  <c r="T309" i="1"/>
  <c r="Q309" i="1" a="1"/>
  <c r="Q309" i="1" s="1"/>
  <c r="R309" i="1" s="1"/>
  <c r="S309" i="1" s="1"/>
  <c r="P309" i="1"/>
  <c r="O309" i="1"/>
  <c r="N309" i="1" a="1"/>
  <c r="N309" i="1" s="1"/>
  <c r="M309" i="1" a="1"/>
  <c r="M309" i="1" s="1"/>
  <c r="L309" i="1" a="1"/>
  <c r="L309" i="1"/>
  <c r="V308" i="1" a="1"/>
  <c r="V308" i="1" s="1"/>
  <c r="U308" i="1" a="1"/>
  <c r="U308" i="1" s="1"/>
  <c r="T308" i="1"/>
  <c r="S308" i="1"/>
  <c r="R308" i="1"/>
  <c r="Q308" i="1" a="1"/>
  <c r="Q308" i="1" s="1"/>
  <c r="P308" i="1"/>
  <c r="O308" i="1"/>
  <c r="N308" i="1" a="1"/>
  <c r="N308" i="1"/>
  <c r="M308" i="1" a="1"/>
  <c r="M308" i="1"/>
  <c r="L308" i="1" a="1"/>
  <c r="L308" i="1" s="1"/>
  <c r="V307" i="1" a="1"/>
  <c r="V307" i="1"/>
  <c r="U307" i="1" a="1"/>
  <c r="U307" i="1" s="1"/>
  <c r="T307" i="1"/>
  <c r="S307" i="1"/>
  <c r="Q307" i="1" a="1"/>
  <c r="Q307" i="1" s="1"/>
  <c r="R307" i="1" s="1"/>
  <c r="P307" i="1"/>
  <c r="O307" i="1"/>
  <c r="N307" i="1" a="1"/>
  <c r="N307" i="1" s="1"/>
  <c r="M307" i="1" a="1"/>
  <c r="M307" i="1" s="1"/>
  <c r="L307" i="1" a="1"/>
  <c r="L307" i="1"/>
  <c r="V306" i="1" a="1"/>
  <c r="V306" i="1" s="1"/>
  <c r="U306" i="1" a="1"/>
  <c r="U306" i="1" s="1"/>
  <c r="T306" i="1"/>
  <c r="S306" i="1"/>
  <c r="Q306" i="1" a="1"/>
  <c r="Q306" i="1" s="1"/>
  <c r="R306" i="1" s="1"/>
  <c r="P306" i="1"/>
  <c r="O306" i="1"/>
  <c r="N306" i="1" a="1"/>
  <c r="N306" i="1"/>
  <c r="M306" i="1" a="1"/>
  <c r="M306" i="1" s="1"/>
  <c r="L306" i="1" a="1"/>
  <c r="L306" i="1"/>
  <c r="V305" i="1" a="1"/>
  <c r="V305" i="1"/>
  <c r="U305" i="1" a="1"/>
  <c r="U305" i="1" s="1"/>
  <c r="T305" i="1"/>
  <c r="Q305" i="1" a="1"/>
  <c r="Q305" i="1"/>
  <c r="R305" i="1" s="1"/>
  <c r="S305" i="1" s="1"/>
  <c r="P305" i="1"/>
  <c r="O305" i="1"/>
  <c r="N305" i="1" a="1"/>
  <c r="N305" i="1"/>
  <c r="M305" i="1" a="1"/>
  <c r="M305" i="1" s="1"/>
  <c r="L305" i="1" a="1"/>
  <c r="L305" i="1" s="1"/>
  <c r="V304" i="1" a="1"/>
  <c r="V304" i="1"/>
  <c r="U304" i="1" a="1"/>
  <c r="U304" i="1" s="1"/>
  <c r="T304" i="1"/>
  <c r="Q304" i="1" a="1"/>
  <c r="Q304" i="1" s="1"/>
  <c r="R304" i="1" s="1"/>
  <c r="S304" i="1" s="1"/>
  <c r="P304" i="1"/>
  <c r="O304" i="1"/>
  <c r="N304" i="1" a="1"/>
  <c r="N304" i="1" s="1"/>
  <c r="M304" i="1" a="1"/>
  <c r="M304" i="1"/>
  <c r="L304" i="1" a="1"/>
  <c r="L304" i="1" s="1"/>
  <c r="V303" i="1" a="1"/>
  <c r="V303" i="1"/>
  <c r="U303" i="1" a="1"/>
  <c r="U303" i="1" s="1"/>
  <c r="T303" i="1"/>
  <c r="S303" i="1"/>
  <c r="R303" i="1"/>
  <c r="Q303" i="1" a="1"/>
  <c r="Q303" i="1"/>
  <c r="P303" i="1"/>
  <c r="O303" i="1"/>
  <c r="N303" i="1" a="1"/>
  <c r="N303" i="1" s="1"/>
  <c r="M303" i="1" a="1"/>
  <c r="M303" i="1"/>
  <c r="L303" i="1" a="1"/>
  <c r="L303" i="1" s="1"/>
  <c r="V302" i="1" a="1"/>
  <c r="V302" i="1" s="1"/>
  <c r="U302" i="1" a="1"/>
  <c r="U302" i="1" s="1"/>
  <c r="T302" i="1"/>
  <c r="R302" i="1"/>
  <c r="S302" i="1" s="1"/>
  <c r="Q302" i="1" a="1"/>
  <c r="Q302" i="1"/>
  <c r="P302" i="1"/>
  <c r="O302" i="1"/>
  <c r="N302" i="1" a="1"/>
  <c r="N302" i="1"/>
  <c r="M302" i="1" a="1"/>
  <c r="M302" i="1" s="1"/>
  <c r="L302" i="1" a="1"/>
  <c r="L302" i="1"/>
  <c r="V301" i="1" a="1"/>
  <c r="V301" i="1" s="1"/>
  <c r="U301" i="1" a="1"/>
  <c r="U301" i="1"/>
  <c r="T301" i="1"/>
  <c r="Q301" i="1" a="1"/>
  <c r="Q301" i="1" s="1"/>
  <c r="R301" i="1" s="1"/>
  <c r="S301" i="1" s="1"/>
  <c r="P301" i="1"/>
  <c r="O301" i="1"/>
  <c r="N301" i="1" a="1"/>
  <c r="N301" i="1"/>
  <c r="M301" i="1" a="1"/>
  <c r="M301" i="1" s="1"/>
  <c r="L301" i="1" a="1"/>
  <c r="L301" i="1"/>
  <c r="V300" i="1" a="1"/>
  <c r="V300" i="1" s="1"/>
  <c r="U300" i="1" a="1"/>
  <c r="U300" i="1" s="1"/>
  <c r="T300" i="1"/>
  <c r="Q300" i="1" a="1"/>
  <c r="Q300" i="1" s="1"/>
  <c r="R300" i="1" s="1"/>
  <c r="S300" i="1" s="1"/>
  <c r="P300" i="1"/>
  <c r="O300" i="1"/>
  <c r="N300" i="1" a="1"/>
  <c r="N300" i="1"/>
  <c r="M300" i="1" a="1"/>
  <c r="M300" i="1" s="1"/>
  <c r="L300" i="1" a="1"/>
  <c r="L300" i="1" s="1"/>
  <c r="V299" i="1" a="1"/>
  <c r="V299" i="1"/>
  <c r="U299" i="1" a="1"/>
  <c r="U299" i="1"/>
  <c r="T299" i="1"/>
  <c r="Q299" i="1" a="1"/>
  <c r="Q299" i="1" s="1"/>
  <c r="R299" i="1" s="1"/>
  <c r="S299" i="1" s="1"/>
  <c r="P299" i="1"/>
  <c r="O299" i="1"/>
  <c r="N299" i="1" a="1"/>
  <c r="N299" i="1" s="1"/>
  <c r="M299" i="1" a="1"/>
  <c r="M299" i="1" s="1"/>
  <c r="L299" i="1" a="1"/>
  <c r="L299" i="1" s="1"/>
  <c r="V298" i="1" a="1"/>
  <c r="V298" i="1" s="1"/>
  <c r="U298" i="1" a="1"/>
  <c r="U298" i="1"/>
  <c r="T298" i="1"/>
  <c r="Q298" i="1" a="1"/>
  <c r="Q298" i="1"/>
  <c r="R298" i="1" s="1"/>
  <c r="S298" i="1" s="1"/>
  <c r="P298" i="1"/>
  <c r="O298" i="1"/>
  <c r="N298" i="1" a="1"/>
  <c r="N298" i="1"/>
  <c r="M298" i="1" a="1"/>
  <c r="M298" i="1"/>
  <c r="L298" i="1" a="1"/>
  <c r="L298" i="1" s="1"/>
  <c r="V297" i="1" a="1"/>
  <c r="V297" i="1" s="1"/>
  <c r="U297" i="1" a="1"/>
  <c r="U297" i="1"/>
  <c r="T297" i="1"/>
  <c r="S297" i="1"/>
  <c r="Q297" i="1" a="1"/>
  <c r="Q297" i="1" s="1"/>
  <c r="R297" i="1" s="1"/>
  <c r="P297" i="1"/>
  <c r="O297" i="1"/>
  <c r="N297" i="1" a="1"/>
  <c r="N297" i="1" s="1"/>
  <c r="M297" i="1" a="1"/>
  <c r="M297" i="1" s="1"/>
  <c r="L297" i="1" a="1"/>
  <c r="L297" i="1"/>
  <c r="V296" i="1" a="1"/>
  <c r="V296" i="1" s="1"/>
  <c r="U296" i="1" a="1"/>
  <c r="U296" i="1"/>
  <c r="T296" i="1"/>
  <c r="S296" i="1"/>
  <c r="R296" i="1"/>
  <c r="Q296" i="1" a="1"/>
  <c r="Q296" i="1" s="1"/>
  <c r="P296" i="1"/>
  <c r="O296" i="1"/>
  <c r="N296" i="1" a="1"/>
  <c r="N296" i="1" s="1"/>
  <c r="M296" i="1" a="1"/>
  <c r="M296" i="1"/>
  <c r="L296" i="1" a="1"/>
  <c r="L296" i="1" s="1"/>
  <c r="V295" i="1" a="1"/>
  <c r="V295" i="1" s="1"/>
  <c r="U295" i="1" a="1"/>
  <c r="U295" i="1" s="1"/>
  <c r="T295" i="1"/>
  <c r="R295" i="1"/>
  <c r="S295" i="1" s="1"/>
  <c r="Q295" i="1" a="1"/>
  <c r="Q295" i="1" s="1"/>
  <c r="P295" i="1"/>
  <c r="O295" i="1"/>
  <c r="N295" i="1" a="1"/>
  <c r="N295" i="1"/>
  <c r="M295" i="1" a="1"/>
  <c r="M295" i="1" s="1"/>
  <c r="L295" i="1" a="1"/>
  <c r="L295" i="1"/>
  <c r="V294" i="1" a="1"/>
  <c r="V294" i="1" s="1"/>
  <c r="U294" i="1" a="1"/>
  <c r="U294" i="1" s="1"/>
  <c r="T294" i="1"/>
  <c r="Q294" i="1" a="1"/>
  <c r="Q294" i="1"/>
  <c r="R294" i="1" s="1"/>
  <c r="S294" i="1" s="1"/>
  <c r="P294" i="1"/>
  <c r="O294" i="1"/>
  <c r="N294" i="1" a="1"/>
  <c r="N294" i="1"/>
  <c r="M294" i="1" a="1"/>
  <c r="M294" i="1" s="1"/>
  <c r="L294" i="1" a="1"/>
  <c r="L294" i="1"/>
  <c r="V293" i="1" a="1"/>
  <c r="V293" i="1" s="1"/>
  <c r="U293" i="1" a="1"/>
  <c r="U293" i="1"/>
  <c r="T293" i="1"/>
  <c r="Q293" i="1" a="1"/>
  <c r="Q293" i="1"/>
  <c r="R293" i="1" s="1"/>
  <c r="S293" i="1" s="1"/>
  <c r="P293" i="1"/>
  <c r="O293" i="1"/>
  <c r="N293" i="1" a="1"/>
  <c r="N293" i="1"/>
  <c r="M293" i="1" a="1"/>
  <c r="M293" i="1" s="1"/>
  <c r="L293" i="1" a="1"/>
  <c r="L293" i="1" s="1"/>
  <c r="V292" i="1" a="1"/>
  <c r="V292" i="1"/>
  <c r="U292" i="1" a="1"/>
  <c r="U292" i="1" s="1"/>
  <c r="T292" i="1"/>
  <c r="Q292" i="1" a="1"/>
  <c r="Q292" i="1" s="1"/>
  <c r="R292" i="1" s="1"/>
  <c r="S292" i="1" s="1"/>
  <c r="P292" i="1"/>
  <c r="O292" i="1"/>
  <c r="N292" i="1" a="1"/>
  <c r="N292" i="1" s="1"/>
  <c r="M292" i="1" a="1"/>
  <c r="M292" i="1"/>
  <c r="L292" i="1" a="1"/>
  <c r="L292" i="1"/>
  <c r="V291" i="1" a="1"/>
  <c r="V291" i="1"/>
  <c r="U291" i="1" a="1"/>
  <c r="U291" i="1" s="1"/>
  <c r="T291" i="1"/>
  <c r="S291" i="1"/>
  <c r="R291" i="1"/>
  <c r="Q291" i="1" a="1"/>
  <c r="Q291" i="1"/>
  <c r="P291" i="1"/>
  <c r="O291" i="1"/>
  <c r="N291" i="1" a="1"/>
  <c r="N291" i="1" s="1"/>
  <c r="M291" i="1" a="1"/>
  <c r="M291" i="1" s="1"/>
  <c r="L291" i="1" a="1"/>
  <c r="L291" i="1" s="1"/>
  <c r="V290" i="1" a="1"/>
  <c r="V290" i="1" s="1"/>
  <c r="U290" i="1" a="1"/>
  <c r="U290" i="1"/>
  <c r="T290" i="1"/>
  <c r="R290" i="1"/>
  <c r="S290" i="1" s="1"/>
  <c r="Q290" i="1" a="1"/>
  <c r="Q290" i="1"/>
  <c r="P290" i="1"/>
  <c r="O290" i="1"/>
  <c r="N290" i="1" a="1"/>
  <c r="N290" i="1" s="1"/>
  <c r="M290" i="1" a="1"/>
  <c r="M290" i="1" s="1"/>
  <c r="L290" i="1" a="1"/>
  <c r="L290" i="1"/>
  <c r="V289" i="1" a="1"/>
  <c r="V289" i="1" s="1"/>
  <c r="U289" i="1" a="1"/>
  <c r="U289" i="1"/>
  <c r="T289" i="1"/>
  <c r="S289" i="1"/>
  <c r="R289" i="1"/>
  <c r="Q289" i="1" a="1"/>
  <c r="Q289" i="1" s="1"/>
  <c r="P289" i="1"/>
  <c r="O289" i="1"/>
  <c r="N289" i="1" a="1"/>
  <c r="N289" i="1"/>
  <c r="M289" i="1" a="1"/>
  <c r="M289" i="1" s="1"/>
  <c r="L289" i="1" a="1"/>
  <c r="L289" i="1"/>
  <c r="V288" i="1" a="1"/>
  <c r="V288" i="1" s="1"/>
  <c r="U288" i="1" a="1"/>
  <c r="U288" i="1" s="1"/>
  <c r="T288" i="1"/>
  <c r="Q288" i="1" a="1"/>
  <c r="Q288" i="1" s="1"/>
  <c r="R288" i="1" s="1"/>
  <c r="S288" i="1" s="1"/>
  <c r="P288" i="1"/>
  <c r="O288" i="1"/>
  <c r="N288" i="1" a="1"/>
  <c r="N288" i="1" s="1"/>
  <c r="M288" i="1" a="1"/>
  <c r="M288" i="1" s="1"/>
  <c r="L288" i="1" a="1"/>
  <c r="L288" i="1" s="1"/>
  <c r="V287" i="1" a="1"/>
  <c r="V287" i="1"/>
  <c r="U287" i="1" a="1"/>
  <c r="U287" i="1" s="1"/>
  <c r="T287" i="1"/>
  <c r="Q287" i="1" a="1"/>
  <c r="Q287" i="1" s="1"/>
  <c r="R287" i="1" s="1"/>
  <c r="S287" i="1" s="1"/>
  <c r="P287" i="1"/>
  <c r="O287" i="1"/>
  <c r="N287" i="1" a="1"/>
  <c r="N287" i="1" s="1"/>
  <c r="M287" i="1" a="1"/>
  <c r="M287" i="1" s="1"/>
  <c r="L287" i="1" a="1"/>
  <c r="L287" i="1" s="1"/>
  <c r="V286" i="1" a="1"/>
  <c r="V286" i="1" s="1"/>
  <c r="U286" i="1" a="1"/>
  <c r="U286" i="1"/>
  <c r="T286" i="1"/>
  <c r="Q286" i="1" a="1"/>
  <c r="Q286" i="1"/>
  <c r="R286" i="1" s="1"/>
  <c r="S286" i="1" s="1"/>
  <c r="P286" i="1"/>
  <c r="O286" i="1"/>
  <c r="N286" i="1" a="1"/>
  <c r="N286" i="1"/>
  <c r="M286" i="1" a="1"/>
  <c r="M286" i="1" s="1"/>
  <c r="L286" i="1" a="1"/>
  <c r="L286" i="1"/>
  <c r="V285" i="1" a="1"/>
  <c r="V285" i="1" s="1"/>
  <c r="U285" i="1" a="1"/>
  <c r="U285" i="1"/>
  <c r="T285" i="1"/>
  <c r="Q285" i="1" a="1"/>
  <c r="Q285" i="1"/>
  <c r="R285" i="1" s="1"/>
  <c r="S285" i="1" s="1"/>
  <c r="P285" i="1"/>
  <c r="O285" i="1"/>
  <c r="N285" i="1" a="1"/>
  <c r="N285" i="1" s="1"/>
  <c r="M285" i="1" a="1"/>
  <c r="M285" i="1"/>
  <c r="L285" i="1" a="1"/>
  <c r="L285" i="1" s="1"/>
  <c r="V284" i="1" a="1"/>
  <c r="V284" i="1" s="1"/>
  <c r="U284" i="1" a="1"/>
  <c r="U284" i="1" s="1"/>
  <c r="T284" i="1"/>
  <c r="R284" i="1"/>
  <c r="S284" i="1" s="1"/>
  <c r="Q284" i="1" a="1"/>
  <c r="Q284" i="1" s="1"/>
  <c r="P284" i="1"/>
  <c r="O284" i="1"/>
  <c r="N284" i="1" a="1"/>
  <c r="N284" i="1"/>
  <c r="M284" i="1" a="1"/>
  <c r="M284" i="1"/>
  <c r="L284" i="1" a="1"/>
  <c r="L284" i="1" s="1"/>
  <c r="V283" i="1" a="1"/>
  <c r="V283" i="1" s="1"/>
  <c r="U283" i="1" a="1"/>
  <c r="U283" i="1" s="1"/>
  <c r="T283" i="1"/>
  <c r="Q283" i="1" a="1"/>
  <c r="Q283" i="1" s="1"/>
  <c r="R283" i="1" s="1"/>
  <c r="S283" i="1" s="1"/>
  <c r="P283" i="1"/>
  <c r="O283" i="1"/>
  <c r="N283" i="1" a="1"/>
  <c r="N283" i="1"/>
  <c r="M283" i="1" a="1"/>
  <c r="M283" i="1" s="1"/>
  <c r="L283" i="1" a="1"/>
  <c r="L283" i="1"/>
  <c r="V282" i="1" a="1"/>
  <c r="V282" i="1" s="1"/>
  <c r="U282" i="1" a="1"/>
  <c r="U282" i="1" s="1"/>
  <c r="T282" i="1"/>
  <c r="Q282" i="1" a="1"/>
  <c r="Q282" i="1" s="1"/>
  <c r="R282" i="1" s="1"/>
  <c r="S282" i="1" s="1"/>
  <c r="P282" i="1"/>
  <c r="O282" i="1"/>
  <c r="N282" i="1" a="1"/>
  <c r="N282" i="1"/>
  <c r="M282" i="1" a="1"/>
  <c r="M282" i="1" s="1"/>
  <c r="L282" i="1" a="1"/>
  <c r="L282" i="1"/>
  <c r="V281" i="1" a="1"/>
  <c r="V281" i="1"/>
  <c r="U281" i="1" a="1"/>
  <c r="U281" i="1" s="1"/>
  <c r="T281" i="1"/>
  <c r="Q281" i="1" a="1"/>
  <c r="Q281" i="1" s="1"/>
  <c r="R281" i="1" s="1"/>
  <c r="S281" i="1" s="1"/>
  <c r="P281" i="1"/>
  <c r="O281" i="1"/>
  <c r="N281" i="1" a="1"/>
  <c r="N281" i="1" s="1"/>
  <c r="M281" i="1" a="1"/>
  <c r="M281" i="1"/>
  <c r="L281" i="1" a="1"/>
  <c r="L281" i="1" s="1"/>
  <c r="V280" i="1" a="1"/>
  <c r="V280" i="1"/>
  <c r="U280" i="1" a="1"/>
  <c r="U280" i="1" s="1"/>
  <c r="T280" i="1"/>
  <c r="Q280" i="1" a="1"/>
  <c r="Q280" i="1" s="1"/>
  <c r="R280" i="1" s="1"/>
  <c r="S280" i="1" s="1"/>
  <c r="P280" i="1"/>
  <c r="O280" i="1"/>
  <c r="N280" i="1" a="1"/>
  <c r="N280" i="1" s="1"/>
  <c r="M280" i="1" a="1"/>
  <c r="M280" i="1"/>
  <c r="L280" i="1" a="1"/>
  <c r="L280" i="1"/>
  <c r="V279" i="1" a="1"/>
  <c r="V279" i="1"/>
  <c r="U279" i="1" a="1"/>
  <c r="U279" i="1" s="1"/>
  <c r="T279" i="1"/>
  <c r="S279" i="1"/>
  <c r="Q279" i="1" a="1"/>
  <c r="Q279" i="1" s="1"/>
  <c r="R279" i="1" s="1"/>
  <c r="P279" i="1"/>
  <c r="O279" i="1"/>
  <c r="N279" i="1" a="1"/>
  <c r="N279" i="1" s="1"/>
  <c r="M279" i="1" a="1"/>
  <c r="M279" i="1"/>
  <c r="L279" i="1" a="1"/>
  <c r="L279" i="1" s="1"/>
  <c r="V278" i="1" a="1"/>
  <c r="V278" i="1" s="1"/>
  <c r="U278" i="1" a="1"/>
  <c r="U278" i="1" s="1"/>
  <c r="T278" i="1"/>
  <c r="Q278" i="1" a="1"/>
  <c r="Q278" i="1"/>
  <c r="R278" i="1" s="1"/>
  <c r="S278" i="1" s="1"/>
  <c r="P278" i="1"/>
  <c r="O278" i="1"/>
  <c r="N278" i="1" a="1"/>
  <c r="N278" i="1"/>
  <c r="M278" i="1" a="1"/>
  <c r="M278" i="1" s="1"/>
  <c r="L278" i="1" a="1"/>
  <c r="L278" i="1"/>
  <c r="V277" i="1" a="1"/>
  <c r="V277" i="1" s="1"/>
  <c r="U277" i="1" a="1"/>
  <c r="U277" i="1"/>
  <c r="T277" i="1"/>
  <c r="Q277" i="1" a="1"/>
  <c r="Q277" i="1" s="1"/>
  <c r="R277" i="1" s="1"/>
  <c r="S277" i="1" s="1"/>
  <c r="P277" i="1"/>
  <c r="O277" i="1"/>
  <c r="N277" i="1" a="1"/>
  <c r="N277" i="1"/>
  <c r="M277" i="1" a="1"/>
  <c r="M277" i="1" s="1"/>
  <c r="L277" i="1" a="1"/>
  <c r="L277" i="1" s="1"/>
  <c r="V276" i="1" a="1"/>
  <c r="V276" i="1"/>
  <c r="U276" i="1" a="1"/>
  <c r="U276" i="1" s="1"/>
  <c r="T276" i="1"/>
  <c r="R276" i="1"/>
  <c r="S276" i="1" s="1"/>
  <c r="Q276" i="1" a="1"/>
  <c r="Q276" i="1" s="1"/>
  <c r="P276" i="1"/>
  <c r="O276" i="1"/>
  <c r="N276" i="1" a="1"/>
  <c r="N276" i="1" s="1"/>
  <c r="M276" i="1" a="1"/>
  <c r="M276" i="1"/>
  <c r="L276" i="1" a="1"/>
  <c r="L276" i="1" s="1"/>
  <c r="V275" i="1" a="1"/>
  <c r="V275" i="1"/>
  <c r="U275" i="1" a="1"/>
  <c r="U275" i="1"/>
  <c r="T275" i="1"/>
  <c r="R275" i="1"/>
  <c r="S275" i="1" s="1"/>
  <c r="Q275" i="1" a="1"/>
  <c r="Q275" i="1" s="1"/>
  <c r="P275" i="1"/>
  <c r="O275" i="1"/>
  <c r="N275" i="1" a="1"/>
  <c r="N275" i="1" s="1"/>
  <c r="M275" i="1" a="1"/>
  <c r="M275" i="1" s="1"/>
  <c r="L275" i="1" a="1"/>
  <c r="L275" i="1" s="1"/>
  <c r="V274" i="1" a="1"/>
  <c r="V274" i="1"/>
  <c r="U274" i="1" a="1"/>
  <c r="U274" i="1"/>
  <c r="T274" i="1"/>
  <c r="Q274" i="1" a="1"/>
  <c r="Q274" i="1"/>
  <c r="R274" i="1" s="1"/>
  <c r="S274" i="1" s="1"/>
  <c r="P274" i="1"/>
  <c r="O274" i="1"/>
  <c r="N274" i="1" a="1"/>
  <c r="N274" i="1"/>
  <c r="M274" i="1" a="1"/>
  <c r="M274" i="1" s="1"/>
  <c r="L274" i="1" a="1"/>
  <c r="L274" i="1" s="1"/>
  <c r="V273" i="1" a="1"/>
  <c r="V273" i="1" s="1"/>
  <c r="U273" i="1" a="1"/>
  <c r="U273" i="1"/>
  <c r="T273" i="1"/>
  <c r="Q273" i="1" a="1"/>
  <c r="Q273" i="1"/>
  <c r="R273" i="1" s="1"/>
  <c r="S273" i="1" s="1"/>
  <c r="P273" i="1"/>
  <c r="O273" i="1"/>
  <c r="N273" i="1" a="1"/>
  <c r="N273" i="1" s="1"/>
  <c r="M273" i="1" a="1"/>
  <c r="M273" i="1" s="1"/>
  <c r="L273" i="1" a="1"/>
  <c r="L273" i="1" s="1"/>
  <c r="V272" i="1" a="1"/>
  <c r="V272" i="1" s="1"/>
  <c r="U272" i="1" a="1"/>
  <c r="U272" i="1" s="1"/>
  <c r="T272" i="1"/>
  <c r="S272" i="1"/>
  <c r="R272" i="1"/>
  <c r="Q272" i="1" a="1"/>
  <c r="Q272" i="1" s="1"/>
  <c r="P272" i="1"/>
  <c r="O272" i="1"/>
  <c r="N272" i="1" a="1"/>
  <c r="N272" i="1"/>
  <c r="M272" i="1" a="1"/>
  <c r="M272" i="1"/>
  <c r="L272" i="1" a="1"/>
  <c r="L272" i="1" s="1"/>
  <c r="V271" i="1" a="1"/>
  <c r="V271" i="1" s="1"/>
  <c r="U271" i="1" a="1"/>
  <c r="U271" i="1" s="1"/>
  <c r="T271" i="1"/>
  <c r="Q271" i="1" a="1"/>
  <c r="Q271" i="1" s="1"/>
  <c r="R271" i="1" s="1"/>
  <c r="S271" i="1" s="1"/>
  <c r="P271" i="1"/>
  <c r="O271" i="1"/>
  <c r="N271" i="1" a="1"/>
  <c r="N271" i="1" s="1"/>
  <c r="M271" i="1" a="1"/>
  <c r="M271" i="1" s="1"/>
  <c r="L271" i="1" a="1"/>
  <c r="L271" i="1"/>
  <c r="V270" i="1" a="1"/>
  <c r="V270" i="1" s="1"/>
  <c r="U270" i="1" a="1"/>
  <c r="U270" i="1" s="1"/>
  <c r="T270" i="1"/>
  <c r="Q270" i="1" a="1"/>
  <c r="Q270" i="1" s="1"/>
  <c r="R270" i="1" s="1"/>
  <c r="S270" i="1" s="1"/>
  <c r="P270" i="1"/>
  <c r="O270" i="1"/>
  <c r="N270" i="1" a="1"/>
  <c r="N270" i="1"/>
  <c r="M270" i="1" a="1"/>
  <c r="M270" i="1" s="1"/>
  <c r="L270" i="1" a="1"/>
  <c r="L270" i="1"/>
  <c r="V269" i="1" a="1"/>
  <c r="V269" i="1" s="1"/>
  <c r="U269" i="1" a="1"/>
  <c r="U269" i="1" s="1"/>
  <c r="T269" i="1"/>
  <c r="Q269" i="1" a="1"/>
  <c r="Q269" i="1"/>
  <c r="R269" i="1" s="1"/>
  <c r="S269" i="1" s="1"/>
  <c r="P269" i="1"/>
  <c r="O269" i="1"/>
  <c r="N269" i="1" a="1"/>
  <c r="N269" i="1"/>
  <c r="M269" i="1" a="1"/>
  <c r="M269" i="1" s="1"/>
  <c r="L269" i="1" a="1"/>
  <c r="L269" i="1" s="1"/>
  <c r="V268" i="1" a="1"/>
  <c r="V268" i="1" s="1"/>
  <c r="U268" i="1" a="1"/>
  <c r="U268" i="1" s="1"/>
  <c r="T268" i="1"/>
  <c r="Q268" i="1" a="1"/>
  <c r="Q268" i="1"/>
  <c r="R268" i="1" s="1"/>
  <c r="S268" i="1" s="1"/>
  <c r="P268" i="1"/>
  <c r="O268" i="1"/>
  <c r="N268" i="1" a="1"/>
  <c r="N268" i="1" s="1"/>
  <c r="M268" i="1" a="1"/>
  <c r="M268" i="1"/>
  <c r="L268" i="1" a="1"/>
  <c r="L268" i="1" s="1"/>
  <c r="V267" i="1" a="1"/>
  <c r="V267" i="1"/>
  <c r="U267" i="1" a="1"/>
  <c r="U267" i="1"/>
  <c r="T267" i="1"/>
  <c r="Q267" i="1" a="1"/>
  <c r="Q267" i="1" s="1"/>
  <c r="R267" i="1" s="1"/>
  <c r="S267" i="1" s="1"/>
  <c r="P267" i="1"/>
  <c r="O267" i="1"/>
  <c r="N267" i="1" a="1"/>
  <c r="N267" i="1" s="1"/>
  <c r="M267" i="1" a="1"/>
  <c r="M267" i="1" s="1"/>
  <c r="L267" i="1" a="1"/>
  <c r="L267" i="1" s="1"/>
  <c r="V266" i="1" a="1"/>
  <c r="V266" i="1" s="1"/>
  <c r="U266" i="1" a="1"/>
  <c r="U266" i="1" s="1"/>
  <c r="T266" i="1"/>
  <c r="R266" i="1"/>
  <c r="S266" i="1" s="1"/>
  <c r="Q266" i="1" a="1"/>
  <c r="Q266" i="1"/>
  <c r="P266" i="1"/>
  <c r="O266" i="1"/>
  <c r="N266" i="1" a="1"/>
  <c r="N266" i="1" s="1"/>
  <c r="M266" i="1" a="1"/>
  <c r="M266" i="1" s="1"/>
  <c r="L266" i="1" a="1"/>
  <c r="L266" i="1"/>
  <c r="V265" i="1" a="1"/>
  <c r="V265" i="1" s="1"/>
  <c r="U265" i="1" a="1"/>
  <c r="U265" i="1"/>
  <c r="T265" i="1"/>
  <c r="S265" i="1"/>
  <c r="R265" i="1"/>
  <c r="Q265" i="1" a="1"/>
  <c r="Q265" i="1" s="1"/>
  <c r="P265" i="1"/>
  <c r="O265" i="1"/>
  <c r="N265" i="1" a="1"/>
  <c r="N265" i="1"/>
  <c r="M265" i="1" a="1"/>
  <c r="M265" i="1" s="1"/>
  <c r="L265" i="1" a="1"/>
  <c r="L265" i="1"/>
  <c r="V264" i="1" a="1"/>
  <c r="V264" i="1" s="1"/>
  <c r="U264" i="1" a="1"/>
  <c r="U264" i="1" s="1"/>
  <c r="T264" i="1"/>
  <c r="Q264" i="1" a="1"/>
  <c r="Q264" i="1" s="1"/>
  <c r="R264" i="1" s="1"/>
  <c r="S264" i="1" s="1"/>
  <c r="P264" i="1"/>
  <c r="O264" i="1"/>
  <c r="N264" i="1" a="1"/>
  <c r="N264" i="1" s="1"/>
  <c r="M264" i="1" a="1"/>
  <c r="M264" i="1" s="1"/>
  <c r="L264" i="1" a="1"/>
  <c r="L264" i="1" s="1"/>
  <c r="V263" i="1" a="1"/>
  <c r="V263" i="1"/>
  <c r="U263" i="1" a="1"/>
  <c r="U263" i="1" s="1"/>
  <c r="T263" i="1"/>
  <c r="Q263" i="1" a="1"/>
  <c r="Q263" i="1" s="1"/>
  <c r="R263" i="1" s="1"/>
  <c r="S263" i="1" s="1"/>
  <c r="P263" i="1"/>
  <c r="O263" i="1"/>
  <c r="N263" i="1" a="1"/>
  <c r="N263" i="1" s="1"/>
  <c r="M263" i="1" a="1"/>
  <c r="M263" i="1"/>
  <c r="L263" i="1" a="1"/>
  <c r="L263" i="1" s="1"/>
  <c r="V262" i="1" a="1"/>
  <c r="V262" i="1" s="1"/>
  <c r="U262" i="1" a="1"/>
  <c r="U262" i="1"/>
  <c r="T262" i="1"/>
  <c r="Q262" i="1" a="1"/>
  <c r="Q262" i="1"/>
  <c r="R262" i="1" s="1"/>
  <c r="S262" i="1" s="1"/>
  <c r="P262" i="1"/>
  <c r="O262" i="1"/>
  <c r="N262" i="1" a="1"/>
  <c r="N262" i="1"/>
  <c r="M262" i="1" a="1"/>
  <c r="M262" i="1" s="1"/>
  <c r="L262" i="1" a="1"/>
  <c r="L262" i="1"/>
  <c r="V261" i="1" a="1"/>
  <c r="V261" i="1" s="1"/>
  <c r="U261" i="1" a="1"/>
  <c r="U261" i="1"/>
  <c r="T261" i="1"/>
  <c r="Q261" i="1" a="1"/>
  <c r="Q261" i="1" s="1"/>
  <c r="R261" i="1" s="1"/>
  <c r="S261" i="1" s="1"/>
  <c r="P261" i="1"/>
  <c r="O261" i="1"/>
  <c r="N261" i="1" a="1"/>
  <c r="N261" i="1" s="1"/>
  <c r="M261" i="1" a="1"/>
  <c r="M261" i="1" s="1"/>
  <c r="L261" i="1" a="1"/>
  <c r="L261" i="1" s="1"/>
  <c r="V260" i="1" a="1"/>
  <c r="V260" i="1" s="1"/>
  <c r="U260" i="1" a="1"/>
  <c r="U260" i="1"/>
  <c r="T260" i="1"/>
  <c r="Q260" i="1" a="1"/>
  <c r="Q260" i="1" s="1"/>
  <c r="R260" i="1" s="1"/>
  <c r="S260" i="1" s="1"/>
  <c r="P260" i="1"/>
  <c r="O260" i="1"/>
  <c r="N260" i="1" a="1"/>
  <c r="N260" i="1"/>
  <c r="M260" i="1" a="1"/>
  <c r="M260" i="1"/>
  <c r="L260" i="1" a="1"/>
  <c r="L260" i="1"/>
  <c r="V259" i="1" a="1"/>
  <c r="V259" i="1" s="1"/>
  <c r="U259" i="1" a="1"/>
  <c r="U259" i="1" s="1"/>
  <c r="T259" i="1"/>
  <c r="S259" i="1"/>
  <c r="R259" i="1"/>
  <c r="Q259" i="1" a="1"/>
  <c r="Q259" i="1" s="1"/>
  <c r="P259" i="1"/>
  <c r="O259" i="1"/>
  <c r="N259" i="1" a="1"/>
  <c r="N259" i="1" s="1"/>
  <c r="M259" i="1" a="1"/>
  <c r="M259" i="1" s="1"/>
  <c r="L259" i="1" a="1"/>
  <c r="L259" i="1"/>
  <c r="V258" i="1" a="1"/>
  <c r="V258" i="1" s="1"/>
  <c r="U258" i="1" a="1"/>
  <c r="U258" i="1" s="1"/>
  <c r="T258" i="1"/>
  <c r="Q258" i="1" a="1"/>
  <c r="Q258" i="1"/>
  <c r="R258" i="1" s="1"/>
  <c r="S258" i="1" s="1"/>
  <c r="P258" i="1"/>
  <c r="O258" i="1"/>
  <c r="N258" i="1" a="1"/>
  <c r="N258" i="1"/>
  <c r="M258" i="1" a="1"/>
  <c r="M258" i="1" s="1"/>
  <c r="L258" i="1" a="1"/>
  <c r="L258" i="1"/>
  <c r="V257" i="1" a="1"/>
  <c r="V257" i="1"/>
  <c r="U257" i="1" a="1"/>
  <c r="U257" i="1"/>
  <c r="T257" i="1"/>
  <c r="Q257" i="1" a="1"/>
  <c r="Q257" i="1" s="1"/>
  <c r="R257" i="1" s="1"/>
  <c r="S257" i="1" s="1"/>
  <c r="P257" i="1"/>
  <c r="O257" i="1"/>
  <c r="N257" i="1" a="1"/>
  <c r="N257" i="1" s="1"/>
  <c r="M257" i="1" a="1"/>
  <c r="M257" i="1" s="1"/>
  <c r="L257" i="1" a="1"/>
  <c r="L257" i="1" s="1"/>
  <c r="V256" i="1" a="1"/>
  <c r="V256" i="1"/>
  <c r="U256" i="1" a="1"/>
  <c r="U256" i="1"/>
  <c r="T256" i="1"/>
  <c r="R256" i="1"/>
  <c r="S256" i="1" s="1"/>
  <c r="Q256" i="1" a="1"/>
  <c r="Q256" i="1"/>
  <c r="P256" i="1"/>
  <c r="O256" i="1"/>
  <c r="N256" i="1" a="1"/>
  <c r="N256" i="1" s="1"/>
  <c r="M256" i="1" a="1"/>
  <c r="M256" i="1"/>
  <c r="L256" i="1" a="1"/>
  <c r="L256" i="1" s="1"/>
  <c r="V255" i="1" a="1"/>
  <c r="V255" i="1"/>
  <c r="U255" i="1" a="1"/>
  <c r="U255" i="1"/>
  <c r="T255" i="1"/>
  <c r="S255" i="1"/>
  <c r="Q255" i="1" a="1"/>
  <c r="Q255" i="1" s="1"/>
  <c r="R255" i="1" s="1"/>
  <c r="P255" i="1"/>
  <c r="O255" i="1"/>
  <c r="N255" i="1" a="1"/>
  <c r="N255" i="1" s="1"/>
  <c r="M255" i="1" a="1"/>
  <c r="M255" i="1" s="1"/>
  <c r="L255" i="1" a="1"/>
  <c r="L255" i="1" s="1"/>
  <c r="V254" i="1" a="1"/>
  <c r="V254" i="1" s="1"/>
  <c r="U254" i="1" a="1"/>
  <c r="U254" i="1" s="1"/>
  <c r="T254" i="1"/>
  <c r="Q254" i="1" a="1"/>
  <c r="Q254" i="1"/>
  <c r="R254" i="1" s="1"/>
  <c r="S254" i="1" s="1"/>
  <c r="P254" i="1"/>
  <c r="O254" i="1"/>
  <c r="N254" i="1" a="1"/>
  <c r="N254" i="1"/>
  <c r="M254" i="1" a="1"/>
  <c r="M254" i="1" s="1"/>
  <c r="L254" i="1" a="1"/>
  <c r="L254" i="1"/>
  <c r="V253" i="1" a="1"/>
  <c r="V253" i="1" s="1"/>
  <c r="U253" i="1" a="1"/>
  <c r="U253" i="1"/>
  <c r="T253" i="1"/>
  <c r="S253" i="1"/>
  <c r="R253" i="1"/>
  <c r="Q253" i="1" a="1"/>
  <c r="Q253" i="1"/>
  <c r="P253" i="1"/>
  <c r="O253" i="1"/>
  <c r="N253" i="1" a="1"/>
  <c r="N253" i="1" s="1"/>
  <c r="M253" i="1" a="1"/>
  <c r="M253" i="1" s="1"/>
  <c r="L253" i="1" a="1"/>
  <c r="L253" i="1"/>
  <c r="V252" i="1" a="1"/>
  <c r="V252" i="1"/>
  <c r="U252" i="1" a="1"/>
  <c r="U252" i="1"/>
  <c r="T252" i="1"/>
  <c r="R252" i="1"/>
  <c r="S252" i="1" s="1"/>
  <c r="Q252" i="1" a="1"/>
  <c r="Q252" i="1"/>
  <c r="P252" i="1"/>
  <c r="O252" i="1"/>
  <c r="N252" i="1" a="1"/>
  <c r="N252" i="1"/>
  <c r="M252" i="1" a="1"/>
  <c r="M252" i="1"/>
  <c r="L252" i="1" a="1"/>
  <c r="L252" i="1" s="1"/>
  <c r="V251" i="1" a="1"/>
  <c r="V251" i="1"/>
  <c r="U251" i="1" a="1"/>
  <c r="U251" i="1" s="1"/>
  <c r="T251" i="1"/>
  <c r="Q251" i="1" a="1"/>
  <c r="Q251" i="1"/>
  <c r="R251" i="1" s="1"/>
  <c r="S251" i="1" s="1"/>
  <c r="P251" i="1"/>
  <c r="O251" i="1"/>
  <c r="N251" i="1" a="1"/>
  <c r="N251" i="1" s="1"/>
  <c r="M251" i="1" a="1"/>
  <c r="M251" i="1" s="1"/>
  <c r="L251" i="1" a="1"/>
  <c r="L251" i="1" s="1"/>
  <c r="V250" i="1" a="1"/>
  <c r="V250" i="1" s="1"/>
  <c r="U250" i="1" a="1"/>
  <c r="U250" i="1" s="1"/>
  <c r="T250" i="1"/>
  <c r="S250" i="1"/>
  <c r="Q250" i="1" a="1"/>
  <c r="Q250" i="1"/>
  <c r="R250" i="1" s="1"/>
  <c r="P250" i="1"/>
  <c r="O250" i="1"/>
  <c r="N250" i="1" a="1"/>
  <c r="N250" i="1"/>
  <c r="M250" i="1" a="1"/>
  <c r="M250" i="1" s="1"/>
  <c r="L250" i="1" a="1"/>
  <c r="L250" i="1" s="1"/>
  <c r="V249" i="1" a="1"/>
  <c r="V249" i="1" s="1"/>
  <c r="U249" i="1" a="1"/>
  <c r="U249" i="1"/>
  <c r="T249" i="1"/>
  <c r="Q249" i="1" a="1"/>
  <c r="Q249" i="1" s="1"/>
  <c r="R249" i="1" s="1"/>
  <c r="S249" i="1" s="1"/>
  <c r="P249" i="1"/>
  <c r="O249" i="1"/>
  <c r="N249" i="1" a="1"/>
  <c r="N249" i="1" s="1"/>
  <c r="M249" i="1" a="1"/>
  <c r="M249" i="1" s="1"/>
  <c r="L249" i="1" a="1"/>
  <c r="L249" i="1" s="1"/>
  <c r="V248" i="1" a="1"/>
  <c r="V248" i="1"/>
  <c r="U248" i="1" a="1"/>
  <c r="U248" i="1" s="1"/>
  <c r="T248" i="1"/>
  <c r="S248" i="1"/>
  <c r="R248" i="1"/>
  <c r="Q248" i="1" a="1"/>
  <c r="Q248" i="1" s="1"/>
  <c r="P248" i="1"/>
  <c r="O248" i="1"/>
  <c r="N248" i="1" a="1"/>
  <c r="N248" i="1" s="1"/>
  <c r="M248" i="1" a="1"/>
  <c r="M248" i="1"/>
  <c r="L248" i="1" a="1"/>
  <c r="L248" i="1" s="1"/>
  <c r="V247" i="1" a="1"/>
  <c r="V247" i="1" s="1"/>
  <c r="U247" i="1" a="1"/>
  <c r="U247" i="1" s="1"/>
  <c r="T247" i="1"/>
  <c r="Q247" i="1" a="1"/>
  <c r="Q247" i="1"/>
  <c r="R247" i="1" s="1"/>
  <c r="S247" i="1" s="1"/>
  <c r="P247" i="1"/>
  <c r="O247" i="1"/>
  <c r="N247" i="1" a="1"/>
  <c r="N247" i="1"/>
  <c r="M247" i="1" a="1"/>
  <c r="M247" i="1"/>
  <c r="L247" i="1" a="1"/>
  <c r="L247" i="1"/>
  <c r="V246" i="1" a="1"/>
  <c r="V246" i="1"/>
  <c r="U246" i="1" a="1"/>
  <c r="U246" i="1"/>
  <c r="T246" i="1"/>
  <c r="Q246" i="1" a="1"/>
  <c r="Q246" i="1" s="1"/>
  <c r="R246" i="1" s="1"/>
  <c r="S246" i="1" s="1"/>
  <c r="P246" i="1"/>
  <c r="O246" i="1"/>
  <c r="N246" i="1" a="1"/>
  <c r="N246" i="1"/>
  <c r="M246" i="1" a="1"/>
  <c r="M246" i="1" s="1"/>
  <c r="L246" i="1" a="1"/>
  <c r="L246" i="1" s="1"/>
  <c r="V245" i="1" a="1"/>
  <c r="V245" i="1"/>
  <c r="U245" i="1" a="1"/>
  <c r="U245" i="1"/>
  <c r="T245" i="1"/>
  <c r="Q245" i="1" a="1"/>
  <c r="Q245" i="1" s="1"/>
  <c r="R245" i="1" s="1"/>
  <c r="S245" i="1" s="1"/>
  <c r="P245" i="1"/>
  <c r="O245" i="1"/>
  <c r="N245" i="1" a="1"/>
  <c r="N245" i="1" s="1"/>
  <c r="M245" i="1" a="1"/>
  <c r="M245" i="1"/>
  <c r="L245" i="1" a="1"/>
  <c r="L245" i="1"/>
  <c r="V244" i="1" a="1"/>
  <c r="V244" i="1" s="1"/>
  <c r="U244" i="1" a="1"/>
  <c r="U244" i="1" s="1"/>
  <c r="T244" i="1"/>
  <c r="Q244" i="1" a="1"/>
  <c r="Q244" i="1"/>
  <c r="R244" i="1" s="1"/>
  <c r="S244" i="1" s="1"/>
  <c r="P244" i="1"/>
  <c r="O244" i="1"/>
  <c r="N244" i="1" a="1"/>
  <c r="N244" i="1"/>
  <c r="M244" i="1" a="1"/>
  <c r="M244" i="1"/>
  <c r="L244" i="1" a="1"/>
  <c r="L244" i="1" s="1"/>
  <c r="V243" i="1" a="1"/>
  <c r="V243" i="1"/>
  <c r="U243" i="1" a="1"/>
  <c r="U243" i="1" s="1"/>
  <c r="T243" i="1"/>
  <c r="R243" i="1"/>
  <c r="S243" i="1" s="1"/>
  <c r="Q243" i="1" a="1"/>
  <c r="Q243" i="1"/>
  <c r="P243" i="1"/>
  <c r="O243" i="1"/>
  <c r="N243" i="1" a="1"/>
  <c r="N243" i="1" s="1"/>
  <c r="M243" i="1" a="1"/>
  <c r="M243" i="1" s="1"/>
  <c r="L243" i="1" a="1"/>
  <c r="L243" i="1" s="1"/>
  <c r="V242" i="1" a="1"/>
  <c r="V242" i="1"/>
  <c r="U242" i="1" a="1"/>
  <c r="U242" i="1"/>
  <c r="T242" i="1"/>
  <c r="S242" i="1"/>
  <c r="Q242" i="1" a="1"/>
  <c r="Q242" i="1"/>
  <c r="R242" i="1" s="1"/>
  <c r="P242" i="1"/>
  <c r="O242" i="1"/>
  <c r="N242" i="1" a="1"/>
  <c r="N242" i="1"/>
  <c r="M242" i="1" a="1"/>
  <c r="M242" i="1"/>
  <c r="L242" i="1" a="1"/>
  <c r="L242" i="1"/>
  <c r="V241" i="1" a="1"/>
  <c r="V241" i="1" s="1"/>
  <c r="U241" i="1" a="1"/>
  <c r="U241" i="1"/>
  <c r="T241" i="1"/>
  <c r="Q241" i="1" a="1"/>
  <c r="Q241" i="1" s="1"/>
  <c r="R241" i="1" s="1"/>
  <c r="S241" i="1" s="1"/>
  <c r="P241" i="1"/>
  <c r="O241" i="1"/>
  <c r="N241" i="1" a="1"/>
  <c r="N241" i="1" s="1"/>
  <c r="M241" i="1" a="1"/>
  <c r="M241" i="1" s="1"/>
  <c r="L241" i="1" a="1"/>
  <c r="L241" i="1"/>
  <c r="V240" i="1" a="1"/>
  <c r="V240" i="1" s="1"/>
  <c r="U240" i="1" a="1"/>
  <c r="U240" i="1" s="1"/>
  <c r="T240" i="1"/>
  <c r="R240" i="1"/>
  <c r="S240" i="1" s="1"/>
  <c r="Q240" i="1" a="1"/>
  <c r="Q240" i="1" s="1"/>
  <c r="P240" i="1"/>
  <c r="O240" i="1"/>
  <c r="N240" i="1" a="1"/>
  <c r="N240" i="1" s="1"/>
  <c r="M240" i="1" a="1"/>
  <c r="M240" i="1"/>
  <c r="L240" i="1" a="1"/>
  <c r="L240" i="1" s="1"/>
  <c r="V239" i="1" a="1"/>
  <c r="V239" i="1" s="1"/>
  <c r="U239" i="1" a="1"/>
  <c r="U239" i="1" s="1"/>
  <c r="T239" i="1"/>
  <c r="Q239" i="1" a="1"/>
  <c r="Q239" i="1" s="1"/>
  <c r="R239" i="1" s="1"/>
  <c r="S239" i="1" s="1"/>
  <c r="P239" i="1"/>
  <c r="O239" i="1"/>
  <c r="N239" i="1" a="1"/>
  <c r="N239" i="1"/>
  <c r="M239" i="1" a="1"/>
  <c r="M239" i="1"/>
  <c r="L239" i="1" a="1"/>
  <c r="L239" i="1" s="1"/>
  <c r="V238" i="1" a="1"/>
  <c r="V238" i="1" s="1"/>
  <c r="U238" i="1" a="1"/>
  <c r="U238" i="1" s="1"/>
  <c r="T238" i="1"/>
  <c r="Q238" i="1" a="1"/>
  <c r="Q238" i="1" s="1"/>
  <c r="R238" i="1" s="1"/>
  <c r="S238" i="1" s="1"/>
  <c r="P238" i="1"/>
  <c r="O238" i="1"/>
  <c r="N238" i="1" a="1"/>
  <c r="N238" i="1"/>
  <c r="M238" i="1" a="1"/>
  <c r="M238" i="1" s="1"/>
  <c r="L238" i="1" a="1"/>
  <c r="L238" i="1"/>
  <c r="V237" i="1" a="1"/>
  <c r="V237" i="1" s="1"/>
  <c r="U237" i="1" a="1"/>
  <c r="U237" i="1" s="1"/>
  <c r="T237" i="1"/>
  <c r="Q237" i="1" a="1"/>
  <c r="Q237" i="1"/>
  <c r="R237" i="1" s="1"/>
  <c r="S237" i="1" s="1"/>
  <c r="P237" i="1"/>
  <c r="O237" i="1"/>
  <c r="N237" i="1" a="1"/>
  <c r="N237" i="1"/>
  <c r="M237" i="1" a="1"/>
  <c r="M237" i="1"/>
  <c r="L237" i="1" a="1"/>
  <c r="L237" i="1"/>
  <c r="V236" i="1" a="1"/>
  <c r="V236" i="1" s="1"/>
  <c r="U236" i="1" a="1"/>
  <c r="U236" i="1" s="1"/>
  <c r="T236" i="1"/>
  <c r="Q236" i="1" a="1"/>
  <c r="Q236" i="1" s="1"/>
  <c r="R236" i="1" s="1"/>
  <c r="S236" i="1" s="1"/>
  <c r="P236" i="1"/>
  <c r="O236" i="1"/>
  <c r="N236" i="1" a="1"/>
  <c r="N236" i="1" s="1"/>
  <c r="M236" i="1" a="1"/>
  <c r="M236" i="1"/>
  <c r="L236" i="1" a="1"/>
  <c r="L236" i="1"/>
  <c r="V235" i="1" a="1"/>
  <c r="V235" i="1"/>
  <c r="U235" i="1" a="1"/>
  <c r="U235" i="1"/>
  <c r="T235" i="1"/>
  <c r="Q235" i="1" a="1"/>
  <c r="Q235" i="1" s="1"/>
  <c r="R235" i="1" s="1"/>
  <c r="S235" i="1" s="1"/>
  <c r="P235" i="1"/>
  <c r="O235" i="1"/>
  <c r="N235" i="1" a="1"/>
  <c r="N235" i="1" s="1"/>
  <c r="M235" i="1" a="1"/>
  <c r="M235" i="1" s="1"/>
  <c r="L235" i="1" a="1"/>
  <c r="L235" i="1" s="1"/>
  <c r="V234" i="1" a="1"/>
  <c r="V234" i="1" s="1"/>
  <c r="U234" i="1" a="1"/>
  <c r="U234" i="1" s="1"/>
  <c r="T234" i="1"/>
  <c r="S234" i="1"/>
  <c r="R234" i="1"/>
  <c r="Q234" i="1" a="1"/>
  <c r="Q234" i="1"/>
  <c r="P234" i="1"/>
  <c r="O234" i="1"/>
  <c r="N234" i="1" a="1"/>
  <c r="N234" i="1" s="1"/>
  <c r="M234" i="1" a="1"/>
  <c r="M234" i="1" s="1"/>
  <c r="L234" i="1" a="1"/>
  <c r="L234" i="1"/>
  <c r="V233" i="1" a="1"/>
  <c r="V233" i="1" s="1"/>
  <c r="U233" i="1" a="1"/>
  <c r="U233" i="1"/>
  <c r="T233" i="1"/>
  <c r="Q233" i="1" a="1"/>
  <c r="Q233" i="1" s="1"/>
  <c r="R233" i="1" s="1"/>
  <c r="S233" i="1" s="1"/>
  <c r="P233" i="1"/>
  <c r="O233" i="1"/>
  <c r="N233" i="1" a="1"/>
  <c r="N233" i="1"/>
  <c r="M233" i="1" a="1"/>
  <c r="M233" i="1" s="1"/>
  <c r="L233" i="1" a="1"/>
  <c r="L233" i="1"/>
  <c r="V232" i="1" a="1"/>
  <c r="V232" i="1"/>
  <c r="U232" i="1" a="1"/>
  <c r="U232" i="1"/>
  <c r="T232" i="1"/>
  <c r="Q232" i="1" a="1"/>
  <c r="Q232" i="1"/>
  <c r="R232" i="1" s="1"/>
  <c r="S232" i="1" s="1"/>
  <c r="P232" i="1"/>
  <c r="O232" i="1"/>
  <c r="N232" i="1" a="1"/>
  <c r="N232" i="1"/>
  <c r="M232" i="1" a="1"/>
  <c r="M232" i="1"/>
  <c r="L232" i="1" a="1"/>
  <c r="L232" i="1" s="1"/>
  <c r="V231" i="1" a="1"/>
  <c r="V231" i="1"/>
  <c r="U231" i="1" a="1"/>
  <c r="U231" i="1" s="1"/>
  <c r="T231" i="1"/>
  <c r="R231" i="1"/>
  <c r="S231" i="1" s="1"/>
  <c r="Q231" i="1" a="1"/>
  <c r="Q231" i="1"/>
  <c r="P231" i="1"/>
  <c r="O231" i="1"/>
  <c r="N231" i="1" a="1"/>
  <c r="N231" i="1" s="1"/>
  <c r="M231" i="1" a="1"/>
  <c r="M231" i="1" s="1"/>
  <c r="L231" i="1" a="1"/>
  <c r="L231" i="1" s="1"/>
  <c r="V230" i="1" a="1"/>
  <c r="V230" i="1"/>
  <c r="U230" i="1" a="1"/>
  <c r="U230" i="1"/>
  <c r="T230" i="1"/>
  <c r="S230" i="1"/>
  <c r="Q230" i="1" a="1"/>
  <c r="Q230" i="1"/>
  <c r="R230" i="1" s="1"/>
  <c r="P230" i="1"/>
  <c r="O230" i="1"/>
  <c r="N230" i="1" a="1"/>
  <c r="N230" i="1"/>
  <c r="M230" i="1" a="1"/>
  <c r="M230" i="1"/>
  <c r="L230" i="1" a="1"/>
  <c r="L230" i="1"/>
  <c r="V229" i="1" a="1"/>
  <c r="V229" i="1" s="1"/>
  <c r="U229" i="1" a="1"/>
  <c r="U229" i="1"/>
  <c r="T229" i="1"/>
  <c r="Q229" i="1" a="1"/>
  <c r="Q229" i="1" s="1"/>
  <c r="R229" i="1" s="1"/>
  <c r="S229" i="1" s="1"/>
  <c r="P229" i="1"/>
  <c r="O229" i="1"/>
  <c r="N229" i="1" a="1"/>
  <c r="N229" i="1"/>
  <c r="M229" i="1" a="1"/>
  <c r="M229" i="1" s="1"/>
  <c r="L229" i="1" a="1"/>
  <c r="L229" i="1"/>
  <c r="V228" i="1" a="1"/>
  <c r="V228" i="1" s="1"/>
  <c r="U228" i="1" a="1"/>
  <c r="U228" i="1" s="1"/>
  <c r="T228" i="1"/>
  <c r="R228" i="1"/>
  <c r="S228" i="1" s="1"/>
  <c r="Q228" i="1" a="1"/>
  <c r="Q228" i="1" s="1"/>
  <c r="P228" i="1"/>
  <c r="O228" i="1"/>
  <c r="N228" i="1" a="1"/>
  <c r="N228" i="1" s="1"/>
  <c r="M228" i="1" a="1"/>
  <c r="M228" i="1"/>
  <c r="L228" i="1" a="1"/>
  <c r="L228" i="1" s="1"/>
  <c r="V227" i="1" a="1"/>
  <c r="V227" i="1" s="1"/>
  <c r="U227" i="1" a="1"/>
  <c r="U227" i="1" s="1"/>
  <c r="T227" i="1"/>
  <c r="S227" i="1"/>
  <c r="R227" i="1"/>
  <c r="Q227" i="1" a="1"/>
  <c r="Q227" i="1" s="1"/>
  <c r="P227" i="1"/>
  <c r="O227" i="1"/>
  <c r="N227" i="1" a="1"/>
  <c r="N227" i="1"/>
  <c r="M227" i="1" a="1"/>
  <c r="M227" i="1"/>
  <c r="L227" i="1" a="1"/>
  <c r="L227" i="1" s="1"/>
  <c r="V226" i="1" a="1"/>
  <c r="V226" i="1" s="1"/>
  <c r="U226" i="1" a="1"/>
  <c r="U226" i="1" s="1"/>
  <c r="T226" i="1"/>
  <c r="S226" i="1"/>
  <c r="Q226" i="1" a="1"/>
  <c r="Q226" i="1" s="1"/>
  <c r="R226" i="1" s="1"/>
  <c r="P226" i="1"/>
  <c r="O226" i="1"/>
  <c r="N226" i="1" a="1"/>
  <c r="N226" i="1"/>
  <c r="M226" i="1" a="1"/>
  <c r="M226" i="1" s="1"/>
  <c r="L226" i="1" a="1"/>
  <c r="L226" i="1"/>
  <c r="V225" i="1" a="1"/>
  <c r="V225" i="1" s="1"/>
  <c r="U225" i="1" a="1"/>
  <c r="U225" i="1" s="1"/>
  <c r="T225" i="1"/>
  <c r="Q225" i="1" a="1"/>
  <c r="Q225" i="1"/>
  <c r="R225" i="1" s="1"/>
  <c r="S225" i="1" s="1"/>
  <c r="P225" i="1"/>
  <c r="O225" i="1"/>
  <c r="N225" i="1" a="1"/>
  <c r="N225" i="1"/>
  <c r="M225" i="1" a="1"/>
  <c r="M225" i="1" s="1"/>
  <c r="L225" i="1" a="1"/>
  <c r="L225" i="1"/>
  <c r="V224" i="1" a="1"/>
  <c r="V224" i="1" s="1"/>
  <c r="U224" i="1" a="1"/>
  <c r="U224" i="1" s="1"/>
  <c r="T224" i="1"/>
  <c r="Q224" i="1" a="1"/>
  <c r="Q224" i="1" s="1"/>
  <c r="R224" i="1" s="1"/>
  <c r="S224" i="1" s="1"/>
  <c r="P224" i="1"/>
  <c r="O224" i="1"/>
  <c r="N224" i="1" a="1"/>
  <c r="N224" i="1" s="1"/>
  <c r="M224" i="1" a="1"/>
  <c r="M224" i="1"/>
  <c r="L224" i="1" a="1"/>
  <c r="L224" i="1"/>
  <c r="V223" i="1" a="1"/>
  <c r="V223" i="1"/>
  <c r="U223" i="1" a="1"/>
  <c r="U223" i="1"/>
  <c r="T223" i="1"/>
  <c r="R223" i="1"/>
  <c r="S223" i="1" s="1"/>
  <c r="Q223" i="1" a="1"/>
  <c r="Q223" i="1" s="1"/>
  <c r="P223" i="1"/>
  <c r="O223" i="1"/>
  <c r="N223" i="1" a="1"/>
  <c r="N223" i="1" s="1"/>
  <c r="M223" i="1" a="1"/>
  <c r="M223" i="1" s="1"/>
  <c r="L223" i="1" a="1"/>
  <c r="L223" i="1" s="1"/>
  <c r="V222" i="1" a="1"/>
  <c r="V222" i="1" s="1"/>
  <c r="U222" i="1" a="1"/>
  <c r="U222" i="1" s="1"/>
  <c r="T222" i="1"/>
  <c r="S222" i="1"/>
  <c r="R222" i="1"/>
  <c r="Q222" i="1" a="1"/>
  <c r="Q222" i="1"/>
  <c r="P222" i="1"/>
  <c r="O222" i="1"/>
  <c r="N222" i="1" a="1"/>
  <c r="N222" i="1" s="1"/>
  <c r="M222" i="1" a="1"/>
  <c r="M222" i="1" s="1"/>
  <c r="L222" i="1" a="1"/>
  <c r="L222" i="1"/>
  <c r="V221" i="1" a="1"/>
  <c r="V221" i="1" s="1"/>
  <c r="U221" i="1" a="1"/>
  <c r="U221" i="1"/>
  <c r="T221" i="1"/>
  <c r="Q221" i="1" a="1"/>
  <c r="Q221" i="1" s="1"/>
  <c r="R221" i="1" s="1"/>
  <c r="S221" i="1" s="1"/>
  <c r="P221" i="1"/>
  <c r="O221" i="1"/>
  <c r="N221" i="1" a="1"/>
  <c r="N221" i="1"/>
  <c r="M221" i="1" a="1"/>
  <c r="M221" i="1" s="1"/>
  <c r="L221" i="1" a="1"/>
  <c r="L221" i="1"/>
  <c r="V220" i="1" a="1"/>
  <c r="V220" i="1"/>
  <c r="U220" i="1" a="1"/>
  <c r="U220" i="1"/>
  <c r="T220" i="1"/>
  <c r="R220" i="1"/>
  <c r="S220" i="1" s="1"/>
  <c r="Q220" i="1" a="1"/>
  <c r="Q220" i="1"/>
  <c r="P220" i="1"/>
  <c r="O220" i="1"/>
  <c r="N220" i="1" a="1"/>
  <c r="N220" i="1"/>
  <c r="M220" i="1" a="1"/>
  <c r="M220" i="1"/>
  <c r="L220" i="1" a="1"/>
  <c r="L220" i="1" s="1"/>
  <c r="V219" i="1" a="1"/>
  <c r="V219" i="1"/>
  <c r="U219" i="1" a="1"/>
  <c r="U219" i="1" s="1"/>
  <c r="T219" i="1"/>
  <c r="Q219" i="1" a="1"/>
  <c r="Q219" i="1"/>
  <c r="R219" i="1" s="1"/>
  <c r="S219" i="1" s="1"/>
  <c r="P219" i="1"/>
  <c r="O219" i="1"/>
  <c r="N219" i="1" a="1"/>
  <c r="N219" i="1" s="1"/>
  <c r="M219" i="1" a="1"/>
  <c r="M219" i="1" s="1"/>
  <c r="L219" i="1" a="1"/>
  <c r="L219" i="1" s="1"/>
  <c r="V218" i="1" a="1"/>
  <c r="V218" i="1"/>
  <c r="U218" i="1" a="1"/>
  <c r="U218" i="1" s="1"/>
  <c r="T218" i="1"/>
  <c r="S218" i="1"/>
  <c r="Q218" i="1" a="1"/>
  <c r="Q218" i="1"/>
  <c r="R218" i="1" s="1"/>
  <c r="P218" i="1"/>
  <c r="O218" i="1"/>
  <c r="N218" i="1" a="1"/>
  <c r="N218" i="1"/>
  <c r="M218" i="1" a="1"/>
  <c r="M218" i="1"/>
  <c r="L218" i="1" a="1"/>
  <c r="L218" i="1" s="1"/>
  <c r="V217" i="1" a="1"/>
  <c r="V217" i="1" s="1"/>
  <c r="U217" i="1" a="1"/>
  <c r="U217" i="1"/>
  <c r="T217" i="1"/>
  <c r="Q217" i="1" a="1"/>
  <c r="Q217" i="1" s="1"/>
  <c r="R217" i="1" s="1"/>
  <c r="S217" i="1" s="1"/>
  <c r="P217" i="1"/>
  <c r="O217" i="1"/>
  <c r="N217" i="1" a="1"/>
  <c r="N217" i="1" s="1"/>
  <c r="M217" i="1" a="1"/>
  <c r="M217" i="1" s="1"/>
  <c r="L217" i="1" a="1"/>
  <c r="L217" i="1"/>
  <c r="V216" i="1" a="1"/>
  <c r="V216" i="1" s="1"/>
  <c r="U216" i="1" a="1"/>
  <c r="U216" i="1" s="1"/>
  <c r="T216" i="1"/>
  <c r="R216" i="1"/>
  <c r="S216" i="1" s="1"/>
  <c r="Q216" i="1" a="1"/>
  <c r="Q216" i="1" s="1"/>
  <c r="P216" i="1"/>
  <c r="O216" i="1"/>
  <c r="N216" i="1" a="1"/>
  <c r="N216" i="1" s="1"/>
  <c r="M216" i="1" a="1"/>
  <c r="M216" i="1"/>
  <c r="L216" i="1" a="1"/>
  <c r="L216" i="1" s="1"/>
  <c r="V215" i="1" a="1"/>
  <c r="V215" i="1" s="1"/>
  <c r="U215" i="1" a="1"/>
  <c r="U215" i="1" s="1"/>
  <c r="T215" i="1"/>
  <c r="S215" i="1"/>
  <c r="R215" i="1"/>
  <c r="Q215" i="1" a="1"/>
  <c r="Q215" i="1" s="1"/>
  <c r="P215" i="1"/>
  <c r="O215" i="1"/>
  <c r="N215" i="1" a="1"/>
  <c r="N215" i="1"/>
  <c r="M215" i="1" a="1"/>
  <c r="M215" i="1"/>
  <c r="L215" i="1" a="1"/>
  <c r="L215" i="1" s="1"/>
  <c r="V214" i="1" a="1"/>
  <c r="V214" i="1" s="1"/>
  <c r="U214" i="1" a="1"/>
  <c r="U214" i="1" s="1"/>
  <c r="T214" i="1"/>
  <c r="S214" i="1"/>
  <c r="Q214" i="1" a="1"/>
  <c r="Q214" i="1" s="1"/>
  <c r="R214" i="1" s="1"/>
  <c r="P214" i="1"/>
  <c r="O214" i="1"/>
  <c r="N214" i="1" a="1"/>
  <c r="N214" i="1"/>
  <c r="M214" i="1" a="1"/>
  <c r="M214" i="1" s="1"/>
  <c r="L214" i="1" a="1"/>
  <c r="L214" i="1"/>
  <c r="V213" i="1" a="1"/>
  <c r="V213" i="1" s="1"/>
  <c r="U213" i="1" a="1"/>
  <c r="U213" i="1" s="1"/>
  <c r="T213" i="1"/>
  <c r="Q213" i="1" a="1"/>
  <c r="Q213" i="1"/>
  <c r="R213" i="1" s="1"/>
  <c r="S213" i="1" s="1"/>
  <c r="P213" i="1"/>
  <c r="O213" i="1"/>
  <c r="N213" i="1" a="1"/>
  <c r="N213" i="1"/>
  <c r="M213" i="1" a="1"/>
  <c r="M213" i="1" s="1"/>
  <c r="L213" i="1" a="1"/>
  <c r="L213" i="1"/>
  <c r="V212" i="1" a="1"/>
  <c r="V212" i="1" s="1"/>
  <c r="U212" i="1" a="1"/>
  <c r="U212" i="1" s="1"/>
  <c r="T212" i="1"/>
  <c r="Q212" i="1" a="1"/>
  <c r="Q212" i="1" s="1"/>
  <c r="R212" i="1" s="1"/>
  <c r="S212" i="1" s="1"/>
  <c r="P212" i="1"/>
  <c r="O212" i="1"/>
  <c r="N212" i="1" a="1"/>
  <c r="N212" i="1" s="1"/>
  <c r="M212" i="1" a="1"/>
  <c r="M212" i="1"/>
  <c r="L212" i="1" a="1"/>
  <c r="L212" i="1"/>
  <c r="V211" i="1" a="1"/>
  <c r="V211" i="1"/>
  <c r="U211" i="1" a="1"/>
  <c r="U211" i="1"/>
  <c r="T211" i="1"/>
  <c r="Q211" i="1" a="1"/>
  <c r="Q211" i="1" s="1"/>
  <c r="R211" i="1" s="1"/>
  <c r="S211" i="1" s="1"/>
  <c r="P211" i="1"/>
  <c r="O211" i="1"/>
  <c r="N211" i="1" a="1"/>
  <c r="N211" i="1" s="1"/>
  <c r="M211" i="1" a="1"/>
  <c r="M211" i="1" s="1"/>
  <c r="L211" i="1" a="1"/>
  <c r="L211" i="1" s="1"/>
  <c r="V210" i="1" a="1"/>
  <c r="V210" i="1" s="1"/>
  <c r="U210" i="1" a="1"/>
  <c r="U210" i="1" s="1"/>
  <c r="T210" i="1"/>
  <c r="S210" i="1"/>
  <c r="R210" i="1"/>
  <c r="Q210" i="1" a="1"/>
  <c r="Q210" i="1"/>
  <c r="P210" i="1"/>
  <c r="O210" i="1"/>
  <c r="N210" i="1" a="1"/>
  <c r="N210" i="1" s="1"/>
  <c r="M210" i="1" a="1"/>
  <c r="M210" i="1" s="1"/>
  <c r="L210" i="1" a="1"/>
  <c r="L210" i="1"/>
  <c r="V209" i="1" a="1"/>
  <c r="V209" i="1" s="1"/>
  <c r="U209" i="1" a="1"/>
  <c r="U209" i="1"/>
  <c r="T209" i="1"/>
  <c r="Q209" i="1" a="1"/>
  <c r="Q209" i="1" s="1"/>
  <c r="R209" i="1" s="1"/>
  <c r="S209" i="1" s="1"/>
  <c r="P209" i="1"/>
  <c r="O209" i="1"/>
  <c r="N209" i="1" a="1"/>
  <c r="N209" i="1" s="1"/>
  <c r="M209" i="1" a="1"/>
  <c r="M209" i="1" s="1"/>
  <c r="L209" i="1" a="1"/>
  <c r="L209" i="1"/>
  <c r="V208" i="1" a="1"/>
  <c r="V208" i="1"/>
  <c r="U208" i="1" a="1"/>
  <c r="U208" i="1"/>
  <c r="T208" i="1"/>
  <c r="R208" i="1"/>
  <c r="S208" i="1" s="1"/>
  <c r="Q208" i="1" a="1"/>
  <c r="Q208" i="1"/>
  <c r="P208" i="1"/>
  <c r="O208" i="1"/>
  <c r="N208" i="1" a="1"/>
  <c r="N208" i="1"/>
  <c r="M208" i="1" a="1"/>
  <c r="M208" i="1"/>
  <c r="L208" i="1" a="1"/>
  <c r="L208" i="1" s="1"/>
  <c r="V207" i="1" a="1"/>
  <c r="V207" i="1"/>
  <c r="U207" i="1" a="1"/>
  <c r="U207" i="1" s="1"/>
  <c r="T207" i="1"/>
  <c r="Q207" i="1" a="1"/>
  <c r="Q207" i="1"/>
  <c r="R207" i="1" s="1"/>
  <c r="S207" i="1" s="1"/>
  <c r="P207" i="1"/>
  <c r="O207" i="1"/>
  <c r="N207" i="1" a="1"/>
  <c r="N207" i="1" s="1"/>
  <c r="M207" i="1" a="1"/>
  <c r="M207" i="1" s="1"/>
  <c r="L207" i="1" a="1"/>
  <c r="L207" i="1" s="1"/>
  <c r="V206" i="1" a="1"/>
  <c r="V206" i="1"/>
  <c r="U206" i="1" a="1"/>
  <c r="U206" i="1" s="1"/>
  <c r="T206" i="1"/>
  <c r="S206" i="1"/>
  <c r="Q206" i="1" a="1"/>
  <c r="Q206" i="1"/>
  <c r="R206" i="1" s="1"/>
  <c r="P206" i="1"/>
  <c r="O206" i="1"/>
  <c r="N206" i="1" a="1"/>
  <c r="N206" i="1"/>
  <c r="M206" i="1" a="1"/>
  <c r="M206" i="1"/>
  <c r="L206" i="1" a="1"/>
  <c r="L206" i="1" s="1"/>
  <c r="V205" i="1" a="1"/>
  <c r="V205" i="1" s="1"/>
  <c r="U205" i="1" a="1"/>
  <c r="U205" i="1"/>
  <c r="T205" i="1"/>
  <c r="Q205" i="1" a="1"/>
  <c r="Q205" i="1" s="1"/>
  <c r="R205" i="1" s="1"/>
  <c r="S205" i="1" s="1"/>
  <c r="P205" i="1"/>
  <c r="O205" i="1"/>
  <c r="N205" i="1" a="1"/>
  <c r="N205" i="1"/>
  <c r="M205" i="1" a="1"/>
  <c r="M205" i="1" s="1"/>
  <c r="L205" i="1" a="1"/>
  <c r="L205" i="1"/>
  <c r="V204" i="1" a="1"/>
  <c r="V204" i="1" s="1"/>
  <c r="U204" i="1" a="1"/>
  <c r="U204" i="1" s="1"/>
  <c r="T204" i="1"/>
  <c r="R204" i="1"/>
  <c r="S204" i="1" s="1"/>
  <c r="Q204" i="1" a="1"/>
  <c r="Q204" i="1" s="1"/>
  <c r="P204" i="1"/>
  <c r="O204" i="1"/>
  <c r="N204" i="1" a="1"/>
  <c r="N204" i="1" s="1"/>
  <c r="M204" i="1" a="1"/>
  <c r="M204" i="1"/>
  <c r="L204" i="1" a="1"/>
  <c r="L204" i="1" s="1"/>
  <c r="V203" i="1" a="1"/>
  <c r="V203" i="1" s="1"/>
  <c r="U203" i="1" a="1"/>
  <c r="U203" i="1" s="1"/>
  <c r="T203" i="1"/>
  <c r="R203" i="1"/>
  <c r="S203" i="1" s="1"/>
  <c r="Q203" i="1" a="1"/>
  <c r="Q203" i="1" s="1"/>
  <c r="P203" i="1"/>
  <c r="O203" i="1"/>
  <c r="N203" i="1" a="1"/>
  <c r="N203" i="1"/>
  <c r="M203" i="1" a="1"/>
  <c r="M203" i="1"/>
  <c r="L203" i="1" a="1"/>
  <c r="L203" i="1" s="1"/>
  <c r="V202" i="1" a="1"/>
  <c r="V202" i="1" s="1"/>
  <c r="U202" i="1" a="1"/>
  <c r="U202" i="1" s="1"/>
  <c r="T202" i="1"/>
  <c r="S202" i="1"/>
  <c r="Q202" i="1" a="1"/>
  <c r="Q202" i="1" s="1"/>
  <c r="R202" i="1" s="1"/>
  <c r="P202" i="1"/>
  <c r="O202" i="1"/>
  <c r="N202" i="1" a="1"/>
  <c r="N202" i="1"/>
  <c r="M202" i="1" a="1"/>
  <c r="M202" i="1" s="1"/>
  <c r="L202" i="1" a="1"/>
  <c r="L202" i="1"/>
  <c r="V201" i="1" a="1"/>
  <c r="V201" i="1" s="1"/>
  <c r="U201" i="1" a="1"/>
  <c r="U201" i="1" s="1"/>
  <c r="T201" i="1"/>
  <c r="Q201" i="1" a="1"/>
  <c r="Q201" i="1"/>
  <c r="R201" i="1" s="1"/>
  <c r="S201" i="1" s="1"/>
  <c r="P201" i="1"/>
  <c r="O201" i="1"/>
  <c r="N201" i="1" a="1"/>
  <c r="N201" i="1"/>
  <c r="M201" i="1" a="1"/>
  <c r="M201" i="1"/>
  <c r="L201" i="1" a="1"/>
  <c r="L201" i="1"/>
  <c r="V200" i="1" a="1"/>
  <c r="V200" i="1" s="1"/>
  <c r="U200" i="1" a="1"/>
  <c r="U200" i="1" s="1"/>
  <c r="T200" i="1"/>
  <c r="Q200" i="1" a="1"/>
  <c r="Q200" i="1" s="1"/>
  <c r="R200" i="1" s="1"/>
  <c r="S200" i="1" s="1"/>
  <c r="P200" i="1"/>
  <c r="O200" i="1"/>
  <c r="N200" i="1" a="1"/>
  <c r="N200" i="1" s="1"/>
  <c r="M200" i="1" a="1"/>
  <c r="M200" i="1"/>
  <c r="L200" i="1" a="1"/>
  <c r="L200" i="1"/>
  <c r="V199" i="1" a="1"/>
  <c r="V199" i="1"/>
  <c r="U199" i="1" a="1"/>
  <c r="U199" i="1"/>
  <c r="T199" i="1"/>
  <c r="Q199" i="1" a="1"/>
  <c r="Q199" i="1" s="1"/>
  <c r="R199" i="1" s="1"/>
  <c r="S199" i="1" s="1"/>
  <c r="P199" i="1"/>
  <c r="O199" i="1"/>
  <c r="N199" i="1" a="1"/>
  <c r="N199" i="1" s="1"/>
  <c r="M199" i="1" a="1"/>
  <c r="M199" i="1" s="1"/>
  <c r="L199" i="1" a="1"/>
  <c r="L199" i="1" s="1"/>
  <c r="V198" i="1" a="1"/>
  <c r="V198" i="1" s="1"/>
  <c r="U198" i="1" a="1"/>
  <c r="U198" i="1" s="1"/>
  <c r="T198" i="1"/>
  <c r="S198" i="1"/>
  <c r="R198" i="1"/>
  <c r="Q198" i="1" a="1"/>
  <c r="Q198" i="1"/>
  <c r="P198" i="1"/>
  <c r="O198" i="1"/>
  <c r="N198" i="1" a="1"/>
  <c r="N198" i="1" s="1"/>
  <c r="M198" i="1" a="1"/>
  <c r="M198" i="1" s="1"/>
  <c r="L198" i="1" a="1"/>
  <c r="L198" i="1"/>
  <c r="V197" i="1" a="1"/>
  <c r="V197" i="1"/>
  <c r="U197" i="1" a="1"/>
  <c r="U197" i="1"/>
  <c r="T197" i="1"/>
  <c r="Q197" i="1" a="1"/>
  <c r="Q197" i="1" s="1"/>
  <c r="R197" i="1" s="1"/>
  <c r="S197" i="1" s="1"/>
  <c r="P197" i="1"/>
  <c r="O197" i="1"/>
  <c r="N197" i="1" a="1"/>
  <c r="N197" i="1" s="1"/>
  <c r="M197" i="1" a="1"/>
  <c r="M197" i="1" s="1"/>
  <c r="L197" i="1" a="1"/>
  <c r="L197" i="1"/>
  <c r="V196" i="1" a="1"/>
  <c r="V196" i="1"/>
  <c r="U196" i="1" a="1"/>
  <c r="U196" i="1"/>
  <c r="T196" i="1"/>
  <c r="Q196" i="1" a="1"/>
  <c r="Q196" i="1"/>
  <c r="R196" i="1" s="1"/>
  <c r="S196" i="1" s="1"/>
  <c r="P196" i="1"/>
  <c r="O196" i="1"/>
  <c r="N196" i="1" a="1"/>
  <c r="N196" i="1"/>
  <c r="M196" i="1" a="1"/>
  <c r="M196" i="1"/>
  <c r="L196" i="1" a="1"/>
  <c r="L196" i="1" s="1"/>
  <c r="V195" i="1" a="1"/>
  <c r="V195" i="1"/>
  <c r="U195" i="1" a="1"/>
  <c r="U195" i="1" s="1"/>
  <c r="T195" i="1"/>
  <c r="Q195" i="1" a="1"/>
  <c r="Q195" i="1"/>
  <c r="R195" i="1" s="1"/>
  <c r="S195" i="1" s="1"/>
  <c r="P195" i="1"/>
  <c r="O195" i="1"/>
  <c r="N195" i="1" a="1"/>
  <c r="N195" i="1" s="1"/>
  <c r="M195" i="1" a="1"/>
  <c r="M195" i="1" s="1"/>
  <c r="L195" i="1" a="1"/>
  <c r="L195" i="1" s="1"/>
  <c r="V194" i="1" a="1"/>
  <c r="V194" i="1"/>
  <c r="U194" i="1" a="1"/>
  <c r="U194" i="1"/>
  <c r="T194" i="1"/>
  <c r="S194" i="1"/>
  <c r="Q194" i="1" a="1"/>
  <c r="Q194" i="1"/>
  <c r="R194" i="1" s="1"/>
  <c r="P194" i="1"/>
  <c r="O194" i="1"/>
  <c r="N194" i="1" a="1"/>
  <c r="N194" i="1"/>
  <c r="M194" i="1" a="1"/>
  <c r="M194" i="1"/>
  <c r="L194" i="1" a="1"/>
  <c r="L194" i="1"/>
  <c r="V193" i="1" a="1"/>
  <c r="V193" i="1" s="1"/>
  <c r="U193" i="1" a="1"/>
  <c r="U193" i="1"/>
  <c r="T193" i="1"/>
  <c r="Q193" i="1" a="1"/>
  <c r="Q193" i="1" s="1"/>
  <c r="R193" i="1" s="1"/>
  <c r="S193" i="1" s="1"/>
  <c r="P193" i="1"/>
  <c r="O193" i="1"/>
  <c r="N193" i="1" a="1"/>
  <c r="N193" i="1"/>
  <c r="M193" i="1" a="1"/>
  <c r="M193" i="1" s="1"/>
  <c r="L193" i="1" a="1"/>
  <c r="L193" i="1"/>
  <c r="V192" i="1" a="1"/>
  <c r="V192" i="1" s="1"/>
  <c r="U192" i="1" a="1"/>
  <c r="U192" i="1" s="1"/>
  <c r="T192" i="1"/>
  <c r="R192" i="1"/>
  <c r="S192" i="1" s="1"/>
  <c r="Q192" i="1" a="1"/>
  <c r="Q192" i="1" s="1"/>
  <c r="P192" i="1"/>
  <c r="O192" i="1"/>
  <c r="N192" i="1" a="1"/>
  <c r="N192" i="1"/>
  <c r="M192" i="1" a="1"/>
  <c r="M192" i="1"/>
  <c r="L192" i="1" a="1"/>
  <c r="L192" i="1" s="1"/>
  <c r="V191" i="1" a="1"/>
  <c r="V191" i="1" s="1"/>
  <c r="U191" i="1" a="1"/>
  <c r="U191" i="1" s="1"/>
  <c r="T191" i="1"/>
  <c r="R191" i="1"/>
  <c r="S191" i="1" s="1"/>
  <c r="Q191" i="1" a="1"/>
  <c r="Q191" i="1" s="1"/>
  <c r="P191" i="1"/>
  <c r="O191" i="1"/>
  <c r="N191" i="1" a="1"/>
  <c r="N191" i="1"/>
  <c r="M191" i="1" a="1"/>
  <c r="M191" i="1"/>
  <c r="L191" i="1" a="1"/>
  <c r="L191" i="1" s="1"/>
  <c r="V190" i="1" a="1"/>
  <c r="V190" i="1" s="1"/>
  <c r="U190" i="1" a="1"/>
  <c r="U190" i="1" s="1"/>
  <c r="T190" i="1"/>
  <c r="S190" i="1"/>
  <c r="R190" i="1"/>
  <c r="Q190" i="1" a="1"/>
  <c r="Q190" i="1" s="1"/>
  <c r="P190" i="1"/>
  <c r="O190" i="1"/>
  <c r="N190" i="1" a="1"/>
  <c r="N190" i="1"/>
  <c r="M190" i="1" a="1"/>
  <c r="M190" i="1" s="1"/>
  <c r="L190" i="1" a="1"/>
  <c r="L190" i="1"/>
  <c r="V189" i="1" a="1"/>
  <c r="V189" i="1"/>
  <c r="U189" i="1" a="1"/>
  <c r="U189" i="1" s="1"/>
  <c r="T189" i="1"/>
  <c r="Q189" i="1" a="1"/>
  <c r="Q189" i="1"/>
  <c r="R189" i="1" s="1"/>
  <c r="S189" i="1" s="1"/>
  <c r="P189" i="1"/>
  <c r="O189" i="1"/>
  <c r="N189" i="1" a="1"/>
  <c r="N189" i="1"/>
  <c r="M189" i="1" a="1"/>
  <c r="M189" i="1" s="1"/>
  <c r="L189" i="1" a="1"/>
  <c r="L189" i="1"/>
  <c r="V188" i="1" a="1"/>
  <c r="V188" i="1" s="1"/>
  <c r="U188" i="1" a="1"/>
  <c r="U188" i="1" s="1"/>
  <c r="T188" i="1"/>
  <c r="Q188" i="1" a="1"/>
  <c r="Q188" i="1" s="1"/>
  <c r="R188" i="1" s="1"/>
  <c r="S188" i="1" s="1"/>
  <c r="P188" i="1"/>
  <c r="O188" i="1"/>
  <c r="N188" i="1" a="1"/>
  <c r="N188" i="1" s="1"/>
  <c r="M188" i="1" a="1"/>
  <c r="M188" i="1"/>
  <c r="L188" i="1" a="1"/>
  <c r="L188" i="1"/>
  <c r="V187" i="1" a="1"/>
  <c r="V187" i="1"/>
  <c r="U187" i="1" a="1"/>
  <c r="U187" i="1"/>
  <c r="T187" i="1"/>
  <c r="R187" i="1"/>
  <c r="S187" i="1" s="1"/>
  <c r="Q187" i="1" a="1"/>
  <c r="Q187" i="1" s="1"/>
  <c r="P187" i="1"/>
  <c r="O187" i="1"/>
  <c r="N187" i="1" a="1"/>
  <c r="N187" i="1" s="1"/>
  <c r="M187" i="1" a="1"/>
  <c r="M187" i="1" s="1"/>
  <c r="L187" i="1" a="1"/>
  <c r="L187" i="1" s="1"/>
  <c r="V186" i="1" a="1"/>
  <c r="V186" i="1" s="1"/>
  <c r="U186" i="1" a="1"/>
  <c r="U186" i="1" s="1"/>
  <c r="T186" i="1"/>
  <c r="R186" i="1"/>
  <c r="S186" i="1" s="1"/>
  <c r="Q186" i="1" a="1"/>
  <c r="Q186" i="1"/>
  <c r="P186" i="1"/>
  <c r="O186" i="1"/>
  <c r="N186" i="1" a="1"/>
  <c r="N186" i="1" s="1"/>
  <c r="M186" i="1" a="1"/>
  <c r="M186" i="1" s="1"/>
  <c r="L186" i="1" a="1"/>
  <c r="L186" i="1"/>
  <c r="V185" i="1" a="1"/>
  <c r="V185" i="1" s="1"/>
  <c r="U185" i="1" a="1"/>
  <c r="U185" i="1"/>
  <c r="T185" i="1"/>
  <c r="Q185" i="1" a="1"/>
  <c r="Q185" i="1" s="1"/>
  <c r="R185" i="1" s="1"/>
  <c r="S185" i="1" s="1"/>
  <c r="P185" i="1"/>
  <c r="O185" i="1"/>
  <c r="N185" i="1" a="1"/>
  <c r="N185" i="1"/>
  <c r="M185" i="1" a="1"/>
  <c r="M185" i="1" s="1"/>
  <c r="L185" i="1" a="1"/>
  <c r="L185" i="1" s="1"/>
  <c r="V184" i="1" a="1"/>
  <c r="V184" i="1"/>
  <c r="U184" i="1" a="1"/>
  <c r="U184" i="1"/>
  <c r="T184" i="1"/>
  <c r="R184" i="1"/>
  <c r="S184" i="1" s="1"/>
  <c r="Q184" i="1" a="1"/>
  <c r="Q184" i="1"/>
  <c r="P184" i="1"/>
  <c r="O184" i="1"/>
  <c r="N184" i="1" a="1"/>
  <c r="N184" i="1" s="1"/>
  <c r="M184" i="1" a="1"/>
  <c r="M184" i="1"/>
  <c r="L184" i="1" a="1"/>
  <c r="L184" i="1" s="1"/>
  <c r="V183" i="1" a="1"/>
  <c r="V183" i="1"/>
  <c r="U183" i="1" a="1"/>
  <c r="U183" i="1" s="1"/>
  <c r="T183" i="1"/>
  <c r="Q183" i="1" a="1"/>
  <c r="Q183" i="1"/>
  <c r="R183" i="1" s="1"/>
  <c r="S183" i="1" s="1"/>
  <c r="P183" i="1"/>
  <c r="O183" i="1"/>
  <c r="N183" i="1" a="1"/>
  <c r="N183" i="1" s="1"/>
  <c r="M183" i="1" a="1"/>
  <c r="M183" i="1" s="1"/>
  <c r="L183" i="1" a="1"/>
  <c r="L183" i="1" s="1"/>
  <c r="V182" i="1" a="1"/>
  <c r="V182" i="1"/>
  <c r="U182" i="1" a="1"/>
  <c r="U182" i="1" s="1"/>
  <c r="T182" i="1"/>
  <c r="S182" i="1"/>
  <c r="Q182" i="1" a="1"/>
  <c r="Q182" i="1"/>
  <c r="R182" i="1" s="1"/>
  <c r="P182" i="1"/>
  <c r="O182" i="1"/>
  <c r="N182" i="1" a="1"/>
  <c r="N182" i="1"/>
  <c r="M182" i="1" a="1"/>
  <c r="M182" i="1"/>
  <c r="L182" i="1" a="1"/>
  <c r="L182" i="1" s="1"/>
  <c r="V181" i="1" a="1"/>
  <c r="V181" i="1" s="1"/>
  <c r="U181" i="1" a="1"/>
  <c r="U181" i="1"/>
  <c r="T181" i="1"/>
  <c r="Q181" i="1" a="1"/>
  <c r="Q181" i="1" s="1"/>
  <c r="R181" i="1" s="1"/>
  <c r="S181" i="1" s="1"/>
  <c r="P181" i="1"/>
  <c r="O181" i="1"/>
  <c r="N181" i="1" a="1"/>
  <c r="N181" i="1" s="1"/>
  <c r="M181" i="1" a="1"/>
  <c r="M181" i="1" s="1"/>
  <c r="L181" i="1" a="1"/>
  <c r="L181" i="1" s="1"/>
  <c r="V180" i="1" a="1"/>
  <c r="V180" i="1" s="1"/>
  <c r="U180" i="1" a="1"/>
  <c r="U180" i="1" s="1"/>
  <c r="T180" i="1"/>
  <c r="R180" i="1"/>
  <c r="S180" i="1" s="1"/>
  <c r="Q180" i="1" a="1"/>
  <c r="Q180" i="1" s="1"/>
  <c r="P180" i="1"/>
  <c r="O180" i="1"/>
  <c r="N180" i="1" a="1"/>
  <c r="N180" i="1" s="1"/>
  <c r="M180" i="1" a="1"/>
  <c r="M180" i="1"/>
  <c r="L180" i="1" a="1"/>
  <c r="L180" i="1" s="1"/>
  <c r="V179" i="1" a="1"/>
  <c r="V179" i="1" s="1"/>
  <c r="U179" i="1" a="1"/>
  <c r="U179" i="1" s="1"/>
  <c r="T179" i="1"/>
  <c r="S179" i="1"/>
  <c r="R179" i="1"/>
  <c r="Q179" i="1" a="1"/>
  <c r="Q179" i="1" s="1"/>
  <c r="P179" i="1"/>
  <c r="O179" i="1"/>
  <c r="N179" i="1" a="1"/>
  <c r="N179" i="1"/>
  <c r="M179" i="1" a="1"/>
  <c r="M179" i="1"/>
  <c r="L179" i="1" a="1"/>
  <c r="L179" i="1" s="1"/>
  <c r="V178" i="1" a="1"/>
  <c r="V178" i="1" s="1"/>
  <c r="U178" i="1" a="1"/>
  <c r="U178" i="1" s="1"/>
  <c r="T178" i="1"/>
  <c r="Q178" i="1" a="1"/>
  <c r="Q178" i="1" s="1"/>
  <c r="R178" i="1" s="1"/>
  <c r="S178" i="1" s="1"/>
  <c r="P178" i="1"/>
  <c r="O178" i="1"/>
  <c r="N178" i="1" a="1"/>
  <c r="N178" i="1"/>
  <c r="M178" i="1" a="1"/>
  <c r="M178" i="1" s="1"/>
  <c r="L178" i="1" a="1"/>
  <c r="L178" i="1"/>
  <c r="V177" i="1" a="1"/>
  <c r="V177" i="1" s="1"/>
  <c r="U177" i="1" a="1"/>
  <c r="U177" i="1" s="1"/>
  <c r="T177" i="1"/>
  <c r="Q177" i="1" a="1"/>
  <c r="Q177" i="1"/>
  <c r="R177" i="1" s="1"/>
  <c r="S177" i="1" s="1"/>
  <c r="P177" i="1"/>
  <c r="O177" i="1"/>
  <c r="N177" i="1" a="1"/>
  <c r="N177" i="1"/>
  <c r="M177" i="1" a="1"/>
  <c r="M177" i="1"/>
  <c r="L177" i="1" a="1"/>
  <c r="L177" i="1" s="1"/>
  <c r="V176" i="1" a="1"/>
  <c r="V176" i="1" s="1"/>
  <c r="U176" i="1" a="1"/>
  <c r="U176" i="1" s="1"/>
  <c r="T176" i="1"/>
  <c r="Q176" i="1" a="1"/>
  <c r="Q176" i="1" s="1"/>
  <c r="R176" i="1" s="1"/>
  <c r="S176" i="1" s="1"/>
  <c r="P176" i="1"/>
  <c r="O176" i="1"/>
  <c r="N176" i="1" a="1"/>
  <c r="N176" i="1" s="1"/>
  <c r="M176" i="1" a="1"/>
  <c r="M176" i="1"/>
  <c r="L176" i="1" a="1"/>
  <c r="L176" i="1"/>
  <c r="V175" i="1" a="1"/>
  <c r="V175" i="1"/>
  <c r="U175" i="1" a="1"/>
  <c r="U175" i="1"/>
  <c r="T175" i="1"/>
  <c r="R175" i="1"/>
  <c r="S175" i="1" s="1"/>
  <c r="Q175" i="1" a="1"/>
  <c r="Q175" i="1" s="1"/>
  <c r="P175" i="1"/>
  <c r="O175" i="1"/>
  <c r="N175" i="1" a="1"/>
  <c r="N175" i="1" s="1"/>
  <c r="M175" i="1" a="1"/>
  <c r="M175" i="1" s="1"/>
  <c r="L175" i="1" a="1"/>
  <c r="L175" i="1" s="1"/>
  <c r="V174" i="1" a="1"/>
  <c r="V174" i="1" s="1"/>
  <c r="U174" i="1" a="1"/>
  <c r="U174" i="1" s="1"/>
  <c r="T174" i="1"/>
  <c r="S174" i="1"/>
  <c r="R174" i="1"/>
  <c r="Q174" i="1" a="1"/>
  <c r="Q174" i="1"/>
  <c r="P174" i="1"/>
  <c r="O174" i="1"/>
  <c r="N174" i="1" a="1"/>
  <c r="N174" i="1" s="1"/>
  <c r="M174" i="1" a="1"/>
  <c r="M174" i="1" s="1"/>
  <c r="L174" i="1" a="1"/>
  <c r="L174" i="1"/>
  <c r="V173" i="1" a="1"/>
  <c r="V173" i="1"/>
  <c r="U173" i="1" a="1"/>
  <c r="U173" i="1"/>
  <c r="T173" i="1"/>
  <c r="Q173" i="1" a="1"/>
  <c r="Q173" i="1" s="1"/>
  <c r="R173" i="1" s="1"/>
  <c r="S173" i="1" s="1"/>
  <c r="P173" i="1"/>
  <c r="O173" i="1"/>
  <c r="N173" i="1" a="1"/>
  <c r="N173" i="1"/>
  <c r="M173" i="1" a="1"/>
  <c r="M173" i="1" s="1"/>
  <c r="L173" i="1" a="1"/>
  <c r="L173" i="1" s="1"/>
  <c r="V172" i="1" a="1"/>
  <c r="V172" i="1"/>
  <c r="U172" i="1" a="1"/>
  <c r="U172" i="1"/>
  <c r="T172" i="1"/>
  <c r="Q172" i="1" a="1"/>
  <c r="Q172" i="1"/>
  <c r="R172" i="1" s="1"/>
  <c r="S172" i="1" s="1"/>
  <c r="P172" i="1"/>
  <c r="O172" i="1"/>
  <c r="N172" i="1" a="1"/>
  <c r="N172" i="1" s="1"/>
  <c r="M172" i="1" a="1"/>
  <c r="M172" i="1"/>
  <c r="L172" i="1" a="1"/>
  <c r="L172" i="1" s="1"/>
  <c r="V171" i="1" a="1"/>
  <c r="V171" i="1"/>
  <c r="U171" i="1" a="1"/>
  <c r="U171" i="1" s="1"/>
  <c r="T171" i="1"/>
  <c r="Q171" i="1" a="1"/>
  <c r="Q171" i="1" s="1"/>
  <c r="R171" i="1" s="1"/>
  <c r="S171" i="1" s="1"/>
  <c r="P171" i="1"/>
  <c r="O171" i="1"/>
  <c r="N171" i="1" a="1"/>
  <c r="N171" i="1" s="1"/>
  <c r="M171" i="1" a="1"/>
  <c r="M171" i="1" s="1"/>
  <c r="L171" i="1" a="1"/>
  <c r="L171" i="1" s="1"/>
  <c r="V170" i="1" a="1"/>
  <c r="V170" i="1"/>
  <c r="U170" i="1" a="1"/>
  <c r="U170" i="1"/>
  <c r="T170" i="1"/>
  <c r="S170" i="1"/>
  <c r="Q170" i="1" a="1"/>
  <c r="Q170" i="1"/>
  <c r="R170" i="1" s="1"/>
  <c r="P170" i="1"/>
  <c r="O170" i="1"/>
  <c r="N170" i="1" a="1"/>
  <c r="N170" i="1"/>
  <c r="M170" i="1" a="1"/>
  <c r="M170" i="1"/>
  <c r="L170" i="1" a="1"/>
  <c r="L170" i="1"/>
  <c r="V169" i="1" a="1"/>
  <c r="V169" i="1" s="1"/>
  <c r="U169" i="1" a="1"/>
  <c r="U169" i="1"/>
  <c r="T169" i="1"/>
  <c r="Q169" i="1" a="1"/>
  <c r="Q169" i="1" s="1"/>
  <c r="R169" i="1" s="1"/>
  <c r="S169" i="1" s="1"/>
  <c r="P169" i="1"/>
  <c r="O169" i="1"/>
  <c r="N169" i="1" a="1"/>
  <c r="N169" i="1" s="1"/>
  <c r="M169" i="1" a="1"/>
  <c r="M169" i="1" s="1"/>
  <c r="L169" i="1" a="1"/>
  <c r="L169" i="1"/>
  <c r="V168" i="1" a="1"/>
  <c r="V168" i="1" s="1"/>
  <c r="U168" i="1" a="1"/>
  <c r="U168" i="1" s="1"/>
  <c r="T168" i="1"/>
  <c r="R168" i="1"/>
  <c r="S168" i="1" s="1"/>
  <c r="Q168" i="1" a="1"/>
  <c r="Q168" i="1" s="1"/>
  <c r="P168" i="1"/>
  <c r="O168" i="1"/>
  <c r="N168" i="1" a="1"/>
  <c r="N168" i="1" s="1"/>
  <c r="M168" i="1" a="1"/>
  <c r="M168" i="1"/>
  <c r="L168" i="1" a="1"/>
  <c r="L168" i="1" s="1"/>
  <c r="V167" i="1" a="1"/>
  <c r="V167" i="1" s="1"/>
  <c r="U167" i="1" a="1"/>
  <c r="U167" i="1" s="1"/>
  <c r="T167" i="1"/>
  <c r="Q167" i="1" a="1"/>
  <c r="Q167" i="1" s="1"/>
  <c r="R167" i="1" s="1"/>
  <c r="S167" i="1" s="1"/>
  <c r="P167" i="1"/>
  <c r="O167" i="1"/>
  <c r="N167" i="1" a="1"/>
  <c r="N167" i="1"/>
  <c r="M167" i="1" a="1"/>
  <c r="M167" i="1"/>
  <c r="L167" i="1" a="1"/>
  <c r="L167" i="1" s="1"/>
  <c r="V166" i="1" a="1"/>
  <c r="V166" i="1" s="1"/>
  <c r="U166" i="1" a="1"/>
  <c r="U166" i="1" s="1"/>
  <c r="T166" i="1"/>
  <c r="Q166" i="1" a="1"/>
  <c r="Q166" i="1" s="1"/>
  <c r="R166" i="1" s="1"/>
  <c r="S166" i="1" s="1"/>
  <c r="P166" i="1"/>
  <c r="O166" i="1"/>
  <c r="N166" i="1" a="1"/>
  <c r="N166" i="1"/>
  <c r="M166" i="1" a="1"/>
  <c r="M166" i="1" s="1"/>
  <c r="L166" i="1" a="1"/>
  <c r="L166" i="1"/>
  <c r="V165" i="1" a="1"/>
  <c r="V165" i="1" s="1"/>
  <c r="U165" i="1" a="1"/>
  <c r="U165" i="1" s="1"/>
  <c r="T165" i="1"/>
  <c r="Q165" i="1" a="1"/>
  <c r="Q165" i="1"/>
  <c r="R165" i="1" s="1"/>
  <c r="S165" i="1" s="1"/>
  <c r="P165" i="1"/>
  <c r="O165" i="1"/>
  <c r="N165" i="1" a="1"/>
  <c r="N165" i="1"/>
  <c r="M165" i="1" a="1"/>
  <c r="M165" i="1" s="1"/>
  <c r="L165" i="1" a="1"/>
  <c r="L165" i="1" s="1"/>
  <c r="V164" i="1" a="1"/>
  <c r="V164" i="1" s="1"/>
  <c r="U164" i="1" a="1"/>
  <c r="U164" i="1" s="1"/>
  <c r="T164" i="1"/>
  <c r="Q164" i="1" a="1"/>
  <c r="Q164" i="1" s="1"/>
  <c r="R164" i="1" s="1"/>
  <c r="S164" i="1" s="1"/>
  <c r="P164" i="1"/>
  <c r="O164" i="1"/>
  <c r="N164" i="1" a="1"/>
  <c r="N164" i="1" s="1"/>
  <c r="M164" i="1" a="1"/>
  <c r="M164" i="1"/>
  <c r="L164" i="1" a="1"/>
  <c r="L164" i="1"/>
  <c r="V163" i="1" a="1"/>
  <c r="V163" i="1"/>
  <c r="U163" i="1" a="1"/>
  <c r="U163" i="1"/>
  <c r="T163" i="1"/>
  <c r="Q163" i="1" a="1"/>
  <c r="Q163" i="1" s="1"/>
  <c r="R163" i="1" s="1"/>
  <c r="S163" i="1" s="1"/>
  <c r="P163" i="1"/>
  <c r="O163" i="1"/>
  <c r="N163" i="1" a="1"/>
  <c r="N163" i="1" s="1"/>
  <c r="M163" i="1" a="1"/>
  <c r="M163" i="1" s="1"/>
  <c r="L163" i="1" a="1"/>
  <c r="L163" i="1" s="1"/>
  <c r="V162" i="1" a="1"/>
  <c r="V162" i="1" s="1"/>
  <c r="U162" i="1" a="1"/>
  <c r="U162" i="1" s="1"/>
  <c r="T162" i="1"/>
  <c r="S162" i="1"/>
  <c r="R162" i="1"/>
  <c r="Q162" i="1" a="1"/>
  <c r="Q162" i="1"/>
  <c r="P162" i="1"/>
  <c r="O162" i="1"/>
  <c r="N162" i="1" a="1"/>
  <c r="N162" i="1" s="1"/>
  <c r="M162" i="1" a="1"/>
  <c r="M162" i="1" s="1"/>
  <c r="L162" i="1" a="1"/>
  <c r="L162" i="1"/>
  <c r="V161" i="1" a="1"/>
  <c r="V161" i="1"/>
  <c r="U161" i="1" a="1"/>
  <c r="U161" i="1"/>
  <c r="T161" i="1"/>
  <c r="Q161" i="1" a="1"/>
  <c r="Q161" i="1" s="1"/>
  <c r="R161" i="1" s="1"/>
  <c r="S161" i="1" s="1"/>
  <c r="P161" i="1"/>
  <c r="O161" i="1"/>
  <c r="N161" i="1" a="1"/>
  <c r="N161" i="1" s="1"/>
  <c r="M161" i="1" a="1"/>
  <c r="M161" i="1" s="1"/>
  <c r="L161" i="1" a="1"/>
  <c r="L161" i="1"/>
  <c r="V160" i="1" a="1"/>
  <c r="V160" i="1"/>
  <c r="U160" i="1" a="1"/>
  <c r="U160" i="1"/>
  <c r="T160" i="1"/>
  <c r="R160" i="1"/>
  <c r="S160" i="1" s="1"/>
  <c r="Q160" i="1" a="1"/>
  <c r="Q160" i="1"/>
  <c r="P160" i="1"/>
  <c r="O160" i="1"/>
  <c r="N160" i="1" a="1"/>
  <c r="N160" i="1"/>
  <c r="M160" i="1" a="1"/>
  <c r="M160" i="1"/>
  <c r="L160" i="1" a="1"/>
  <c r="L160" i="1" s="1"/>
  <c r="V159" i="1" a="1"/>
  <c r="V159" i="1"/>
  <c r="U159" i="1" a="1"/>
  <c r="U159" i="1" s="1"/>
  <c r="T159" i="1"/>
  <c r="S159" i="1"/>
  <c r="R159" i="1"/>
  <c r="Q159" i="1" a="1"/>
  <c r="Q159" i="1"/>
  <c r="P159" i="1"/>
  <c r="O159" i="1"/>
  <c r="N159" i="1" a="1"/>
  <c r="N159" i="1" s="1"/>
  <c r="M159" i="1" a="1"/>
  <c r="M159" i="1" s="1"/>
  <c r="L159" i="1" a="1"/>
  <c r="L159" i="1" s="1"/>
  <c r="V158" i="1" a="1"/>
  <c r="V158" i="1"/>
  <c r="U158" i="1" a="1"/>
  <c r="U158" i="1" s="1"/>
  <c r="T158" i="1"/>
  <c r="S158" i="1"/>
  <c r="Q158" i="1" a="1"/>
  <c r="Q158" i="1"/>
  <c r="R158" i="1" s="1"/>
  <c r="P158" i="1"/>
  <c r="O158" i="1"/>
  <c r="N158" i="1" a="1"/>
  <c r="N158" i="1"/>
  <c r="M158" i="1" a="1"/>
  <c r="M158" i="1"/>
  <c r="L158" i="1" a="1"/>
  <c r="L158" i="1" s="1"/>
  <c r="V157" i="1" a="1"/>
  <c r="V157" i="1" s="1"/>
  <c r="U157" i="1" a="1"/>
  <c r="U157" i="1"/>
  <c r="T157" i="1"/>
  <c r="Q157" i="1" a="1"/>
  <c r="Q157" i="1" s="1"/>
  <c r="R157" i="1" s="1"/>
  <c r="S157" i="1" s="1"/>
  <c r="P157" i="1"/>
  <c r="O157" i="1"/>
  <c r="N157" i="1" a="1"/>
  <c r="N157" i="1"/>
  <c r="M157" i="1" a="1"/>
  <c r="M157" i="1" s="1"/>
  <c r="L157" i="1" a="1"/>
  <c r="L157" i="1" s="1"/>
  <c r="V156" i="1" a="1"/>
  <c r="V156" i="1" s="1"/>
  <c r="U156" i="1" a="1"/>
  <c r="U156" i="1" s="1"/>
  <c r="T156" i="1"/>
  <c r="R156" i="1"/>
  <c r="S156" i="1" s="1"/>
  <c r="Q156" i="1" a="1"/>
  <c r="Q156" i="1" s="1"/>
  <c r="P156" i="1"/>
  <c r="O156" i="1"/>
  <c r="N156" i="1" a="1"/>
  <c r="N156" i="1"/>
  <c r="M156" i="1" a="1"/>
  <c r="M156" i="1"/>
  <c r="L156" i="1" a="1"/>
  <c r="L156" i="1" s="1"/>
  <c r="V155" i="1" a="1"/>
  <c r="V155" i="1" s="1"/>
  <c r="U155" i="1" a="1"/>
  <c r="U155" i="1" s="1"/>
  <c r="T155" i="1"/>
  <c r="Q155" i="1" a="1"/>
  <c r="Q155" i="1" s="1"/>
  <c r="R155" i="1" s="1"/>
  <c r="S155" i="1" s="1"/>
  <c r="P155" i="1"/>
  <c r="O155" i="1"/>
  <c r="N155" i="1" a="1"/>
  <c r="N155" i="1"/>
  <c r="M155" i="1" a="1"/>
  <c r="M155" i="1"/>
  <c r="L155" i="1" a="1"/>
  <c r="L155" i="1" s="1"/>
  <c r="V154" i="1" a="1"/>
  <c r="V154" i="1" s="1"/>
  <c r="U154" i="1" a="1"/>
  <c r="U154" i="1" s="1"/>
  <c r="T154" i="1"/>
  <c r="R154" i="1"/>
  <c r="S154" i="1" s="1"/>
  <c r="Q154" i="1" a="1"/>
  <c r="Q154" i="1" s="1"/>
  <c r="P154" i="1"/>
  <c r="O154" i="1"/>
  <c r="N154" i="1" a="1"/>
  <c r="N154" i="1"/>
  <c r="M154" i="1" a="1"/>
  <c r="M154" i="1" s="1"/>
  <c r="L154" i="1" a="1"/>
  <c r="L154" i="1"/>
  <c r="V153" i="1" a="1"/>
  <c r="V153" i="1"/>
  <c r="U153" i="1" a="1"/>
  <c r="U153" i="1" s="1"/>
  <c r="T153" i="1"/>
  <c r="Q153" i="1" a="1"/>
  <c r="Q153" i="1"/>
  <c r="R153" i="1" s="1"/>
  <c r="S153" i="1" s="1"/>
  <c r="P153" i="1"/>
  <c r="O153" i="1"/>
  <c r="N153" i="1" a="1"/>
  <c r="N153" i="1"/>
  <c r="M153" i="1" a="1"/>
  <c r="M153" i="1" s="1"/>
  <c r="L153" i="1" a="1"/>
  <c r="L153" i="1"/>
  <c r="V152" i="1" a="1"/>
  <c r="V152" i="1" s="1"/>
  <c r="U152" i="1" a="1"/>
  <c r="U152" i="1" s="1"/>
  <c r="T152" i="1"/>
  <c r="Q152" i="1" a="1"/>
  <c r="Q152" i="1" s="1"/>
  <c r="R152" i="1" s="1"/>
  <c r="S152" i="1" s="1"/>
  <c r="P152" i="1"/>
  <c r="O152" i="1"/>
  <c r="N152" i="1" a="1"/>
  <c r="N152" i="1" s="1"/>
  <c r="M152" i="1" a="1"/>
  <c r="M152" i="1"/>
  <c r="L152" i="1" a="1"/>
  <c r="L152" i="1"/>
  <c r="V151" i="1" a="1"/>
  <c r="V151" i="1"/>
  <c r="U151" i="1" a="1"/>
  <c r="U151" i="1" s="1"/>
  <c r="T151" i="1"/>
  <c r="R151" i="1"/>
  <c r="S151" i="1" s="1"/>
  <c r="Q151" i="1" a="1"/>
  <c r="Q151" i="1" s="1"/>
  <c r="P151" i="1"/>
  <c r="O151" i="1"/>
  <c r="N151" i="1" a="1"/>
  <c r="N151" i="1" s="1"/>
  <c r="M151" i="1" a="1"/>
  <c r="M151" i="1" s="1"/>
  <c r="L151" i="1" a="1"/>
  <c r="L151" i="1"/>
  <c r="V150" i="1" a="1"/>
  <c r="V150" i="1" s="1"/>
  <c r="U150" i="1" a="1"/>
  <c r="U150" i="1" s="1"/>
  <c r="T150" i="1"/>
  <c r="R150" i="1"/>
  <c r="S150" i="1" s="1"/>
  <c r="Q150" i="1" a="1"/>
  <c r="Q150" i="1"/>
  <c r="P150" i="1"/>
  <c r="O150" i="1"/>
  <c r="N150" i="1" a="1"/>
  <c r="N150" i="1"/>
  <c r="M150" i="1" a="1"/>
  <c r="M150" i="1" s="1"/>
  <c r="L150" i="1" a="1"/>
  <c r="L150" i="1"/>
  <c r="V149" i="1" a="1"/>
  <c r="V149" i="1"/>
  <c r="U149" i="1" a="1"/>
  <c r="U149" i="1"/>
  <c r="T149" i="1"/>
  <c r="Q149" i="1" a="1"/>
  <c r="Q149" i="1"/>
  <c r="R149" i="1" s="1"/>
  <c r="S149" i="1" s="1"/>
  <c r="P149" i="1"/>
  <c r="O149" i="1"/>
  <c r="N149" i="1" a="1"/>
  <c r="N149" i="1" s="1"/>
  <c r="M149" i="1" a="1"/>
  <c r="M149" i="1" s="1"/>
  <c r="L149" i="1" a="1"/>
  <c r="L149" i="1"/>
  <c r="V148" i="1" a="1"/>
  <c r="V148" i="1"/>
  <c r="U148" i="1" a="1"/>
  <c r="U148" i="1"/>
  <c r="T148" i="1"/>
  <c r="Q148" i="1" a="1"/>
  <c r="Q148" i="1"/>
  <c r="R148" i="1" s="1"/>
  <c r="S148" i="1" s="1"/>
  <c r="P148" i="1"/>
  <c r="O148" i="1"/>
  <c r="N148" i="1" a="1"/>
  <c r="N148" i="1"/>
  <c r="M148" i="1" a="1"/>
  <c r="M148" i="1"/>
  <c r="L148" i="1" a="1"/>
  <c r="L148" i="1" s="1"/>
  <c r="V147" i="1" a="1"/>
  <c r="V147" i="1"/>
  <c r="U147" i="1" a="1"/>
  <c r="U147" i="1" s="1"/>
  <c r="T147" i="1"/>
  <c r="Q147" i="1" a="1"/>
  <c r="Q147" i="1"/>
  <c r="R147" i="1" s="1"/>
  <c r="S147" i="1" s="1"/>
  <c r="P147" i="1"/>
  <c r="O147" i="1"/>
  <c r="N147" i="1" a="1"/>
  <c r="N147" i="1" s="1"/>
  <c r="M147" i="1" a="1"/>
  <c r="M147" i="1" s="1"/>
  <c r="L147" i="1" a="1"/>
  <c r="L147" i="1" s="1"/>
  <c r="V146" i="1" a="1"/>
  <c r="V146" i="1"/>
  <c r="U146" i="1" a="1"/>
  <c r="U146" i="1" s="1"/>
  <c r="T146" i="1"/>
  <c r="S146" i="1"/>
  <c r="Q146" i="1" a="1"/>
  <c r="Q146" i="1"/>
  <c r="R146" i="1" s="1"/>
  <c r="P146" i="1"/>
  <c r="O146" i="1"/>
  <c r="N146" i="1" a="1"/>
  <c r="N146" i="1" s="1"/>
  <c r="M146" i="1" a="1"/>
  <c r="M146" i="1"/>
  <c r="L146" i="1" a="1"/>
  <c r="L146" i="1"/>
  <c r="V145" i="1" a="1"/>
  <c r="V145" i="1" s="1"/>
  <c r="U145" i="1" a="1"/>
  <c r="U145" i="1"/>
  <c r="T145" i="1"/>
  <c r="S145" i="1"/>
  <c r="R145" i="1"/>
  <c r="Q145" i="1" a="1"/>
  <c r="Q145" i="1" s="1"/>
  <c r="P145" i="1"/>
  <c r="O145" i="1"/>
  <c r="N145" i="1" a="1"/>
  <c r="N145" i="1"/>
  <c r="M145" i="1" a="1"/>
  <c r="M145" i="1" s="1"/>
  <c r="L145" i="1" a="1"/>
  <c r="L145" i="1"/>
  <c r="V144" i="1" a="1"/>
  <c r="V144" i="1"/>
  <c r="U144" i="1" a="1"/>
  <c r="U144" i="1" s="1"/>
  <c r="T144" i="1"/>
  <c r="Q144" i="1" a="1"/>
  <c r="Q144" i="1" s="1"/>
  <c r="R144" i="1" s="1"/>
  <c r="S144" i="1" s="1"/>
  <c r="P144" i="1"/>
  <c r="O144" i="1"/>
  <c r="N144" i="1" a="1"/>
  <c r="N144" i="1"/>
  <c r="M144" i="1" a="1"/>
  <c r="M144" i="1"/>
  <c r="L144" i="1" a="1"/>
  <c r="L144" i="1" s="1"/>
  <c r="V143" i="1" a="1"/>
  <c r="V143" i="1"/>
  <c r="U143" i="1" a="1"/>
  <c r="U143" i="1" s="1"/>
  <c r="T143" i="1"/>
  <c r="R143" i="1"/>
  <c r="S143" i="1" s="1"/>
  <c r="Q143" i="1" a="1"/>
  <c r="Q143" i="1"/>
  <c r="P143" i="1"/>
  <c r="O143" i="1"/>
  <c r="N143" i="1" a="1"/>
  <c r="N143" i="1" s="1"/>
  <c r="M143" i="1" a="1"/>
  <c r="M143" i="1"/>
  <c r="L143" i="1" a="1"/>
  <c r="L143" i="1"/>
  <c r="V142" i="1" a="1"/>
  <c r="V142" i="1"/>
  <c r="U142" i="1" a="1"/>
  <c r="U142" i="1"/>
  <c r="T142" i="1"/>
  <c r="R142" i="1"/>
  <c r="S142" i="1" s="1"/>
  <c r="Q142" i="1" a="1"/>
  <c r="Q142" i="1" s="1"/>
  <c r="P142" i="1"/>
  <c r="O142" i="1"/>
  <c r="N142" i="1" a="1"/>
  <c r="N142" i="1"/>
  <c r="M142" i="1" a="1"/>
  <c r="M142" i="1" s="1"/>
  <c r="L142" i="1" a="1"/>
  <c r="L142" i="1" s="1"/>
  <c r="V141" i="1" a="1"/>
  <c r="V141" i="1" s="1"/>
  <c r="U141" i="1" a="1"/>
  <c r="U141" i="1" s="1"/>
  <c r="T141" i="1"/>
  <c r="Q141" i="1" a="1"/>
  <c r="Q141" i="1" s="1"/>
  <c r="R141" i="1" s="1"/>
  <c r="S141" i="1" s="1"/>
  <c r="P141" i="1"/>
  <c r="O141" i="1"/>
  <c r="N141" i="1" a="1"/>
  <c r="N141" i="1"/>
  <c r="M141" i="1" a="1"/>
  <c r="M141" i="1"/>
  <c r="L141" i="1" a="1"/>
  <c r="L141" i="1" s="1"/>
  <c r="V140" i="1" a="1"/>
  <c r="V140" i="1"/>
  <c r="U140" i="1" a="1"/>
  <c r="U140" i="1" s="1"/>
  <c r="T140" i="1"/>
  <c r="Q140" i="1" a="1"/>
  <c r="Q140" i="1" s="1"/>
  <c r="R140" i="1" s="1"/>
  <c r="S140" i="1" s="1"/>
  <c r="P140" i="1"/>
  <c r="O140" i="1"/>
  <c r="N140" i="1" a="1"/>
  <c r="N140" i="1" s="1"/>
  <c r="M140" i="1" a="1"/>
  <c r="M140" i="1"/>
  <c r="L140" i="1" a="1"/>
  <c r="L140" i="1"/>
  <c r="V139" i="1" a="1"/>
  <c r="V139" i="1" s="1"/>
  <c r="U139" i="1" a="1"/>
  <c r="U139" i="1"/>
  <c r="T139" i="1"/>
  <c r="Q139" i="1" a="1"/>
  <c r="Q139" i="1" s="1"/>
  <c r="R139" i="1" s="1"/>
  <c r="S139" i="1" s="1"/>
  <c r="P139" i="1"/>
  <c r="O139" i="1"/>
  <c r="N139" i="1" a="1"/>
  <c r="N139" i="1"/>
  <c r="M139" i="1" a="1"/>
  <c r="M139" i="1" s="1"/>
  <c r="L139" i="1" a="1"/>
  <c r="L139" i="1"/>
  <c r="V138" i="1" a="1"/>
  <c r="V138" i="1"/>
  <c r="U138" i="1" a="1"/>
  <c r="U138" i="1" s="1"/>
  <c r="T138" i="1"/>
  <c r="Q138" i="1" a="1"/>
  <c r="Q138" i="1"/>
  <c r="R138" i="1" s="1"/>
  <c r="S138" i="1" s="1"/>
  <c r="P138" i="1"/>
  <c r="O138" i="1"/>
  <c r="N138" i="1" a="1"/>
  <c r="N138" i="1"/>
  <c r="M138" i="1" a="1"/>
  <c r="M138" i="1" s="1"/>
  <c r="L138" i="1" a="1"/>
  <c r="L138" i="1"/>
  <c r="V137" i="1" a="1"/>
  <c r="V137" i="1" s="1"/>
  <c r="U137" i="1" a="1"/>
  <c r="U137" i="1" s="1"/>
  <c r="T137" i="1"/>
  <c r="R137" i="1"/>
  <c r="S137" i="1" s="1"/>
  <c r="Q137" i="1" a="1"/>
  <c r="Q137" i="1"/>
  <c r="P137" i="1"/>
  <c r="O137" i="1"/>
  <c r="N137" i="1" a="1"/>
  <c r="N137" i="1"/>
  <c r="M137" i="1" a="1"/>
  <c r="M137" i="1"/>
  <c r="L137" i="1" a="1"/>
  <c r="L137" i="1" s="1"/>
  <c r="V136" i="1" a="1"/>
  <c r="V136" i="1"/>
  <c r="U136" i="1" a="1"/>
  <c r="U136" i="1"/>
  <c r="T136" i="1"/>
  <c r="Q136" i="1" a="1"/>
  <c r="Q136" i="1"/>
  <c r="R136" i="1" s="1"/>
  <c r="S136" i="1" s="1"/>
  <c r="P136" i="1"/>
  <c r="O136" i="1"/>
  <c r="N136" i="1" a="1"/>
  <c r="N136" i="1" s="1"/>
  <c r="M136" i="1" a="1"/>
  <c r="M136" i="1"/>
  <c r="L136" i="1" a="1"/>
  <c r="L136" i="1" s="1"/>
  <c r="V135" i="1" a="1"/>
  <c r="V135" i="1"/>
  <c r="U135" i="1" a="1"/>
  <c r="U135" i="1"/>
  <c r="T135" i="1"/>
  <c r="Q135" i="1" a="1"/>
  <c r="Q135" i="1" s="1"/>
  <c r="R135" i="1" s="1"/>
  <c r="S135" i="1" s="1"/>
  <c r="P135" i="1"/>
  <c r="O135" i="1"/>
  <c r="N135" i="1" a="1"/>
  <c r="N135" i="1" s="1"/>
  <c r="M135" i="1" a="1"/>
  <c r="M135" i="1" s="1"/>
  <c r="L135" i="1" a="1"/>
  <c r="L135" i="1" s="1"/>
  <c r="V134" i="1" a="1"/>
  <c r="V134" i="1" s="1"/>
  <c r="U134" i="1" a="1"/>
  <c r="U134" i="1"/>
  <c r="T134" i="1"/>
  <c r="S134" i="1"/>
  <c r="Q134" i="1" a="1"/>
  <c r="Q134" i="1"/>
  <c r="R134" i="1" s="1"/>
  <c r="P134" i="1"/>
  <c r="O134" i="1"/>
  <c r="N134" i="1" a="1"/>
  <c r="N134" i="1" s="1"/>
  <c r="M134" i="1" a="1"/>
  <c r="M134" i="1" s="1"/>
  <c r="L134" i="1" a="1"/>
  <c r="L134" i="1"/>
  <c r="V133" i="1" a="1"/>
  <c r="V133" i="1" s="1"/>
  <c r="U133" i="1" a="1"/>
  <c r="U133" i="1"/>
  <c r="T133" i="1"/>
  <c r="Q133" i="1" a="1"/>
  <c r="Q133" i="1"/>
  <c r="R133" i="1" s="1"/>
  <c r="S133" i="1" s="1"/>
  <c r="P133" i="1"/>
  <c r="O133" i="1"/>
  <c r="N133" i="1" a="1"/>
  <c r="N133" i="1" s="1"/>
  <c r="M133" i="1" a="1"/>
  <c r="M133" i="1" s="1"/>
  <c r="L133" i="1" a="1"/>
  <c r="L133" i="1"/>
  <c r="V132" i="1" a="1"/>
  <c r="V132" i="1"/>
  <c r="U132" i="1" a="1"/>
  <c r="U132" i="1"/>
  <c r="T132" i="1"/>
  <c r="Q132" i="1" a="1"/>
  <c r="Q132" i="1" s="1"/>
  <c r="R132" i="1" s="1"/>
  <c r="S132" i="1" s="1"/>
  <c r="P132" i="1"/>
  <c r="O132" i="1"/>
  <c r="N132" i="1" a="1"/>
  <c r="N132" i="1"/>
  <c r="M132" i="1" a="1"/>
  <c r="M132" i="1"/>
  <c r="L132" i="1" a="1"/>
  <c r="L132" i="1"/>
  <c r="V131" i="1" a="1"/>
  <c r="V131" i="1"/>
  <c r="U131" i="1" a="1"/>
  <c r="U131" i="1" s="1"/>
  <c r="T131" i="1"/>
  <c r="S131" i="1"/>
  <c r="R131" i="1"/>
  <c r="Q131" i="1" a="1"/>
  <c r="Q131" i="1"/>
  <c r="P131" i="1"/>
  <c r="O131" i="1"/>
  <c r="N131" i="1" a="1"/>
  <c r="N131" i="1"/>
  <c r="M131" i="1" a="1"/>
  <c r="M131" i="1"/>
  <c r="L131" i="1" a="1"/>
  <c r="L131" i="1"/>
  <c r="V130" i="1" a="1"/>
  <c r="V130" i="1" s="1"/>
  <c r="U130" i="1" a="1"/>
  <c r="U130" i="1"/>
  <c r="T130" i="1"/>
  <c r="Q130" i="1" a="1"/>
  <c r="Q130" i="1"/>
  <c r="R130" i="1" s="1"/>
  <c r="S130" i="1" s="1"/>
  <c r="P130" i="1"/>
  <c r="O130" i="1"/>
  <c r="N130" i="1" a="1"/>
  <c r="N130" i="1"/>
  <c r="M130" i="1" a="1"/>
  <c r="M130" i="1" s="1"/>
  <c r="L130" i="1" a="1"/>
  <c r="L130" i="1" s="1"/>
  <c r="V129" i="1" a="1"/>
  <c r="V129" i="1" s="1"/>
  <c r="U129" i="1" a="1"/>
  <c r="U129" i="1"/>
  <c r="T129" i="1"/>
  <c r="Q129" i="1" a="1"/>
  <c r="Q129" i="1"/>
  <c r="R129" i="1" s="1"/>
  <c r="S129" i="1" s="1"/>
  <c r="P129" i="1"/>
  <c r="O129" i="1"/>
  <c r="N129" i="1" a="1"/>
  <c r="N129" i="1"/>
  <c r="M129" i="1" a="1"/>
  <c r="M129" i="1"/>
  <c r="L129" i="1" a="1"/>
  <c r="L129" i="1"/>
  <c r="V128" i="1" a="1"/>
  <c r="V128" i="1"/>
  <c r="U128" i="1" a="1"/>
  <c r="U128" i="1"/>
  <c r="T128" i="1"/>
  <c r="Q128" i="1" a="1"/>
  <c r="Q128" i="1" s="1"/>
  <c r="R128" i="1" s="1"/>
  <c r="S128" i="1" s="1"/>
  <c r="P128" i="1"/>
  <c r="O128" i="1"/>
  <c r="N128" i="1" a="1"/>
  <c r="N128" i="1" s="1"/>
  <c r="M128" i="1" a="1"/>
  <c r="M128" i="1"/>
  <c r="L128" i="1" a="1"/>
  <c r="L128" i="1"/>
  <c r="V127" i="1" a="1"/>
  <c r="V127" i="1" s="1"/>
  <c r="U127" i="1" a="1"/>
  <c r="U127" i="1"/>
  <c r="T127" i="1"/>
  <c r="Q127" i="1" a="1"/>
  <c r="Q127" i="1" s="1"/>
  <c r="R127" i="1" s="1"/>
  <c r="S127" i="1" s="1"/>
  <c r="P127" i="1"/>
  <c r="O127" i="1"/>
  <c r="N127" i="1" a="1"/>
  <c r="N127" i="1"/>
  <c r="M127" i="1" a="1"/>
  <c r="M127" i="1"/>
  <c r="L127" i="1" a="1"/>
  <c r="L127" i="1" s="1"/>
  <c r="V126" i="1" a="1"/>
  <c r="V126" i="1"/>
  <c r="U126" i="1" a="1"/>
  <c r="U126" i="1" s="1"/>
  <c r="T126" i="1"/>
  <c r="Q126" i="1" a="1"/>
  <c r="Q126" i="1"/>
  <c r="R126" i="1" s="1"/>
  <c r="S126" i="1" s="1"/>
  <c r="P126" i="1"/>
  <c r="O126" i="1"/>
  <c r="N126" i="1" a="1"/>
  <c r="N126" i="1" s="1"/>
  <c r="M126" i="1" a="1"/>
  <c r="M126" i="1" s="1"/>
  <c r="L126" i="1" a="1"/>
  <c r="L126" i="1"/>
  <c r="V125" i="1" a="1"/>
  <c r="V125" i="1"/>
  <c r="U125" i="1" a="1"/>
  <c r="U125" i="1" s="1"/>
  <c r="T125" i="1"/>
  <c r="Q125" i="1" a="1"/>
  <c r="Q125" i="1" s="1"/>
  <c r="R125" i="1" s="1"/>
  <c r="S125" i="1" s="1"/>
  <c r="P125" i="1"/>
  <c r="O125" i="1"/>
  <c r="N125" i="1" a="1"/>
  <c r="N125" i="1"/>
  <c r="M125" i="1" a="1"/>
  <c r="M125" i="1"/>
  <c r="L125" i="1" a="1"/>
  <c r="L125" i="1"/>
  <c r="V124" i="1" a="1"/>
  <c r="V124" i="1"/>
  <c r="U124" i="1" a="1"/>
  <c r="U124" i="1" s="1"/>
  <c r="T124" i="1"/>
  <c r="Q124" i="1" a="1"/>
  <c r="Q124" i="1"/>
  <c r="R124" i="1" s="1"/>
  <c r="S124" i="1" s="1"/>
  <c r="P124" i="1"/>
  <c r="O124" i="1"/>
  <c r="N124" i="1" a="1"/>
  <c r="N124" i="1"/>
  <c r="M124" i="1" a="1"/>
  <c r="M124" i="1"/>
  <c r="L124" i="1" a="1"/>
  <c r="L124" i="1" s="1"/>
  <c r="V123" i="1" a="1"/>
  <c r="V123" i="1"/>
  <c r="U123" i="1" a="1"/>
  <c r="U123" i="1" s="1"/>
  <c r="T123" i="1"/>
  <c r="R123" i="1"/>
  <c r="S123" i="1" s="1"/>
  <c r="Q123" i="1" a="1"/>
  <c r="Q123" i="1"/>
  <c r="P123" i="1"/>
  <c r="O123" i="1"/>
  <c r="N123" i="1" a="1"/>
  <c r="N123" i="1" s="1"/>
  <c r="M123" i="1" a="1"/>
  <c r="M123" i="1" s="1"/>
  <c r="L123" i="1" a="1"/>
  <c r="L123" i="1" s="1"/>
  <c r="V122" i="1" a="1"/>
  <c r="V122" i="1" s="1"/>
  <c r="U122" i="1" a="1"/>
  <c r="U122" i="1" s="1"/>
  <c r="T122" i="1"/>
  <c r="S122" i="1"/>
  <c r="Q122" i="1" a="1"/>
  <c r="Q122" i="1"/>
  <c r="R122" i="1" s="1"/>
  <c r="P122" i="1"/>
  <c r="O122" i="1"/>
  <c r="N122" i="1" a="1"/>
  <c r="N122" i="1" s="1"/>
  <c r="M122" i="1" a="1"/>
  <c r="M122" i="1"/>
  <c r="L122" i="1" a="1"/>
  <c r="L122" i="1" s="1"/>
  <c r="V121" i="1" a="1"/>
  <c r="V121" i="1" s="1"/>
  <c r="U121" i="1" a="1"/>
  <c r="U121" i="1"/>
  <c r="T121" i="1"/>
  <c r="S121" i="1"/>
  <c r="Q121" i="1" a="1"/>
  <c r="Q121" i="1" s="1"/>
  <c r="R121" i="1" s="1"/>
  <c r="P121" i="1"/>
  <c r="O121" i="1"/>
  <c r="N121" i="1" a="1"/>
  <c r="N121" i="1" s="1"/>
  <c r="M121" i="1" a="1"/>
  <c r="M121" i="1" s="1"/>
  <c r="L121" i="1" a="1"/>
  <c r="L121" i="1" s="1"/>
  <c r="V120" i="1" a="1"/>
  <c r="V120" i="1"/>
  <c r="U120" i="1" a="1"/>
  <c r="U120" i="1"/>
  <c r="T120" i="1"/>
  <c r="Q120" i="1" a="1"/>
  <c r="Q120" i="1" s="1"/>
  <c r="R120" i="1" s="1"/>
  <c r="S120" i="1" s="1"/>
  <c r="P120" i="1"/>
  <c r="O120" i="1"/>
  <c r="N120" i="1" a="1"/>
  <c r="N120" i="1" s="1"/>
  <c r="M120" i="1" a="1"/>
  <c r="M120" i="1"/>
  <c r="L120" i="1" a="1"/>
  <c r="L120" i="1"/>
  <c r="V119" i="1" a="1"/>
  <c r="V119" i="1"/>
  <c r="U119" i="1" a="1"/>
  <c r="U119" i="1" s="1"/>
  <c r="T119" i="1"/>
  <c r="Q119" i="1" a="1"/>
  <c r="Q119" i="1"/>
  <c r="R119" i="1" s="1"/>
  <c r="S119" i="1" s="1"/>
  <c r="P119" i="1"/>
  <c r="O119" i="1"/>
  <c r="N119" i="1" a="1"/>
  <c r="N119" i="1"/>
  <c r="M119" i="1" a="1"/>
  <c r="M119" i="1"/>
  <c r="L119" i="1" a="1"/>
  <c r="L119" i="1"/>
  <c r="V118" i="1" a="1"/>
  <c r="V118" i="1"/>
  <c r="U118" i="1" a="1"/>
  <c r="U118" i="1"/>
  <c r="T118" i="1"/>
  <c r="Q118" i="1" a="1"/>
  <c r="Q118" i="1" s="1"/>
  <c r="R118" i="1" s="1"/>
  <c r="S118" i="1" s="1"/>
  <c r="P118" i="1"/>
  <c r="O118" i="1"/>
  <c r="N118" i="1" a="1"/>
  <c r="N118" i="1"/>
  <c r="M118" i="1" a="1"/>
  <c r="M118" i="1"/>
  <c r="L118" i="1" a="1"/>
  <c r="L118" i="1"/>
  <c r="V117" i="1" a="1"/>
  <c r="V117" i="1" s="1"/>
  <c r="U117" i="1" a="1"/>
  <c r="U117" i="1" s="1"/>
  <c r="T117" i="1"/>
  <c r="Q117" i="1" a="1"/>
  <c r="Q117" i="1"/>
  <c r="R117" i="1" s="1"/>
  <c r="S117" i="1" s="1"/>
  <c r="P117" i="1"/>
  <c r="O117" i="1"/>
  <c r="N117" i="1" a="1"/>
  <c r="N117" i="1" s="1"/>
  <c r="M117" i="1" a="1"/>
  <c r="M117" i="1" s="1"/>
  <c r="L117" i="1" a="1"/>
  <c r="L117" i="1"/>
  <c r="V116" i="1" a="1"/>
  <c r="V116" i="1"/>
  <c r="U116" i="1" a="1"/>
  <c r="U116" i="1"/>
  <c r="T116" i="1"/>
  <c r="S116" i="1"/>
  <c r="R116" i="1"/>
  <c r="Q116" i="1" a="1"/>
  <c r="Q116" i="1"/>
  <c r="P116" i="1"/>
  <c r="O116" i="1"/>
  <c r="N116" i="1" a="1"/>
  <c r="N116" i="1" s="1"/>
  <c r="M116" i="1" a="1"/>
  <c r="M116" i="1"/>
  <c r="L116" i="1" a="1"/>
  <c r="L116" i="1"/>
  <c r="V115" i="1" a="1"/>
  <c r="V115" i="1"/>
  <c r="U115" i="1" a="1"/>
  <c r="U115" i="1" s="1"/>
  <c r="T115" i="1"/>
  <c r="Q115" i="1" a="1"/>
  <c r="Q115" i="1" s="1"/>
  <c r="R115" i="1" s="1"/>
  <c r="S115" i="1" s="1"/>
  <c r="P115" i="1"/>
  <c r="O115" i="1"/>
  <c r="N115" i="1" a="1"/>
  <c r="N115" i="1"/>
  <c r="M115" i="1" a="1"/>
  <c r="M115" i="1"/>
  <c r="L115" i="1" a="1"/>
  <c r="L115" i="1" s="1"/>
  <c r="V114" i="1" a="1"/>
  <c r="V114" i="1"/>
  <c r="U114" i="1" a="1"/>
  <c r="U114" i="1" s="1"/>
  <c r="T114" i="1"/>
  <c r="Q114" i="1" a="1"/>
  <c r="Q114" i="1" s="1"/>
  <c r="R114" i="1" s="1"/>
  <c r="S114" i="1" s="1"/>
  <c r="P114" i="1"/>
  <c r="O114" i="1"/>
  <c r="N114" i="1" a="1"/>
  <c r="N114" i="1" s="1"/>
  <c r="M114" i="1" a="1"/>
  <c r="M114" i="1" s="1"/>
  <c r="L114" i="1" a="1"/>
  <c r="L114" i="1"/>
  <c r="V113" i="1" a="1"/>
  <c r="V113" i="1" s="1"/>
  <c r="U113" i="1" a="1"/>
  <c r="U113" i="1"/>
  <c r="T113" i="1"/>
  <c r="Q113" i="1" a="1"/>
  <c r="Q113" i="1"/>
  <c r="R113" i="1" s="1"/>
  <c r="S113" i="1" s="1"/>
  <c r="P113" i="1"/>
  <c r="O113" i="1"/>
  <c r="N113" i="1" a="1"/>
  <c r="N113" i="1"/>
  <c r="M113" i="1" a="1"/>
  <c r="M113" i="1"/>
  <c r="L113" i="1" a="1"/>
  <c r="L113" i="1"/>
  <c r="V112" i="1" a="1"/>
  <c r="V112" i="1"/>
  <c r="U112" i="1" a="1"/>
  <c r="U112" i="1"/>
  <c r="T112" i="1"/>
  <c r="R112" i="1"/>
  <c r="S112" i="1" s="1"/>
  <c r="Q112" i="1" a="1"/>
  <c r="Q112" i="1"/>
  <c r="P112" i="1"/>
  <c r="O112" i="1"/>
  <c r="N112" i="1" a="1"/>
  <c r="N112" i="1"/>
  <c r="M112" i="1" a="1"/>
  <c r="M112" i="1"/>
  <c r="L112" i="1" a="1"/>
  <c r="L112" i="1" s="1"/>
  <c r="V111" i="1" a="1"/>
  <c r="V111" i="1"/>
  <c r="U111" i="1" a="1"/>
  <c r="U111" i="1" s="1"/>
  <c r="T111" i="1"/>
  <c r="Q111" i="1" a="1"/>
  <c r="Q111" i="1"/>
  <c r="R111" i="1" s="1"/>
  <c r="S111" i="1" s="1"/>
  <c r="P111" i="1"/>
  <c r="O111" i="1"/>
  <c r="N111" i="1" a="1"/>
  <c r="N111" i="1" s="1"/>
  <c r="M111" i="1" a="1"/>
  <c r="M111" i="1"/>
  <c r="L111" i="1" a="1"/>
  <c r="L111" i="1" s="1"/>
  <c r="V110" i="1" a="1"/>
  <c r="V110" i="1" s="1"/>
  <c r="U110" i="1" a="1"/>
  <c r="U110" i="1" s="1"/>
  <c r="T110" i="1"/>
  <c r="Q110" i="1" a="1"/>
  <c r="Q110" i="1"/>
  <c r="R110" i="1" s="1"/>
  <c r="S110" i="1" s="1"/>
  <c r="P110" i="1"/>
  <c r="O110" i="1"/>
  <c r="N110" i="1" a="1"/>
  <c r="N110" i="1" s="1"/>
  <c r="M110" i="1" a="1"/>
  <c r="M110" i="1" s="1"/>
  <c r="L110" i="1" a="1"/>
  <c r="L110" i="1"/>
  <c r="V109" i="1" a="1"/>
  <c r="V109" i="1" s="1"/>
  <c r="U109" i="1" a="1"/>
  <c r="U109" i="1"/>
  <c r="T109" i="1"/>
  <c r="Q109" i="1" a="1"/>
  <c r="Q109" i="1" s="1"/>
  <c r="R109" i="1" s="1"/>
  <c r="S109" i="1" s="1"/>
  <c r="P109" i="1"/>
  <c r="O109" i="1"/>
  <c r="N109" i="1" a="1"/>
  <c r="N109" i="1"/>
  <c r="M109" i="1" a="1"/>
  <c r="M109" i="1"/>
  <c r="L109" i="1" a="1"/>
  <c r="L109" i="1" s="1"/>
  <c r="V108" i="1" a="1"/>
  <c r="V108" i="1"/>
  <c r="U108" i="1" a="1"/>
  <c r="U108" i="1" s="1"/>
  <c r="T108" i="1"/>
  <c r="R108" i="1"/>
  <c r="S108" i="1" s="1"/>
  <c r="Q108" i="1" a="1"/>
  <c r="Q108" i="1" s="1"/>
  <c r="P108" i="1"/>
  <c r="O108" i="1"/>
  <c r="N108" i="1" a="1"/>
  <c r="N108" i="1"/>
  <c r="M108" i="1" a="1"/>
  <c r="M108" i="1" s="1"/>
  <c r="L108" i="1" a="1"/>
  <c r="L108" i="1" s="1"/>
  <c r="V107" i="1" a="1"/>
  <c r="V107" i="1" s="1"/>
  <c r="U107" i="1" a="1"/>
  <c r="U107" i="1" s="1"/>
  <c r="T107" i="1"/>
  <c r="Q107" i="1" a="1"/>
  <c r="Q107" i="1" s="1"/>
  <c r="R107" i="1" s="1"/>
  <c r="S107" i="1" s="1"/>
  <c r="P107" i="1"/>
  <c r="O107" i="1"/>
  <c r="N107" i="1" a="1"/>
  <c r="N107" i="1" s="1"/>
  <c r="M107" i="1" a="1"/>
  <c r="M107" i="1" s="1"/>
  <c r="L107" i="1" a="1"/>
  <c r="L107" i="1"/>
  <c r="V106" i="1" a="1"/>
  <c r="V106" i="1" s="1"/>
  <c r="U106" i="1" a="1"/>
  <c r="U106" i="1"/>
  <c r="T106" i="1"/>
  <c r="S106" i="1"/>
  <c r="R106" i="1"/>
  <c r="Q106" i="1" a="1"/>
  <c r="Q106" i="1"/>
  <c r="P106" i="1"/>
  <c r="O106" i="1"/>
  <c r="N106" i="1" a="1"/>
  <c r="N106" i="1"/>
  <c r="M106" i="1" a="1"/>
  <c r="M106" i="1"/>
  <c r="L106" i="1" a="1"/>
  <c r="L106" i="1"/>
  <c r="V105" i="1" a="1"/>
  <c r="V105" i="1" s="1"/>
  <c r="U105" i="1" a="1"/>
  <c r="U105" i="1"/>
  <c r="T105" i="1"/>
  <c r="Q105" i="1" a="1"/>
  <c r="Q105" i="1" s="1"/>
  <c r="R105" i="1" s="1"/>
  <c r="S105" i="1" s="1"/>
  <c r="P105" i="1"/>
  <c r="O105" i="1"/>
  <c r="N105" i="1" a="1"/>
  <c r="N105" i="1"/>
  <c r="M105" i="1" a="1"/>
  <c r="M105" i="1" s="1"/>
  <c r="L105" i="1" a="1"/>
  <c r="L105" i="1" s="1"/>
  <c r="V104" i="1" a="1"/>
  <c r="V104" i="1"/>
  <c r="U104" i="1" a="1"/>
  <c r="U104" i="1" s="1"/>
  <c r="T104" i="1"/>
  <c r="Q104" i="1" a="1"/>
  <c r="Q104" i="1"/>
  <c r="R104" i="1" s="1"/>
  <c r="S104" i="1" s="1"/>
  <c r="P104" i="1"/>
  <c r="O104" i="1"/>
  <c r="N104" i="1" a="1"/>
  <c r="N104" i="1" s="1"/>
  <c r="M104" i="1" a="1"/>
  <c r="M104" i="1"/>
  <c r="L104" i="1" a="1"/>
  <c r="L104" i="1"/>
  <c r="V103" i="1" a="1"/>
  <c r="V103" i="1" s="1"/>
  <c r="U103" i="1" a="1"/>
  <c r="U103" i="1" s="1"/>
  <c r="T103" i="1"/>
  <c r="R103" i="1"/>
  <c r="S103" i="1" s="1"/>
  <c r="Q103" i="1" a="1"/>
  <c r="Q103" i="1"/>
  <c r="P103" i="1"/>
  <c r="O103" i="1"/>
  <c r="N103" i="1" a="1"/>
  <c r="N103" i="1"/>
  <c r="M103" i="1" a="1"/>
  <c r="M103" i="1"/>
  <c r="L103" i="1" a="1"/>
  <c r="L103" i="1"/>
  <c r="V102" i="1" a="1"/>
  <c r="V102" i="1"/>
  <c r="U102" i="1" a="1"/>
  <c r="U102" i="1" s="1"/>
  <c r="T102" i="1"/>
  <c r="Q102" i="1" a="1"/>
  <c r="Q102" i="1"/>
  <c r="R102" i="1" s="1"/>
  <c r="S102" i="1" s="1"/>
  <c r="P102" i="1"/>
  <c r="O102" i="1"/>
  <c r="N102" i="1" a="1"/>
  <c r="N102" i="1" s="1"/>
  <c r="M102" i="1" a="1"/>
  <c r="M102" i="1" s="1"/>
  <c r="L102" i="1" a="1"/>
  <c r="L102" i="1"/>
  <c r="V101" i="1" a="1"/>
  <c r="V101" i="1" s="1"/>
  <c r="U101" i="1" a="1"/>
  <c r="U101" i="1" s="1"/>
  <c r="T101" i="1"/>
  <c r="Q101" i="1" a="1"/>
  <c r="Q101" i="1" s="1"/>
  <c r="R101" i="1" s="1"/>
  <c r="S101" i="1" s="1"/>
  <c r="P101" i="1"/>
  <c r="O101" i="1"/>
  <c r="N101" i="1" a="1"/>
  <c r="N101" i="1"/>
  <c r="M101" i="1" a="1"/>
  <c r="M101" i="1"/>
  <c r="L101" i="1" a="1"/>
  <c r="L101" i="1" s="1"/>
  <c r="V100" i="1" a="1"/>
  <c r="V100" i="1"/>
  <c r="U100" i="1" a="1"/>
  <c r="U100" i="1" s="1"/>
  <c r="T100" i="1"/>
  <c r="Q100" i="1" a="1"/>
  <c r="Q100" i="1" s="1"/>
  <c r="R100" i="1" s="1"/>
  <c r="S100" i="1" s="1"/>
  <c r="P100" i="1"/>
  <c r="O100" i="1"/>
  <c r="N100" i="1" a="1"/>
  <c r="N100" i="1" s="1"/>
  <c r="M100" i="1" a="1"/>
  <c r="M100" i="1" s="1"/>
  <c r="L100" i="1" a="1"/>
  <c r="L100" i="1"/>
  <c r="V99" i="1" a="1"/>
  <c r="V99" i="1" s="1"/>
  <c r="U99" i="1" a="1"/>
  <c r="U99" i="1" s="1"/>
  <c r="T99" i="1"/>
  <c r="Q99" i="1" a="1"/>
  <c r="Q99" i="1"/>
  <c r="R99" i="1" s="1"/>
  <c r="S99" i="1" s="1"/>
  <c r="P99" i="1"/>
  <c r="O99" i="1"/>
  <c r="N99" i="1" a="1"/>
  <c r="N99" i="1"/>
  <c r="M99" i="1" a="1"/>
  <c r="M99" i="1"/>
  <c r="L99" i="1" a="1"/>
  <c r="L99" i="1"/>
  <c r="V98" i="1" a="1"/>
  <c r="V98" i="1"/>
  <c r="U98" i="1" a="1"/>
  <c r="U98" i="1"/>
  <c r="T98" i="1"/>
  <c r="Q98" i="1" a="1"/>
  <c r="Q98" i="1" s="1"/>
  <c r="R98" i="1" s="1"/>
  <c r="S98" i="1" s="1"/>
  <c r="P98" i="1"/>
  <c r="O98" i="1"/>
  <c r="N98" i="1" a="1"/>
  <c r="N98" i="1" s="1"/>
  <c r="M98" i="1" a="1"/>
  <c r="M98" i="1" s="1"/>
  <c r="L98" i="1" a="1"/>
  <c r="L98" i="1"/>
  <c r="V97" i="1" a="1"/>
  <c r="V97" i="1"/>
  <c r="U97" i="1" a="1"/>
  <c r="U97" i="1" s="1"/>
  <c r="T97" i="1"/>
  <c r="Q97" i="1" a="1"/>
  <c r="Q97" i="1"/>
  <c r="R97" i="1" s="1"/>
  <c r="S97" i="1" s="1"/>
  <c r="P97" i="1"/>
  <c r="O97" i="1"/>
  <c r="N97" i="1" a="1"/>
  <c r="N97" i="1"/>
  <c r="M97" i="1" a="1"/>
  <c r="M97" i="1"/>
  <c r="L97" i="1" a="1"/>
  <c r="L97" i="1"/>
  <c r="V96" i="1" a="1"/>
  <c r="V96" i="1"/>
  <c r="U96" i="1" a="1"/>
  <c r="U96" i="1"/>
  <c r="T96" i="1"/>
  <c r="Q96" i="1" a="1"/>
  <c r="Q96" i="1"/>
  <c r="R96" i="1" s="1"/>
  <c r="S96" i="1" s="1"/>
  <c r="P96" i="1"/>
  <c r="O96" i="1"/>
  <c r="N96" i="1" a="1"/>
  <c r="N96" i="1" s="1"/>
  <c r="M96" i="1" a="1"/>
  <c r="M96" i="1"/>
  <c r="L96" i="1" a="1"/>
  <c r="L96" i="1" s="1"/>
  <c r="V95" i="1" a="1"/>
  <c r="V95" i="1" s="1"/>
  <c r="U95" i="1" a="1"/>
  <c r="U95" i="1" s="1"/>
  <c r="T95" i="1"/>
  <c r="Q95" i="1" a="1"/>
  <c r="Q95" i="1"/>
  <c r="R95" i="1" s="1"/>
  <c r="S95" i="1" s="1"/>
  <c r="P95" i="1"/>
  <c r="O95" i="1"/>
  <c r="N95" i="1" a="1"/>
  <c r="N95" i="1"/>
  <c r="M95" i="1" a="1"/>
  <c r="M95" i="1" s="1"/>
  <c r="L95" i="1" a="1"/>
  <c r="L95" i="1" s="1"/>
  <c r="V94" i="1" a="1"/>
  <c r="V94" i="1"/>
  <c r="U94" i="1" a="1"/>
  <c r="U94" i="1"/>
  <c r="T94" i="1"/>
  <c r="Q94" i="1" a="1"/>
  <c r="Q94" i="1"/>
  <c r="R94" i="1" s="1"/>
  <c r="S94" i="1" s="1"/>
  <c r="P94" i="1"/>
  <c r="O94" i="1"/>
  <c r="N94" i="1" a="1"/>
  <c r="N94" i="1" s="1"/>
  <c r="M94" i="1" a="1"/>
  <c r="M94" i="1" s="1"/>
  <c r="L94" i="1" a="1"/>
  <c r="L94" i="1"/>
  <c r="V93" i="1" a="1"/>
  <c r="V93" i="1" s="1"/>
  <c r="U93" i="1" a="1"/>
  <c r="U93" i="1" s="1"/>
  <c r="T93" i="1"/>
  <c r="R93" i="1"/>
  <c r="S93" i="1" s="1"/>
  <c r="Q93" i="1" a="1"/>
  <c r="Q93" i="1"/>
  <c r="P93" i="1"/>
  <c r="O93" i="1"/>
  <c r="N93" i="1" a="1"/>
  <c r="N93" i="1"/>
  <c r="M93" i="1" a="1"/>
  <c r="M93" i="1"/>
  <c r="L93" i="1" a="1"/>
  <c r="L93" i="1" s="1"/>
  <c r="V92" i="1" a="1"/>
  <c r="V92" i="1"/>
  <c r="U92" i="1" a="1"/>
  <c r="U92" i="1"/>
  <c r="T92" i="1"/>
  <c r="Q92" i="1" a="1"/>
  <c r="Q92" i="1" s="1"/>
  <c r="R92" i="1" s="1"/>
  <c r="S92" i="1" s="1"/>
  <c r="P92" i="1"/>
  <c r="O92" i="1"/>
  <c r="N92" i="1" a="1"/>
  <c r="N92" i="1" s="1"/>
  <c r="M92" i="1" a="1"/>
  <c r="M92" i="1" s="1"/>
  <c r="L92" i="1" a="1"/>
  <c r="L92" i="1" s="1"/>
  <c r="V91" i="1" a="1"/>
  <c r="V91" i="1" s="1"/>
  <c r="U91" i="1" a="1"/>
  <c r="U91" i="1" s="1"/>
  <c r="T91" i="1"/>
  <c r="Q91" i="1" a="1"/>
  <c r="Q91" i="1"/>
  <c r="R91" i="1" s="1"/>
  <c r="S91" i="1" s="1"/>
  <c r="P91" i="1"/>
  <c r="O91" i="1"/>
  <c r="N91" i="1" a="1"/>
  <c r="N91" i="1"/>
  <c r="M91" i="1" a="1"/>
  <c r="M91" i="1" s="1"/>
  <c r="L91" i="1" a="1"/>
  <c r="L91" i="1"/>
  <c r="V90" i="1" a="1"/>
  <c r="V90" i="1"/>
  <c r="U90" i="1" a="1"/>
  <c r="U90" i="1"/>
  <c r="T90" i="1"/>
  <c r="Q90" i="1" a="1"/>
  <c r="Q90" i="1"/>
  <c r="R90" i="1" s="1"/>
  <c r="S90" i="1" s="1"/>
  <c r="P90" i="1"/>
  <c r="O90" i="1"/>
  <c r="N90" i="1" a="1"/>
  <c r="N90" i="1" s="1"/>
  <c r="M90" i="1" a="1"/>
  <c r="M90" i="1"/>
  <c r="L90" i="1" a="1"/>
  <c r="L90" i="1" s="1"/>
  <c r="V89" i="1" a="1"/>
  <c r="V89" i="1" s="1"/>
  <c r="U89" i="1" a="1"/>
  <c r="U89" i="1" s="1"/>
  <c r="T89" i="1"/>
  <c r="Q89" i="1" a="1"/>
  <c r="Q89" i="1" s="1"/>
  <c r="R89" i="1" s="1"/>
  <c r="S89" i="1" s="1"/>
  <c r="P89" i="1"/>
  <c r="O89" i="1"/>
  <c r="N89" i="1" a="1"/>
  <c r="N89" i="1"/>
  <c r="M89" i="1" a="1"/>
  <c r="M89" i="1"/>
  <c r="L89" i="1" a="1"/>
  <c r="L89" i="1" s="1"/>
  <c r="V88" i="1" a="1"/>
  <c r="V88" i="1"/>
  <c r="U88" i="1" a="1"/>
  <c r="U88" i="1" s="1"/>
  <c r="T88" i="1"/>
  <c r="Q88" i="1" a="1"/>
  <c r="Q88" i="1" s="1"/>
  <c r="R88" i="1" s="1"/>
  <c r="S88" i="1" s="1"/>
  <c r="P88" i="1"/>
  <c r="O88" i="1"/>
  <c r="N88" i="1" a="1"/>
  <c r="N88" i="1" s="1"/>
  <c r="M88" i="1" a="1"/>
  <c r="M88" i="1" s="1"/>
  <c r="L88" i="1" a="1"/>
  <c r="L88" i="1"/>
  <c r="V87" i="1" a="1"/>
  <c r="V87" i="1" s="1"/>
  <c r="U87" i="1" a="1"/>
  <c r="U87" i="1" s="1"/>
  <c r="T87" i="1"/>
  <c r="Q87" i="1" a="1"/>
  <c r="Q87" i="1"/>
  <c r="R87" i="1" s="1"/>
  <c r="S87" i="1" s="1"/>
  <c r="P87" i="1"/>
  <c r="O87" i="1"/>
  <c r="N87" i="1" a="1"/>
  <c r="N87" i="1"/>
  <c r="M87" i="1" a="1"/>
  <c r="M87" i="1"/>
  <c r="L87" i="1" a="1"/>
  <c r="L87" i="1"/>
  <c r="V86" i="1" a="1"/>
  <c r="V86" i="1" s="1"/>
  <c r="U86" i="1" a="1"/>
  <c r="U86" i="1"/>
  <c r="T86" i="1"/>
  <c r="Q86" i="1" a="1"/>
  <c r="Q86" i="1" s="1"/>
  <c r="R86" i="1" s="1"/>
  <c r="S86" i="1" s="1"/>
  <c r="P86" i="1"/>
  <c r="O86" i="1"/>
  <c r="N86" i="1" a="1"/>
  <c r="N86" i="1" s="1"/>
  <c r="M86" i="1" a="1"/>
  <c r="M86" i="1" s="1"/>
  <c r="L86" i="1" a="1"/>
  <c r="L86" i="1"/>
  <c r="V85" i="1" a="1"/>
  <c r="V85" i="1"/>
  <c r="U85" i="1" a="1"/>
  <c r="U85" i="1" s="1"/>
  <c r="T85" i="1"/>
  <c r="Q85" i="1" a="1"/>
  <c r="Q85" i="1"/>
  <c r="R85" i="1" s="1"/>
  <c r="S85" i="1" s="1"/>
  <c r="P85" i="1"/>
  <c r="O85" i="1"/>
  <c r="N85" i="1" a="1"/>
  <c r="N85" i="1" s="1"/>
  <c r="M85" i="1" a="1"/>
  <c r="M85" i="1"/>
  <c r="L85" i="1" a="1"/>
  <c r="L85" i="1"/>
  <c r="V84" i="1" a="1"/>
  <c r="V84" i="1"/>
  <c r="U84" i="1" a="1"/>
  <c r="U84" i="1"/>
  <c r="T84" i="1"/>
  <c r="Q84" i="1" a="1"/>
  <c r="Q84" i="1"/>
  <c r="R84" i="1" s="1"/>
  <c r="S84" i="1" s="1"/>
  <c r="P84" i="1"/>
  <c r="O84" i="1"/>
  <c r="N84" i="1" a="1"/>
  <c r="N84" i="1" s="1"/>
  <c r="M84" i="1" a="1"/>
  <c r="M84" i="1"/>
  <c r="L84" i="1" a="1"/>
  <c r="L84" i="1" s="1"/>
  <c r="V83" i="1" a="1"/>
  <c r="V83" i="1" s="1"/>
  <c r="U83" i="1" a="1"/>
  <c r="U83" i="1" s="1"/>
  <c r="T83" i="1"/>
  <c r="Q83" i="1" a="1"/>
  <c r="Q83" i="1"/>
  <c r="R83" i="1" s="1"/>
  <c r="S83" i="1" s="1"/>
  <c r="P83" i="1"/>
  <c r="O83" i="1"/>
  <c r="N83" i="1" a="1"/>
  <c r="N83" i="1"/>
  <c r="M83" i="1" a="1"/>
  <c r="M83" i="1" s="1"/>
  <c r="L83" i="1" a="1"/>
  <c r="L83" i="1" s="1"/>
  <c r="V82" i="1" a="1"/>
  <c r="V82" i="1"/>
  <c r="U82" i="1" a="1"/>
  <c r="U82" i="1"/>
  <c r="T82" i="1"/>
  <c r="Q82" i="1" a="1"/>
  <c r="Q82" i="1"/>
  <c r="R82" i="1" s="1"/>
  <c r="S82" i="1" s="1"/>
  <c r="P82" i="1"/>
  <c r="O82" i="1"/>
  <c r="N82" i="1" a="1"/>
  <c r="N82" i="1" s="1"/>
  <c r="M82" i="1" a="1"/>
  <c r="M82" i="1" s="1"/>
  <c r="L82" i="1" a="1"/>
  <c r="L82" i="1"/>
  <c r="V81" i="1" a="1"/>
  <c r="V81" i="1" s="1"/>
  <c r="U81" i="1" a="1"/>
  <c r="U81" i="1"/>
  <c r="T81" i="1"/>
  <c r="R81" i="1"/>
  <c r="S81" i="1" s="1"/>
  <c r="Q81" i="1" a="1"/>
  <c r="Q81" i="1"/>
  <c r="P81" i="1"/>
  <c r="O81" i="1"/>
  <c r="N81" i="1" a="1"/>
  <c r="N81" i="1"/>
  <c r="M81" i="1" a="1"/>
  <c r="M81" i="1"/>
  <c r="L81" i="1" a="1"/>
  <c r="L81" i="1" s="1"/>
  <c r="V80" i="1" a="1"/>
  <c r="V80" i="1"/>
  <c r="U80" i="1" a="1"/>
  <c r="U80" i="1"/>
  <c r="T80" i="1"/>
  <c r="Q80" i="1" a="1"/>
  <c r="Q80" i="1" s="1"/>
  <c r="R80" i="1" s="1"/>
  <c r="S80" i="1" s="1"/>
  <c r="P80" i="1"/>
  <c r="O80" i="1"/>
  <c r="N80" i="1" a="1"/>
  <c r="N80" i="1" s="1"/>
  <c r="M80" i="1" a="1"/>
  <c r="M80" i="1" s="1"/>
  <c r="L80" i="1" a="1"/>
  <c r="L80" i="1" s="1"/>
  <c r="V79" i="1" a="1"/>
  <c r="V79" i="1" s="1"/>
  <c r="U79" i="1" a="1"/>
  <c r="U79" i="1" s="1"/>
  <c r="T79" i="1"/>
  <c r="Q79" i="1" a="1"/>
  <c r="Q79" i="1"/>
  <c r="R79" i="1" s="1"/>
  <c r="S79" i="1" s="1"/>
  <c r="P79" i="1"/>
  <c r="O79" i="1"/>
  <c r="N79" i="1" a="1"/>
  <c r="N79" i="1"/>
  <c r="M79" i="1" a="1"/>
  <c r="M79" i="1" s="1"/>
  <c r="L79" i="1" a="1"/>
  <c r="L79" i="1"/>
  <c r="V78" i="1" a="1"/>
  <c r="V78" i="1"/>
  <c r="U78" i="1" a="1"/>
  <c r="U78" i="1"/>
  <c r="T78" i="1"/>
  <c r="Q78" i="1" a="1"/>
  <c r="Q78" i="1"/>
  <c r="R78" i="1" s="1"/>
  <c r="S78" i="1" s="1"/>
  <c r="P78" i="1"/>
  <c r="O78" i="1"/>
  <c r="N78" i="1" a="1"/>
  <c r="N78" i="1" s="1"/>
  <c r="M78" i="1" a="1"/>
  <c r="M78" i="1" s="1"/>
  <c r="L78" i="1" a="1"/>
  <c r="L78" i="1" s="1"/>
  <c r="V77" i="1" a="1"/>
  <c r="V77" i="1" s="1"/>
  <c r="U77" i="1" a="1"/>
  <c r="U77" i="1" s="1"/>
  <c r="T77" i="1"/>
  <c r="Q77" i="1" a="1"/>
  <c r="Q77" i="1" s="1"/>
  <c r="R77" i="1" s="1"/>
  <c r="S77" i="1" s="1"/>
  <c r="P77" i="1"/>
  <c r="O77" i="1"/>
  <c r="N77" i="1" a="1"/>
  <c r="N77" i="1"/>
  <c r="M77" i="1" a="1"/>
  <c r="M77" i="1"/>
  <c r="L77" i="1" a="1"/>
  <c r="L77" i="1" s="1"/>
  <c r="V76" i="1" a="1"/>
  <c r="V76" i="1"/>
  <c r="U76" i="1" a="1"/>
  <c r="U76" i="1" s="1"/>
  <c r="T76" i="1"/>
  <c r="Q76" i="1" a="1"/>
  <c r="Q76" i="1" s="1"/>
  <c r="R76" i="1" s="1"/>
  <c r="S76" i="1" s="1"/>
  <c r="P76" i="1"/>
  <c r="O76" i="1"/>
  <c r="N76" i="1" a="1"/>
  <c r="N76" i="1" s="1"/>
  <c r="M76" i="1" a="1"/>
  <c r="M76" i="1" s="1"/>
  <c r="L76" i="1" a="1"/>
  <c r="L76" i="1"/>
  <c r="V75" i="1" a="1"/>
  <c r="V75" i="1" s="1"/>
  <c r="U75" i="1" a="1"/>
  <c r="U75" i="1" s="1"/>
  <c r="T75" i="1"/>
  <c r="Q75" i="1" a="1"/>
  <c r="Q75" i="1"/>
  <c r="R75" i="1" s="1"/>
  <c r="S75" i="1" s="1"/>
  <c r="P75" i="1"/>
  <c r="O75" i="1"/>
  <c r="N75" i="1" a="1"/>
  <c r="N75" i="1"/>
  <c r="M75" i="1" a="1"/>
  <c r="M75" i="1"/>
  <c r="L75" i="1" a="1"/>
  <c r="L75" i="1"/>
  <c r="V74" i="1" a="1"/>
  <c r="V74" i="1" s="1"/>
  <c r="U74" i="1" a="1"/>
  <c r="U74" i="1"/>
  <c r="T74" i="1"/>
  <c r="Q74" i="1" a="1"/>
  <c r="Q74" i="1" s="1"/>
  <c r="R74" i="1" s="1"/>
  <c r="S74" i="1" s="1"/>
  <c r="P74" i="1"/>
  <c r="O74" i="1"/>
  <c r="N74" i="1" a="1"/>
  <c r="N74" i="1" s="1"/>
  <c r="M74" i="1" a="1"/>
  <c r="M74" i="1" s="1"/>
  <c r="L74" i="1" a="1"/>
  <c r="L74" i="1" s="1"/>
  <c r="V73" i="1" a="1"/>
  <c r="V73" i="1"/>
  <c r="U73" i="1" a="1"/>
  <c r="U73" i="1" s="1"/>
  <c r="T73" i="1"/>
  <c r="Q73" i="1" a="1"/>
  <c r="Q73" i="1"/>
  <c r="R73" i="1" s="1"/>
  <c r="S73" i="1" s="1"/>
  <c r="P73" i="1"/>
  <c r="O73" i="1"/>
  <c r="N73" i="1" a="1"/>
  <c r="N73" i="1" s="1"/>
  <c r="M73" i="1" a="1"/>
  <c r="M73" i="1"/>
  <c r="L73" i="1" a="1"/>
  <c r="L73" i="1"/>
  <c r="V72" i="1" a="1"/>
  <c r="V72" i="1"/>
  <c r="U72" i="1" a="1"/>
  <c r="U72" i="1"/>
  <c r="T72" i="1"/>
  <c r="Q72" i="1" a="1"/>
  <c r="Q72" i="1" s="1"/>
  <c r="R72" i="1" s="1"/>
  <c r="S72" i="1" s="1"/>
  <c r="P72" i="1"/>
  <c r="O72" i="1"/>
  <c r="N72" i="1" a="1"/>
  <c r="N72" i="1" s="1"/>
  <c r="M72" i="1" a="1"/>
  <c r="M72" i="1"/>
  <c r="L72" i="1" a="1"/>
  <c r="L72" i="1" s="1"/>
  <c r="V71" i="1" a="1"/>
  <c r="V71" i="1" s="1"/>
  <c r="U71" i="1" a="1"/>
  <c r="U71" i="1" s="1"/>
  <c r="T71" i="1"/>
  <c r="Q71" i="1" a="1"/>
  <c r="Q71" i="1"/>
  <c r="R71" i="1" s="1"/>
  <c r="S71" i="1" s="1"/>
  <c r="P71" i="1"/>
  <c r="O71" i="1"/>
  <c r="N71" i="1" a="1"/>
  <c r="N71" i="1"/>
  <c r="M71" i="1" a="1"/>
  <c r="M71" i="1" s="1"/>
  <c r="L71" i="1" a="1"/>
  <c r="L71" i="1" s="1"/>
  <c r="V70" i="1" a="1"/>
  <c r="V70" i="1"/>
  <c r="U70" i="1" a="1"/>
  <c r="U70" i="1"/>
  <c r="T70" i="1"/>
  <c r="Q70" i="1" a="1"/>
  <c r="Q70" i="1"/>
  <c r="R70" i="1" s="1"/>
  <c r="S70" i="1" s="1"/>
  <c r="P70" i="1"/>
  <c r="O70" i="1"/>
  <c r="N70" i="1" a="1"/>
  <c r="N70" i="1" s="1"/>
  <c r="M70" i="1" a="1"/>
  <c r="M70" i="1" s="1"/>
  <c r="L70" i="1" a="1"/>
  <c r="L70" i="1"/>
  <c r="V69" i="1" a="1"/>
  <c r="V69" i="1" s="1"/>
  <c r="U69" i="1" a="1"/>
  <c r="U69" i="1"/>
  <c r="T69" i="1"/>
  <c r="Q69" i="1" a="1"/>
  <c r="Q69" i="1" s="1"/>
  <c r="R69" i="1" s="1"/>
  <c r="S69" i="1" s="1"/>
  <c r="P69" i="1"/>
  <c r="O69" i="1"/>
  <c r="N69" i="1" a="1"/>
  <c r="N69" i="1"/>
  <c r="M69" i="1" a="1"/>
  <c r="M69" i="1"/>
  <c r="L69" i="1" a="1"/>
  <c r="L69" i="1"/>
  <c r="V68" i="1" a="1"/>
  <c r="V68" i="1" s="1"/>
  <c r="U68" i="1" a="1"/>
  <c r="U68" i="1" s="1"/>
  <c r="T68" i="1"/>
  <c r="Q68" i="1" a="1"/>
  <c r="Q68" i="1" s="1"/>
  <c r="R68" i="1" s="1"/>
  <c r="S68" i="1" s="1"/>
  <c r="P68" i="1"/>
  <c r="O68" i="1"/>
  <c r="N68" i="1" a="1"/>
  <c r="N68" i="1"/>
  <c r="M68" i="1" a="1"/>
  <c r="M68" i="1" s="1"/>
  <c r="L68" i="1" a="1"/>
  <c r="L68" i="1" s="1"/>
  <c r="V67" i="1" a="1"/>
  <c r="V67" i="1" s="1"/>
  <c r="U67" i="1" a="1"/>
  <c r="U67" i="1" s="1"/>
  <c r="T67" i="1"/>
  <c r="Q67" i="1" a="1"/>
  <c r="Q67" i="1"/>
  <c r="R67" i="1" s="1"/>
  <c r="S67" i="1" s="1"/>
  <c r="P67" i="1"/>
  <c r="O67" i="1"/>
  <c r="N67" i="1" a="1"/>
  <c r="N67" i="1"/>
  <c r="M67" i="1" a="1"/>
  <c r="M67" i="1" s="1"/>
  <c r="L67" i="1" a="1"/>
  <c r="L67" i="1"/>
  <c r="V66" i="1" a="1"/>
  <c r="V66" i="1"/>
  <c r="U66" i="1" a="1"/>
  <c r="U66" i="1"/>
  <c r="T66" i="1"/>
  <c r="Q66" i="1" a="1"/>
  <c r="Q66" i="1" s="1"/>
  <c r="R66" i="1" s="1"/>
  <c r="S66" i="1" s="1"/>
  <c r="P66" i="1"/>
  <c r="O66" i="1"/>
  <c r="N66" i="1" a="1"/>
  <c r="N66" i="1"/>
  <c r="M66" i="1" a="1"/>
  <c r="M66" i="1"/>
  <c r="L66" i="1" a="1"/>
  <c r="L66" i="1"/>
  <c r="V65" i="1" a="1"/>
  <c r="V65" i="1" s="1"/>
  <c r="U65" i="1" a="1"/>
  <c r="U65" i="1" s="1"/>
  <c r="T65" i="1"/>
  <c r="R65" i="1"/>
  <c r="S65" i="1" s="1"/>
  <c r="Q65" i="1" a="1"/>
  <c r="Q65" i="1"/>
  <c r="P65" i="1"/>
  <c r="O65" i="1"/>
  <c r="N65" i="1" a="1"/>
  <c r="N65" i="1" s="1"/>
  <c r="M65" i="1" a="1"/>
  <c r="M65" i="1"/>
  <c r="L65" i="1" a="1"/>
  <c r="L65" i="1" s="1"/>
  <c r="V64" i="1" a="1"/>
  <c r="V64" i="1"/>
  <c r="U64" i="1" a="1"/>
  <c r="U64" i="1"/>
  <c r="T64" i="1"/>
  <c r="R64" i="1"/>
  <c r="S64" i="1" s="1"/>
  <c r="Q64" i="1" a="1"/>
  <c r="Q64" i="1" s="1"/>
  <c r="P64" i="1"/>
  <c r="O64" i="1"/>
  <c r="N64" i="1" a="1"/>
  <c r="N64" i="1" s="1"/>
  <c r="M64" i="1" a="1"/>
  <c r="M64" i="1" s="1"/>
  <c r="L64" i="1" a="1"/>
  <c r="L64" i="1" s="1"/>
  <c r="V63" i="1" a="1"/>
  <c r="V63" i="1"/>
  <c r="U63" i="1" a="1"/>
  <c r="U63" i="1" s="1"/>
  <c r="T63" i="1"/>
  <c r="Q63" i="1" a="1"/>
  <c r="Q63" i="1"/>
  <c r="R63" i="1" s="1"/>
  <c r="S63" i="1" s="1"/>
  <c r="P63" i="1"/>
  <c r="O63" i="1"/>
  <c r="N63" i="1" a="1"/>
  <c r="N63" i="1" s="1"/>
  <c r="M63" i="1" a="1"/>
  <c r="M63" i="1"/>
  <c r="L63" i="1" a="1"/>
  <c r="L63" i="1"/>
  <c r="V62" i="1" a="1"/>
  <c r="V62" i="1"/>
  <c r="U62" i="1" a="1"/>
  <c r="U62" i="1"/>
  <c r="T62" i="1"/>
  <c r="S62" i="1"/>
  <c r="R62" i="1"/>
  <c r="Q62" i="1" a="1"/>
  <c r="Q62" i="1"/>
  <c r="P62" i="1"/>
  <c r="O62" i="1"/>
  <c r="N62" i="1" a="1"/>
  <c r="N62" i="1" s="1"/>
  <c r="M62" i="1" a="1"/>
  <c r="M62" i="1" s="1"/>
  <c r="L62" i="1" a="1"/>
  <c r="L62" i="1"/>
  <c r="V61" i="1" a="1"/>
  <c r="V61" i="1" s="1"/>
  <c r="U61" i="1" a="1"/>
  <c r="U61" i="1" s="1"/>
  <c r="T61" i="1"/>
  <c r="Q61" i="1" a="1"/>
  <c r="Q61" i="1"/>
  <c r="R61" i="1" s="1"/>
  <c r="S61" i="1" s="1"/>
  <c r="P61" i="1"/>
  <c r="O61" i="1"/>
  <c r="N61" i="1" a="1"/>
  <c r="N61" i="1"/>
  <c r="M61" i="1" a="1"/>
  <c r="M61" i="1" s="1"/>
  <c r="L61" i="1" a="1"/>
  <c r="L61" i="1" s="1"/>
  <c r="V60" i="1" a="1"/>
  <c r="V60" i="1"/>
  <c r="U60" i="1" a="1"/>
  <c r="U60" i="1"/>
  <c r="T60" i="1"/>
  <c r="Q60" i="1" a="1"/>
  <c r="Q60" i="1" s="1"/>
  <c r="R60" i="1" s="1"/>
  <c r="S60" i="1" s="1"/>
  <c r="P60" i="1"/>
  <c r="O60" i="1"/>
  <c r="N60" i="1" a="1"/>
  <c r="N60" i="1" s="1"/>
  <c r="M60" i="1" a="1"/>
  <c r="M60" i="1"/>
  <c r="L60" i="1" a="1"/>
  <c r="L60" i="1" s="1"/>
  <c r="V59" i="1" a="1"/>
  <c r="V59" i="1" s="1"/>
  <c r="U59" i="1" a="1"/>
  <c r="U59" i="1"/>
  <c r="T59" i="1"/>
  <c r="S59" i="1"/>
  <c r="R59" i="1"/>
  <c r="Q59" i="1" a="1"/>
  <c r="Q59" i="1"/>
  <c r="P59" i="1"/>
  <c r="O59" i="1"/>
  <c r="N59" i="1" a="1"/>
  <c r="N59" i="1"/>
  <c r="M59" i="1" a="1"/>
  <c r="M59" i="1"/>
  <c r="L59" i="1" a="1"/>
  <c r="L59" i="1"/>
  <c r="V58" i="1" a="1"/>
  <c r="V58" i="1" s="1"/>
  <c r="U58" i="1" a="1"/>
  <c r="U58" i="1"/>
  <c r="T58" i="1"/>
  <c r="Q58" i="1" a="1"/>
  <c r="Q58" i="1"/>
  <c r="R58" i="1" s="1"/>
  <c r="S58" i="1" s="1"/>
  <c r="P58" i="1"/>
  <c r="O58" i="1"/>
  <c r="N58" i="1" a="1"/>
  <c r="N58" i="1"/>
  <c r="M58" i="1" a="1"/>
  <c r="M58" i="1" s="1"/>
  <c r="L58" i="1" a="1"/>
  <c r="L58" i="1" s="1"/>
  <c r="V57" i="1" a="1"/>
  <c r="V57" i="1" s="1"/>
  <c r="U57" i="1" a="1"/>
  <c r="U57" i="1"/>
  <c r="T57" i="1"/>
  <c r="Q57" i="1" a="1"/>
  <c r="Q57" i="1"/>
  <c r="R57" i="1" s="1"/>
  <c r="S57" i="1" s="1"/>
  <c r="P57" i="1"/>
  <c r="O57" i="1"/>
  <c r="N57" i="1" a="1"/>
  <c r="N57" i="1" s="1"/>
  <c r="M57" i="1" a="1"/>
  <c r="M57" i="1"/>
  <c r="L57" i="1" a="1"/>
  <c r="L57" i="1"/>
  <c r="V56" i="1" a="1"/>
  <c r="V56" i="1" s="1"/>
  <c r="U56" i="1" a="1"/>
  <c r="U56" i="1"/>
  <c r="T56" i="1"/>
  <c r="S56" i="1"/>
  <c r="R56" i="1"/>
  <c r="Q56" i="1" a="1"/>
  <c r="Q56" i="1" s="1"/>
  <c r="P56" i="1"/>
  <c r="O56" i="1"/>
  <c r="N56" i="1" a="1"/>
  <c r="N56" i="1"/>
  <c r="M56" i="1" a="1"/>
  <c r="M56" i="1" s="1"/>
  <c r="L56" i="1" a="1"/>
  <c r="L56" i="1" s="1"/>
  <c r="V55" i="1" a="1"/>
  <c r="V55" i="1"/>
  <c r="U55" i="1" a="1"/>
  <c r="U55" i="1" s="1"/>
  <c r="T55" i="1"/>
  <c r="Q55" i="1" a="1"/>
  <c r="Q55" i="1"/>
  <c r="R55" i="1" s="1"/>
  <c r="S55" i="1" s="1"/>
  <c r="P55" i="1"/>
  <c r="O55" i="1"/>
  <c r="N55" i="1" a="1"/>
  <c r="N55" i="1"/>
  <c r="M55" i="1" a="1"/>
  <c r="M55" i="1"/>
  <c r="L55" i="1" a="1"/>
  <c r="L55" i="1"/>
  <c r="V54" i="1" a="1"/>
  <c r="V54" i="1" s="1"/>
  <c r="U54" i="1" a="1"/>
  <c r="U54" i="1"/>
  <c r="T54" i="1"/>
  <c r="Q54" i="1" a="1"/>
  <c r="Q54" i="1"/>
  <c r="R54" i="1" s="1"/>
  <c r="S54" i="1" s="1"/>
  <c r="P54" i="1"/>
  <c r="O54" i="1"/>
  <c r="N54" i="1" a="1"/>
  <c r="N54" i="1" s="1"/>
  <c r="M54" i="1" a="1"/>
  <c r="M54" i="1" s="1"/>
  <c r="L54" i="1" a="1"/>
  <c r="L54" i="1"/>
  <c r="V53" i="1" a="1"/>
  <c r="V53" i="1" s="1"/>
  <c r="U53" i="1" a="1"/>
  <c r="U53" i="1" s="1"/>
  <c r="T53" i="1"/>
  <c r="Q53" i="1" a="1"/>
  <c r="Q53" i="1" s="1"/>
  <c r="R53" i="1" s="1"/>
  <c r="S53" i="1" s="1"/>
  <c r="P53" i="1"/>
  <c r="O53" i="1"/>
  <c r="N53" i="1" a="1"/>
  <c r="N53" i="1"/>
  <c r="M53" i="1" a="1"/>
  <c r="M53" i="1"/>
  <c r="L53" i="1" a="1"/>
  <c r="L53" i="1" s="1"/>
  <c r="V52" i="1" a="1"/>
  <c r="V52" i="1"/>
  <c r="U52" i="1" a="1"/>
  <c r="U52" i="1" s="1"/>
  <c r="T52" i="1"/>
  <c r="Q52" i="1" a="1"/>
  <c r="Q52" i="1" s="1"/>
  <c r="R52" i="1" s="1"/>
  <c r="S52" i="1" s="1"/>
  <c r="P52" i="1"/>
  <c r="O52" i="1"/>
  <c r="N52" i="1" a="1"/>
  <c r="N52" i="1" s="1"/>
  <c r="M52" i="1" a="1"/>
  <c r="M52" i="1"/>
  <c r="L52" i="1" a="1"/>
  <c r="L52" i="1"/>
  <c r="V51" i="1" a="1"/>
  <c r="V51" i="1" s="1"/>
  <c r="U51" i="1" a="1"/>
  <c r="U51" i="1" s="1"/>
  <c r="T51" i="1"/>
  <c r="Q51" i="1" a="1"/>
  <c r="Q51" i="1"/>
  <c r="R51" i="1" s="1"/>
  <c r="S51" i="1" s="1"/>
  <c r="P51" i="1"/>
  <c r="O51" i="1"/>
  <c r="N51" i="1" a="1"/>
  <c r="N51" i="1"/>
  <c r="M51" i="1" a="1"/>
  <c r="M51" i="1" s="1"/>
  <c r="L51" i="1" a="1"/>
  <c r="L51" i="1"/>
  <c r="V50" i="1" a="1"/>
  <c r="V50" i="1"/>
  <c r="U50" i="1" a="1"/>
  <c r="U50" i="1"/>
  <c r="T50" i="1"/>
  <c r="Q50" i="1" a="1"/>
  <c r="Q50" i="1" s="1"/>
  <c r="R50" i="1" s="1"/>
  <c r="S50" i="1" s="1"/>
  <c r="P50" i="1"/>
  <c r="O50" i="1"/>
  <c r="N50" i="1" a="1"/>
  <c r="N50" i="1"/>
  <c r="M50" i="1" a="1"/>
  <c r="M50" i="1" s="1"/>
  <c r="L50" i="1" a="1"/>
  <c r="L50" i="1"/>
  <c r="V49" i="1" a="1"/>
  <c r="V49" i="1"/>
  <c r="U49" i="1" a="1"/>
  <c r="U49" i="1"/>
  <c r="T49" i="1"/>
  <c r="Q49" i="1" a="1"/>
  <c r="Q49" i="1" s="1"/>
  <c r="R49" i="1" s="1"/>
  <c r="S49" i="1" s="1"/>
  <c r="P49" i="1"/>
  <c r="O49" i="1"/>
  <c r="N49" i="1" a="1"/>
  <c r="N49" i="1"/>
  <c r="M49" i="1" a="1"/>
  <c r="M49" i="1"/>
  <c r="L49" i="1" a="1"/>
  <c r="L49" i="1"/>
  <c r="V48" i="1" a="1"/>
  <c r="V48" i="1"/>
  <c r="U48" i="1" a="1"/>
  <c r="U48" i="1" s="1"/>
  <c r="T48" i="1"/>
  <c r="Q48" i="1" a="1"/>
  <c r="Q48" i="1" s="1"/>
  <c r="R48" i="1" s="1"/>
  <c r="S48" i="1" s="1"/>
  <c r="P48" i="1"/>
  <c r="O48" i="1"/>
  <c r="N48" i="1" a="1"/>
  <c r="N48" i="1" s="1"/>
  <c r="M48" i="1" a="1"/>
  <c r="M48" i="1" s="1"/>
  <c r="L48" i="1" a="1"/>
  <c r="L48" i="1" s="1"/>
  <c r="V47" i="1" a="1"/>
  <c r="V47" i="1"/>
  <c r="U47" i="1" a="1"/>
  <c r="U47" i="1"/>
  <c r="T47" i="1"/>
  <c r="Q47" i="1" a="1"/>
  <c r="Q47" i="1"/>
  <c r="R47" i="1" s="1"/>
  <c r="S47" i="1" s="1"/>
  <c r="P47" i="1"/>
  <c r="O47" i="1"/>
  <c r="N47" i="1" a="1"/>
  <c r="N47" i="1"/>
  <c r="M47" i="1" a="1"/>
  <c r="M47" i="1"/>
  <c r="L47" i="1" a="1"/>
  <c r="L47" i="1"/>
  <c r="V46" i="1" a="1"/>
  <c r="V46" i="1"/>
  <c r="U46" i="1" a="1"/>
  <c r="U46" i="1"/>
  <c r="T46" i="1"/>
  <c r="Q46" i="1" a="1"/>
  <c r="Q46" i="1" s="1"/>
  <c r="R46" i="1" s="1"/>
  <c r="S46" i="1" s="1"/>
  <c r="P46" i="1"/>
  <c r="O46" i="1"/>
  <c r="N46" i="1" a="1"/>
  <c r="N46" i="1"/>
  <c r="M46" i="1" a="1"/>
  <c r="M46" i="1" s="1"/>
  <c r="L46" i="1" a="1"/>
  <c r="L46" i="1"/>
  <c r="V45" i="1" a="1"/>
  <c r="V45" i="1" s="1"/>
  <c r="U45" i="1" a="1"/>
  <c r="U45" i="1" s="1"/>
  <c r="T45" i="1"/>
  <c r="Q45" i="1" a="1"/>
  <c r="Q45" i="1"/>
  <c r="R45" i="1" s="1"/>
  <c r="S45" i="1" s="1"/>
  <c r="P45" i="1"/>
  <c r="O45" i="1"/>
  <c r="N45" i="1" a="1"/>
  <c r="N45" i="1"/>
  <c r="M45" i="1" a="1"/>
  <c r="M45" i="1"/>
  <c r="L45" i="1" a="1"/>
  <c r="L45" i="1" s="1"/>
  <c r="V44" i="1" a="1"/>
  <c r="V44" i="1"/>
  <c r="U44" i="1" a="1"/>
  <c r="U44" i="1"/>
  <c r="T44" i="1"/>
  <c r="Q44" i="1" a="1"/>
  <c r="Q44" i="1" s="1"/>
  <c r="R44" i="1" s="1"/>
  <c r="S44" i="1" s="1"/>
  <c r="P44" i="1"/>
  <c r="O44" i="1"/>
  <c r="N44" i="1" a="1"/>
  <c r="N44" i="1" s="1"/>
  <c r="M44" i="1" a="1"/>
  <c r="M44" i="1"/>
  <c r="L44" i="1" a="1"/>
  <c r="L44" i="1"/>
  <c r="V43" i="1" a="1"/>
  <c r="V43" i="1" s="1"/>
  <c r="U43" i="1" a="1"/>
  <c r="U43" i="1" s="1"/>
  <c r="T43" i="1"/>
  <c r="Q43" i="1" a="1"/>
  <c r="Q43" i="1" s="1"/>
  <c r="R43" i="1" s="1"/>
  <c r="S43" i="1" s="1"/>
  <c r="P43" i="1"/>
  <c r="O43" i="1"/>
  <c r="N43" i="1" a="1"/>
  <c r="N43" i="1"/>
  <c r="M43" i="1" a="1"/>
  <c r="M43" i="1" s="1"/>
  <c r="L43" i="1" a="1"/>
  <c r="L43" i="1"/>
  <c r="V42" i="1" a="1"/>
  <c r="V42" i="1" s="1"/>
  <c r="U42" i="1" a="1"/>
  <c r="U42" i="1" s="1"/>
  <c r="T42" i="1"/>
  <c r="Q42" i="1" a="1"/>
  <c r="Q42" i="1"/>
  <c r="R42" i="1" s="1"/>
  <c r="S42" i="1" s="1"/>
  <c r="P42" i="1"/>
  <c r="O42" i="1"/>
  <c r="N42" i="1" a="1"/>
  <c r="N42" i="1"/>
  <c r="M42" i="1" a="1"/>
  <c r="M42" i="1" s="1"/>
  <c r="L42" i="1" a="1"/>
  <c r="L42" i="1" s="1"/>
  <c r="V41" i="1" a="1"/>
  <c r="V41" i="1"/>
  <c r="U41" i="1" a="1"/>
  <c r="U41" i="1"/>
  <c r="T41" i="1"/>
  <c r="Q41" i="1" a="1"/>
  <c r="Q41" i="1"/>
  <c r="R41" i="1" s="1"/>
  <c r="S41" i="1" s="1"/>
  <c r="P41" i="1"/>
  <c r="O41" i="1"/>
  <c r="N41" i="1" a="1"/>
  <c r="N41" i="1" s="1"/>
  <c r="M41" i="1" a="1"/>
  <c r="M41" i="1"/>
  <c r="L41" i="1" a="1"/>
  <c r="L41" i="1"/>
  <c r="V40" i="1" a="1"/>
  <c r="V40" i="1"/>
  <c r="U40" i="1" a="1"/>
  <c r="U40" i="1"/>
  <c r="T40" i="1"/>
  <c r="S40" i="1"/>
  <c r="R40" i="1"/>
  <c r="Q40" i="1" a="1"/>
  <c r="Q40" i="1"/>
  <c r="P40" i="1"/>
  <c r="O40" i="1"/>
  <c r="N40" i="1" a="1"/>
  <c r="N40" i="1" s="1"/>
  <c r="M40" i="1" a="1"/>
  <c r="M40" i="1"/>
  <c r="L40" i="1" a="1"/>
  <c r="L40" i="1"/>
  <c r="V39" i="1" a="1"/>
  <c r="V39" i="1" s="1"/>
  <c r="U39" i="1" a="1"/>
  <c r="U39" i="1" s="1"/>
  <c r="T39" i="1"/>
  <c r="R39" i="1"/>
  <c r="S39" i="1" s="1"/>
  <c r="Q39" i="1" a="1"/>
  <c r="Q39" i="1"/>
  <c r="P39" i="1"/>
  <c r="O39" i="1"/>
  <c r="N39" i="1" a="1"/>
  <c r="N39" i="1" s="1"/>
  <c r="M39" i="1" a="1"/>
  <c r="M39" i="1" s="1"/>
  <c r="L39" i="1" a="1"/>
  <c r="L39" i="1"/>
  <c r="V38" i="1" a="1"/>
  <c r="V38" i="1"/>
  <c r="U38" i="1" a="1"/>
  <c r="U38" i="1"/>
  <c r="T38" i="1"/>
  <c r="Q38" i="1" a="1"/>
  <c r="Q38" i="1" s="1"/>
  <c r="R38" i="1" s="1"/>
  <c r="S38" i="1" s="1"/>
  <c r="P38" i="1"/>
  <c r="O38" i="1"/>
  <c r="N38" i="1" a="1"/>
  <c r="N38" i="1"/>
  <c r="M38" i="1" a="1"/>
  <c r="M38" i="1" s="1"/>
  <c r="L38" i="1" a="1"/>
  <c r="L38" i="1" s="1"/>
  <c r="V37" i="1" a="1"/>
  <c r="V37" i="1"/>
  <c r="U37" i="1" a="1"/>
  <c r="U37" i="1" s="1"/>
  <c r="T37" i="1"/>
  <c r="Q37" i="1" a="1"/>
  <c r="Q37" i="1"/>
  <c r="R37" i="1" s="1"/>
  <c r="S37" i="1" s="1"/>
  <c r="P37" i="1"/>
  <c r="O37" i="1"/>
  <c r="N37" i="1" a="1"/>
  <c r="N37" i="1"/>
  <c r="M37" i="1" a="1"/>
  <c r="M37" i="1"/>
  <c r="L37" i="1" a="1"/>
  <c r="L37" i="1" s="1"/>
  <c r="V36" i="1" a="1"/>
  <c r="V36" i="1" s="1"/>
  <c r="U36" i="1" a="1"/>
  <c r="U36" i="1"/>
  <c r="T36" i="1"/>
  <c r="Q36" i="1" a="1"/>
  <c r="Q36" i="1"/>
  <c r="R36" i="1" s="1"/>
  <c r="S36" i="1" s="1"/>
  <c r="P36" i="1"/>
  <c r="O36" i="1"/>
  <c r="N36" i="1" a="1"/>
  <c r="N36" i="1" s="1"/>
  <c r="M36" i="1" a="1"/>
  <c r="M36" i="1"/>
  <c r="L36" i="1" a="1"/>
  <c r="L36" i="1" s="1"/>
  <c r="V35" i="1" a="1"/>
  <c r="V35" i="1"/>
  <c r="U35" i="1" a="1"/>
  <c r="U35" i="1"/>
  <c r="T35" i="1"/>
  <c r="Q35" i="1" a="1"/>
  <c r="Q35" i="1" s="1"/>
  <c r="R35" i="1" s="1"/>
  <c r="S35" i="1" s="1"/>
  <c r="P35" i="1"/>
  <c r="O35" i="1"/>
  <c r="N35" i="1" a="1"/>
  <c r="N35" i="1"/>
  <c r="M35" i="1" a="1"/>
  <c r="M35" i="1" s="1"/>
  <c r="L35" i="1" a="1"/>
  <c r="L35" i="1"/>
  <c r="V34" i="1" a="1"/>
  <c r="V34" i="1" s="1"/>
  <c r="U34" i="1" a="1"/>
  <c r="U34" i="1" s="1"/>
  <c r="T34" i="1"/>
  <c r="Q34" i="1" a="1"/>
  <c r="Q34" i="1"/>
  <c r="R34" i="1" s="1"/>
  <c r="S34" i="1" s="1"/>
  <c r="P34" i="1"/>
  <c r="O34" i="1"/>
  <c r="N34" i="1" a="1"/>
  <c r="N34" i="1"/>
  <c r="M34" i="1" a="1"/>
  <c r="M34" i="1" s="1"/>
  <c r="L34" i="1" a="1"/>
  <c r="L34" i="1" s="1"/>
  <c r="V33" i="1" a="1"/>
  <c r="V33" i="1" s="1"/>
  <c r="U33" i="1" a="1"/>
  <c r="U33" i="1"/>
  <c r="T33" i="1"/>
  <c r="Q33" i="1" a="1"/>
  <c r="Q33" i="1"/>
  <c r="R33" i="1" s="1"/>
  <c r="S33" i="1" s="1"/>
  <c r="P33" i="1"/>
  <c r="O33" i="1"/>
  <c r="N33" i="1" a="1"/>
  <c r="N33" i="1" s="1"/>
  <c r="M33" i="1" a="1"/>
  <c r="M33" i="1"/>
  <c r="L33" i="1" a="1"/>
  <c r="L33" i="1"/>
  <c r="V32" i="1" a="1"/>
  <c r="V32" i="1" s="1"/>
  <c r="U32" i="1" a="1"/>
  <c r="U32" i="1"/>
  <c r="T32" i="1"/>
  <c r="S32" i="1"/>
  <c r="R32" i="1"/>
  <c r="Q32" i="1" a="1"/>
  <c r="Q32" i="1" s="1"/>
  <c r="P32" i="1"/>
  <c r="O32" i="1"/>
  <c r="N32" i="1" a="1"/>
  <c r="N32" i="1"/>
  <c r="M32" i="1" a="1"/>
  <c r="M32" i="1" s="1"/>
  <c r="L32" i="1" a="1"/>
  <c r="L32" i="1"/>
  <c r="V31" i="1" a="1"/>
  <c r="V31" i="1" s="1"/>
  <c r="U31" i="1" a="1"/>
  <c r="U31" i="1" s="1"/>
  <c r="T31" i="1"/>
  <c r="Q31" i="1" a="1"/>
  <c r="Q31" i="1"/>
  <c r="R31" i="1" s="1"/>
  <c r="S31" i="1" s="1"/>
  <c r="P31" i="1"/>
  <c r="O31" i="1"/>
  <c r="N31" i="1" a="1"/>
  <c r="N31" i="1"/>
  <c r="M31" i="1" a="1"/>
  <c r="M31" i="1" s="1"/>
  <c r="L31" i="1" a="1"/>
  <c r="L31" i="1"/>
  <c r="V30" i="1" a="1"/>
  <c r="V30" i="1"/>
  <c r="U30" i="1" a="1"/>
  <c r="U30" i="1"/>
  <c r="T30" i="1"/>
  <c r="Q30" i="1" a="1"/>
  <c r="Q30" i="1"/>
  <c r="R30" i="1" s="1"/>
  <c r="S30" i="1" s="1"/>
  <c r="P30" i="1"/>
  <c r="O30" i="1"/>
  <c r="N30" i="1" a="1"/>
  <c r="N30" i="1" s="1"/>
  <c r="M30" i="1" a="1"/>
  <c r="M30" i="1"/>
  <c r="L30" i="1" a="1"/>
  <c r="L30" i="1"/>
  <c r="V29" i="1" a="1"/>
  <c r="V29" i="1"/>
  <c r="U29" i="1" a="1"/>
  <c r="U29" i="1"/>
  <c r="T29" i="1"/>
  <c r="Q29" i="1" a="1"/>
  <c r="Q29" i="1" s="1"/>
  <c r="R29" i="1" s="1"/>
  <c r="S29" i="1" s="1"/>
  <c r="P29" i="1"/>
  <c r="O29" i="1"/>
  <c r="N29" i="1" a="1"/>
  <c r="N29" i="1"/>
  <c r="M29" i="1" a="1"/>
  <c r="M29" i="1"/>
  <c r="L29" i="1" a="1"/>
  <c r="L29" i="1"/>
  <c r="V28" i="1" a="1"/>
  <c r="V28" i="1"/>
  <c r="U28" i="1" a="1"/>
  <c r="U28" i="1" s="1"/>
  <c r="T28" i="1"/>
  <c r="Q28" i="1" a="1"/>
  <c r="Q28" i="1" s="1"/>
  <c r="R28" i="1" s="1"/>
  <c r="S28" i="1" s="1"/>
  <c r="P28" i="1"/>
  <c r="O28" i="1"/>
  <c r="N28" i="1" a="1"/>
  <c r="N28" i="1" s="1"/>
  <c r="M28" i="1" a="1"/>
  <c r="M28" i="1" s="1"/>
  <c r="L28" i="1" a="1"/>
  <c r="L28" i="1" s="1"/>
  <c r="V27" i="1" a="1"/>
  <c r="V27" i="1"/>
  <c r="U27" i="1" a="1"/>
  <c r="U27" i="1"/>
  <c r="T27" i="1"/>
  <c r="Q27" i="1" a="1"/>
  <c r="Q27" i="1"/>
  <c r="R27" i="1" s="1"/>
  <c r="S27" i="1" s="1"/>
  <c r="P27" i="1"/>
  <c r="O27" i="1"/>
  <c r="N27" i="1" a="1"/>
  <c r="N27" i="1"/>
  <c r="M27" i="1" a="1"/>
  <c r="M27" i="1"/>
  <c r="L27" i="1" a="1"/>
  <c r="L27" i="1" s="1"/>
  <c r="V26" i="1" a="1"/>
  <c r="V26" i="1"/>
  <c r="U26" i="1" a="1"/>
  <c r="U26" i="1"/>
  <c r="T26" i="1"/>
  <c r="Q26" i="1" a="1"/>
  <c r="Q26" i="1"/>
  <c r="R26" i="1" s="1"/>
  <c r="S26" i="1" s="1"/>
  <c r="P26" i="1"/>
  <c r="O26" i="1"/>
  <c r="N26" i="1" a="1"/>
  <c r="N26" i="1"/>
  <c r="M26" i="1" a="1"/>
  <c r="M26" i="1" s="1"/>
  <c r="L26" i="1" a="1"/>
  <c r="L26" i="1" s="1"/>
  <c r="V25" i="1" a="1"/>
  <c r="V25" i="1" s="1"/>
  <c r="U25" i="1" a="1"/>
  <c r="U25" i="1"/>
  <c r="T25" i="1"/>
  <c r="Q25" i="1" a="1"/>
  <c r="Q25" i="1"/>
  <c r="R25" i="1" s="1"/>
  <c r="S25" i="1" s="1"/>
  <c r="P25" i="1"/>
  <c r="O25" i="1"/>
  <c r="N25" i="1" a="1"/>
  <c r="N25" i="1" s="1"/>
  <c r="M25" i="1" a="1"/>
  <c r="M25" i="1" s="1"/>
  <c r="L25" i="1" a="1"/>
  <c r="L25" i="1"/>
  <c r="V24" i="1" a="1"/>
  <c r="V24" i="1"/>
  <c r="U24" i="1" a="1"/>
  <c r="U24" i="1"/>
  <c r="T24" i="1"/>
  <c r="Q24" i="1" a="1"/>
  <c r="Q24" i="1" s="1"/>
  <c r="R24" i="1" s="1"/>
  <c r="S24" i="1" s="1"/>
  <c r="P24" i="1"/>
  <c r="O24" i="1"/>
  <c r="N24" i="1" a="1"/>
  <c r="N24" i="1"/>
  <c r="M24" i="1" a="1"/>
  <c r="M24" i="1" s="1"/>
  <c r="L24" i="1" a="1"/>
  <c r="L24" i="1" s="1"/>
  <c r="V23" i="1" a="1"/>
  <c r="V23" i="1"/>
  <c r="U23" i="1" a="1"/>
  <c r="U23" i="1" s="1"/>
  <c r="T23" i="1"/>
  <c r="Q23" i="1" a="1"/>
  <c r="Q23" i="1"/>
  <c r="R23" i="1" s="1"/>
  <c r="S23" i="1" s="1"/>
  <c r="P23" i="1"/>
  <c r="O23" i="1"/>
  <c r="N23" i="1" a="1"/>
  <c r="N23" i="1"/>
  <c r="M23" i="1" a="1"/>
  <c r="M23" i="1" s="1"/>
  <c r="L23" i="1" a="1"/>
  <c r="L23" i="1" s="1"/>
  <c r="V22" i="1" a="1"/>
  <c r="V22" i="1"/>
  <c r="U22" i="1" a="1"/>
  <c r="U22" i="1"/>
  <c r="T22" i="1"/>
  <c r="Q22" i="1" a="1"/>
  <c r="Q22" i="1"/>
  <c r="R22" i="1" s="1"/>
  <c r="S22" i="1" s="1"/>
  <c r="P22" i="1"/>
  <c r="O22" i="1"/>
  <c r="N22" i="1" a="1"/>
  <c r="N22" i="1" s="1"/>
  <c r="M22" i="1" a="1"/>
  <c r="M22" i="1"/>
  <c r="L22" i="1" a="1"/>
  <c r="L22" i="1"/>
  <c r="V21" i="1" a="1"/>
  <c r="V21" i="1" s="1"/>
  <c r="U21" i="1" a="1"/>
  <c r="U21" i="1"/>
  <c r="T21" i="1"/>
  <c r="Q21" i="1" a="1"/>
  <c r="Q21" i="1" s="1"/>
  <c r="R21" i="1" s="1"/>
  <c r="S21" i="1" s="1"/>
  <c r="P21" i="1"/>
  <c r="O21" i="1"/>
  <c r="N21" i="1" a="1"/>
  <c r="N21" i="1"/>
  <c r="M21" i="1" a="1"/>
  <c r="M21" i="1"/>
  <c r="L21" i="1" a="1"/>
  <c r="L21" i="1"/>
  <c r="V20" i="1" a="1"/>
  <c r="V20" i="1" s="1"/>
  <c r="U20" i="1" a="1"/>
  <c r="U20" i="1" s="1"/>
  <c r="T20" i="1"/>
  <c r="Q20" i="1" a="1"/>
  <c r="Q20" i="1" s="1"/>
  <c r="R20" i="1" s="1"/>
  <c r="S20" i="1" s="1"/>
  <c r="P20" i="1"/>
  <c r="O20" i="1"/>
  <c r="N20" i="1" a="1"/>
  <c r="N20" i="1"/>
  <c r="M20" i="1" a="1"/>
  <c r="M20" i="1" s="1"/>
  <c r="L20" i="1" a="1"/>
  <c r="L20" i="1" s="1"/>
  <c r="V19" i="1" a="1"/>
  <c r="V19" i="1"/>
  <c r="U19" i="1" a="1"/>
  <c r="U19" i="1" s="1"/>
  <c r="T19" i="1"/>
  <c r="Q19" i="1" a="1"/>
  <c r="Q19" i="1"/>
  <c r="R19" i="1" s="1"/>
  <c r="S19" i="1" s="1"/>
  <c r="P19" i="1"/>
  <c r="O19" i="1"/>
  <c r="N19" i="1" a="1"/>
  <c r="N19" i="1" s="1"/>
  <c r="M19" i="1" a="1"/>
  <c r="M19" i="1"/>
  <c r="L19" i="1" a="1"/>
  <c r="L19" i="1"/>
  <c r="V18" i="1" a="1"/>
  <c r="V18" i="1" s="1"/>
  <c r="U18" i="1" a="1"/>
  <c r="U18" i="1"/>
  <c r="T18" i="1"/>
  <c r="Q18" i="1" a="1"/>
  <c r="Q18" i="1" s="1"/>
  <c r="R18" i="1" s="1"/>
  <c r="S18" i="1" s="1"/>
  <c r="P18" i="1"/>
  <c r="O18" i="1"/>
  <c r="N18" i="1" a="1"/>
  <c r="N18" i="1"/>
  <c r="M18" i="1" a="1"/>
  <c r="M18" i="1"/>
  <c r="L18" i="1" a="1"/>
  <c r="L18" i="1"/>
  <c r="V17" i="1" a="1"/>
  <c r="V17" i="1" s="1"/>
  <c r="U17" i="1" a="1"/>
  <c r="U17" i="1" s="1"/>
  <c r="T17" i="1"/>
  <c r="Q17" i="1" a="1"/>
  <c r="Q17" i="1"/>
  <c r="R17" i="1" s="1"/>
  <c r="S17" i="1" s="1"/>
  <c r="P17" i="1"/>
  <c r="O17" i="1"/>
  <c r="N17" i="1" a="1"/>
  <c r="N17" i="1"/>
  <c r="M17" i="1" a="1"/>
  <c r="M17" i="1" s="1"/>
  <c r="L17" i="1" a="1"/>
  <c r="L17" i="1" s="1"/>
  <c r="V16" i="1" a="1"/>
  <c r="V16" i="1"/>
  <c r="U16" i="1" a="1"/>
  <c r="U16" i="1"/>
  <c r="T16" i="1"/>
  <c r="Q16" i="1" a="1"/>
  <c r="Q16" i="1" s="1"/>
  <c r="R16" i="1" s="1"/>
  <c r="S16" i="1" s="1"/>
  <c r="P16" i="1"/>
  <c r="O16" i="1"/>
  <c r="N16" i="1" a="1"/>
  <c r="N16" i="1" s="1"/>
  <c r="M16" i="1" a="1"/>
  <c r="M16" i="1"/>
  <c r="L16" i="1" a="1"/>
  <c r="L16" i="1"/>
  <c r="V15" i="1" a="1"/>
  <c r="V15" i="1"/>
  <c r="U15" i="1" a="1"/>
  <c r="U15" i="1"/>
  <c r="T15" i="1"/>
  <c r="S15" i="1"/>
  <c r="R15" i="1"/>
  <c r="Q15" i="1" a="1"/>
  <c r="Q15" i="1"/>
  <c r="P15" i="1"/>
  <c r="O15" i="1"/>
  <c r="N15" i="1" a="1"/>
  <c r="N15" i="1" s="1"/>
  <c r="M15" i="1" a="1"/>
  <c r="M15" i="1"/>
  <c r="L15" i="1" a="1"/>
  <c r="L15" i="1" s="1"/>
  <c r="V14" i="1" a="1"/>
  <c r="V14" i="1" s="1"/>
  <c r="U14" i="1" a="1"/>
  <c r="U14" i="1"/>
  <c r="T14" i="1"/>
  <c r="Q14" i="1" a="1"/>
  <c r="Q14" i="1"/>
  <c r="R14" i="1" s="1"/>
  <c r="S14" i="1" s="1"/>
  <c r="P14" i="1"/>
  <c r="O14" i="1"/>
  <c r="N14" i="1" a="1"/>
  <c r="N14" i="1" s="1"/>
  <c r="M14" i="1" a="1"/>
  <c r="M14" i="1" s="1"/>
  <c r="L14" i="1" a="1"/>
  <c r="L14" i="1"/>
  <c r="V13" i="1" a="1"/>
  <c r="V13" i="1"/>
  <c r="U13" i="1" a="1"/>
  <c r="U13" i="1" s="1"/>
  <c r="T13" i="1"/>
  <c r="Q13" i="1" a="1"/>
  <c r="Q13" i="1" s="1"/>
  <c r="R13" i="1" s="1"/>
  <c r="S13" i="1" s="1"/>
  <c r="P13" i="1"/>
  <c r="O13" i="1"/>
  <c r="N13" i="1" a="1"/>
  <c r="N13" i="1"/>
  <c r="M13" i="1" a="1"/>
  <c r="M13" i="1"/>
  <c r="L13" i="1" a="1"/>
  <c r="L13" i="1"/>
  <c r="V12" i="1" a="1"/>
  <c r="V12" i="1"/>
  <c r="U12" i="1" a="1"/>
  <c r="U12" i="1" s="1"/>
  <c r="T12" i="1"/>
  <c r="Q12" i="1" a="1"/>
  <c r="Q12" i="1"/>
  <c r="R12" i="1" s="1"/>
  <c r="S12" i="1" s="1"/>
  <c r="P12" i="1"/>
  <c r="O12" i="1"/>
  <c r="N12" i="1" a="1"/>
  <c r="N12" i="1"/>
  <c r="M12" i="1" a="1"/>
  <c r="M12" i="1" s="1"/>
  <c r="L12" i="1" a="1"/>
  <c r="L12" i="1" s="1"/>
  <c r="V11" i="1" a="1"/>
  <c r="V11" i="1" s="1"/>
  <c r="U11" i="1" a="1"/>
  <c r="U11" i="1"/>
  <c r="T11" i="1"/>
  <c r="Q11" i="1" a="1"/>
  <c r="Q11" i="1"/>
  <c r="R11" i="1" s="1"/>
  <c r="S11" i="1" s="1"/>
  <c r="P11" i="1"/>
  <c r="O11" i="1"/>
  <c r="N11" i="1" a="1"/>
  <c r="N11" i="1"/>
  <c r="M11" i="1" a="1"/>
  <c r="M11" i="1"/>
  <c r="L11" i="1" a="1"/>
  <c r="L11" i="1"/>
  <c r="V10" i="1" a="1"/>
  <c r="V10" i="1" s="1"/>
  <c r="U10" i="1" a="1"/>
  <c r="U10" i="1"/>
  <c r="T10" i="1"/>
  <c r="Q10" i="1" a="1"/>
  <c r="Q10" i="1" s="1"/>
  <c r="R10" i="1" s="1"/>
  <c r="S10" i="1" s="1"/>
  <c r="P10" i="1"/>
  <c r="O10" i="1"/>
  <c r="N10" i="1" a="1"/>
  <c r="N10" i="1"/>
  <c r="M10" i="1" a="1"/>
  <c r="M10" i="1" s="1"/>
  <c r="L10" i="1" a="1"/>
  <c r="L10" i="1"/>
  <c r="V9" i="1" a="1"/>
  <c r="V9" i="1" s="1"/>
  <c r="U9" i="1" a="1"/>
  <c r="U9" i="1" s="1"/>
  <c r="T9" i="1"/>
  <c r="Q9" i="1" a="1"/>
  <c r="Q9" i="1"/>
  <c r="R9" i="1" s="1"/>
  <c r="S9" i="1" s="1"/>
  <c r="P9" i="1"/>
  <c r="O9" i="1"/>
  <c r="N9" i="1" a="1"/>
  <c r="N9" i="1"/>
  <c r="M9" i="1" a="1"/>
  <c r="M9" i="1"/>
  <c r="L9" i="1" a="1"/>
  <c r="L9" i="1" s="1"/>
  <c r="V8" i="1" a="1"/>
  <c r="V8" i="1"/>
  <c r="U8" i="1" a="1"/>
  <c r="U8" i="1"/>
  <c r="T8" i="1"/>
  <c r="Q8" i="1" a="1"/>
  <c r="Q8" i="1" s="1"/>
  <c r="R8" i="1" s="1"/>
  <c r="S8" i="1" s="1"/>
  <c r="P8" i="1"/>
  <c r="O8" i="1"/>
  <c r="N8" i="1" a="1"/>
  <c r="N8" i="1" s="1"/>
  <c r="M8" i="1" a="1"/>
  <c r="M8" i="1"/>
  <c r="L8" i="1" a="1"/>
  <c r="L8" i="1"/>
  <c r="V7" i="1" a="1"/>
  <c r="V7" i="1" s="1"/>
  <c r="U7" i="1" a="1"/>
  <c r="U7" i="1" s="1"/>
  <c r="T7" i="1"/>
  <c r="Q7" i="1" a="1"/>
  <c r="Q7" i="1" s="1"/>
  <c r="R7" i="1" s="1"/>
  <c r="S7" i="1" s="1"/>
  <c r="P7" i="1"/>
  <c r="O7" i="1"/>
  <c r="N7" i="1" a="1"/>
  <c r="N7" i="1"/>
  <c r="M7" i="1" a="1"/>
  <c r="M7" i="1" s="1"/>
  <c r="L7" i="1" a="1"/>
  <c r="L7" i="1"/>
  <c r="V6" i="1" a="1"/>
  <c r="V6" i="1" s="1"/>
  <c r="U6" i="1" a="1"/>
  <c r="U6" i="1" s="1"/>
  <c r="T6" i="1"/>
  <c r="Q6" i="1" a="1"/>
  <c r="Q6" i="1"/>
  <c r="R6" i="1" s="1"/>
  <c r="S6" i="1" s="1"/>
  <c r="P6" i="1"/>
  <c r="O6" i="1"/>
  <c r="N6" i="1" a="1"/>
  <c r="N6" i="1"/>
  <c r="M6" i="1" a="1"/>
  <c r="M6" i="1" s="1"/>
  <c r="L6" i="1" a="1"/>
  <c r="L6" i="1" s="1"/>
  <c r="V5" i="1" a="1"/>
  <c r="V5" i="1"/>
  <c r="U5" i="1" a="1"/>
  <c r="U5" i="1"/>
  <c r="T5" i="1"/>
  <c r="Q5" i="1" a="1"/>
  <c r="Q5" i="1" s="1"/>
  <c r="R5" i="1" s="1"/>
  <c r="S5" i="1" s="1"/>
  <c r="P5" i="1"/>
  <c r="O5" i="1"/>
  <c r="N5" i="1" a="1"/>
  <c r="N5" i="1" s="1"/>
  <c r="M5" i="1" a="1"/>
  <c r="M5" i="1"/>
  <c r="L5" i="1" a="1"/>
  <c r="L5" i="1" s="1"/>
  <c r="V4" i="1" a="1"/>
  <c r="V4" i="1"/>
  <c r="U4" i="1" a="1"/>
  <c r="U4" i="1" s="1"/>
  <c r="T4" i="1"/>
  <c r="Q4" i="1" a="1"/>
  <c r="Q4" i="1"/>
  <c r="R4" i="1" s="1"/>
  <c r="S4" i="1" s="1"/>
  <c r="P4" i="1"/>
  <c r="O4" i="1"/>
  <c r="N4" i="1" a="1"/>
  <c r="N4" i="1"/>
  <c r="M4" i="1" a="1"/>
  <c r="M4" i="1"/>
  <c r="L4" i="1" a="1"/>
  <c r="L4" i="1" s="1"/>
  <c r="V3" i="1" a="1"/>
  <c r="V3" i="1" s="1"/>
  <c r="U3" i="1" a="1"/>
  <c r="U3" i="1"/>
  <c r="T3" i="1"/>
  <c r="Q3" i="1" a="1"/>
  <c r="Q3" i="1"/>
  <c r="R3" i="1" s="1"/>
  <c r="S3" i="1" s="1"/>
  <c r="P3" i="1"/>
  <c r="O3" i="1"/>
  <c r="N3" i="1" a="1"/>
  <c r="N3" i="1" s="1"/>
  <c r="M3" i="1" a="1"/>
  <c r="M3" i="1" s="1"/>
  <c r="L3" i="1" a="1"/>
  <c r="L3" i="1"/>
  <c r="V2" i="1" a="1"/>
  <c r="V2" i="1" s="1"/>
  <c r="U2" i="1" a="1"/>
  <c r="U2" i="1"/>
  <c r="T2" i="1"/>
  <c r="D15" i="4" s="1"/>
  <c r="D8" i="3" s="1"/>
  <c r="Q2" i="1" a="1"/>
  <c r="Q2" i="1" s="1"/>
  <c r="R2" i="1" s="1"/>
  <c r="S2" i="1" s="1"/>
  <c r="P2" i="1"/>
  <c r="O2" i="1"/>
  <c r="N2" i="1" a="1"/>
  <c r="N2" i="1"/>
  <c r="M2" i="1" a="1"/>
  <c r="M2" i="1"/>
  <c r="L2" i="1" a="1"/>
  <c r="L2" i="1"/>
  <c r="A67" i="3"/>
  <c r="V24" i="3"/>
  <c r="V23" i="3"/>
  <c r="V22" i="3"/>
  <c r="V21" i="3"/>
  <c r="V20" i="3"/>
  <c r="V19" i="3"/>
  <c r="V18" i="3"/>
  <c r="V17" i="3"/>
  <c r="V16" i="3"/>
  <c r="V15" i="3"/>
  <c r="M15" i="3"/>
  <c r="J15" i="3"/>
  <c r="G15" i="3"/>
  <c r="D15" i="3"/>
  <c r="A15" i="3"/>
  <c r="V14" i="3"/>
  <c r="V13" i="3"/>
  <c r="P8" i="3"/>
  <c r="M8" i="3"/>
  <c r="J8" i="3"/>
  <c r="A8" i="3"/>
  <c r="A3" i="3"/>
  <c r="D12" i="4" l="1"/>
  <c r="A20" i="3" l="1"/>
  <c r="G8" i="3"/>
</calcChain>
</file>

<file path=xl/sharedStrings.xml><?xml version="1.0" encoding="utf-8"?>
<sst xmlns="http://schemas.openxmlformats.org/spreadsheetml/2006/main" count="8145" uniqueCount="2197">
  <si>
    <t>Employee ID</t>
  </si>
  <si>
    <t>Employee Name</t>
  </si>
  <si>
    <t>Department</t>
  </si>
  <si>
    <t>Gender</t>
  </si>
  <si>
    <t>Age</t>
  </si>
  <si>
    <t>Salary</t>
  </si>
  <si>
    <t>Experience</t>
  </si>
  <si>
    <t>Joining Date</t>
  </si>
  <si>
    <t>City</t>
  </si>
  <si>
    <t>Performance Rating</t>
  </si>
  <si>
    <t>Attrition</t>
  </si>
  <si>
    <t>Experience Group</t>
  </si>
  <si>
    <t>Salary Band</t>
  </si>
  <si>
    <t>Age Group</t>
  </si>
  <si>
    <t>Join Year</t>
  </si>
  <si>
    <t>Join Month</t>
  </si>
  <si>
    <t>Bonus %</t>
  </si>
  <si>
    <t>Bonus Amount</t>
  </si>
  <si>
    <t>Total Salary</t>
  </si>
  <si>
    <t>Employee Status</t>
  </si>
  <si>
    <t>Salary Grade</t>
  </si>
  <si>
    <t>Experience Level</t>
  </si>
  <si>
    <t>EMP0001</t>
  </si>
  <si>
    <t>Sonia Verma</t>
  </si>
  <si>
    <t>R&amp;D</t>
  </si>
  <si>
    <t>Female</t>
  </si>
  <si>
    <t>29-Jun-2020</t>
  </si>
  <si>
    <t>Delhi</t>
  </si>
  <si>
    <t>Very Good</t>
  </si>
  <si>
    <t>No</t>
  </si>
  <si>
    <t>EMP0002</t>
  </si>
  <si>
    <t>Ankit Jain</t>
  </si>
  <si>
    <t>Admin</t>
  </si>
  <si>
    <t>Male</t>
  </si>
  <si>
    <t>20-Mar-2020</t>
  </si>
  <si>
    <t>Lucknow</t>
  </si>
  <si>
    <t>Good</t>
  </si>
  <si>
    <t>Yes</t>
  </si>
  <si>
    <t>EMP0003</t>
  </si>
  <si>
    <t>Vikas Verma</t>
  </si>
  <si>
    <t>IT</t>
  </si>
  <si>
    <t>24-Jun-2024</t>
  </si>
  <si>
    <t>Mumbai</t>
  </si>
  <si>
    <t>EMP0004</t>
  </si>
  <si>
    <t>06-Dec-2020</t>
  </si>
  <si>
    <t>Kolkata</t>
  </si>
  <si>
    <t>Average</t>
  </si>
  <si>
    <t>EMP0005</t>
  </si>
  <si>
    <t>Pooja Patel</t>
  </si>
  <si>
    <t>25-Apr-2019</t>
  </si>
  <si>
    <t>EMP0006</t>
  </si>
  <si>
    <t>Rahul Verma</t>
  </si>
  <si>
    <t>08-Mar-2023</t>
  </si>
  <si>
    <t>EMP0007</t>
  </si>
  <si>
    <t>Sonia Gupta</t>
  </si>
  <si>
    <t>Operations</t>
  </si>
  <si>
    <t>06-Jul-2023</t>
  </si>
  <si>
    <t>Pune</t>
  </si>
  <si>
    <t>EMP0008</t>
  </si>
  <si>
    <t>Mohit Yadav</t>
  </si>
  <si>
    <t>Sales</t>
  </si>
  <si>
    <t>02-Jan-2021</t>
  </si>
  <si>
    <t>Jaipur</t>
  </si>
  <si>
    <t>Excellent</t>
  </si>
  <si>
    <t>EMP0009</t>
  </si>
  <si>
    <t>Rahul Kumar</t>
  </si>
  <si>
    <t>17-Feb-2018</t>
  </si>
  <si>
    <t>Chennai</t>
  </si>
  <si>
    <t>EMP0010</t>
  </si>
  <si>
    <t>Neha Singh</t>
  </si>
  <si>
    <t>Finance</t>
  </si>
  <si>
    <t>25-Jan-2026</t>
  </si>
  <si>
    <t>Ahmedabad</t>
  </si>
  <si>
    <t>EMP0011</t>
  </si>
  <si>
    <t>Aman Verma</t>
  </si>
  <si>
    <t>Legal</t>
  </si>
  <si>
    <t>01-Jul-2025</t>
  </si>
  <si>
    <t>EMP0012</t>
  </si>
  <si>
    <t>Rahul Jain</t>
  </si>
  <si>
    <t>19-Jul-2018</t>
  </si>
  <si>
    <t>Hyderabad</t>
  </si>
  <si>
    <t>EMP0013</t>
  </si>
  <si>
    <t>Deepak Sharma</t>
  </si>
  <si>
    <t>06-Jun-2018</t>
  </si>
  <si>
    <t>EMP0014</t>
  </si>
  <si>
    <t>Mohit Verma</t>
  </si>
  <si>
    <t>24-Nov-2021</t>
  </si>
  <si>
    <t>EMP0015</t>
  </si>
  <si>
    <t>Deepak Kumar</t>
  </si>
  <si>
    <t>29-Aug-2025</t>
  </si>
  <si>
    <t>Poor</t>
  </si>
  <si>
    <t>EMP0016</t>
  </si>
  <si>
    <t>Arjun Jain</t>
  </si>
  <si>
    <t>Customer Support</t>
  </si>
  <si>
    <t>13-Dec-2023</t>
  </si>
  <si>
    <t>EMP0017</t>
  </si>
  <si>
    <t>Pooja Sharma</t>
  </si>
  <si>
    <t>22-Jun-2015</t>
  </si>
  <si>
    <t>EMP0018</t>
  </si>
  <si>
    <t>Kavita Gupta</t>
  </si>
  <si>
    <t>03-Aug-2016</t>
  </si>
  <si>
    <t>EMP0019</t>
  </si>
  <si>
    <t>Riya Yadav</t>
  </si>
  <si>
    <t>17-Feb-2024</t>
  </si>
  <si>
    <t>EMP0020</t>
  </si>
  <si>
    <t>Neha Gupta</t>
  </si>
  <si>
    <t>11-May-2016</t>
  </si>
  <si>
    <t>EMP0021</t>
  </si>
  <si>
    <t>Rohit Kapoor</t>
  </si>
  <si>
    <t>12-Feb-2019</t>
  </si>
  <si>
    <t>EMP0022</t>
  </si>
  <si>
    <t>Ankit Mehta</t>
  </si>
  <si>
    <t>HR</t>
  </si>
  <si>
    <t>20-Apr-2020</t>
  </si>
  <si>
    <t>EMP0023</t>
  </si>
  <si>
    <t>Sonia Kapoor</t>
  </si>
  <si>
    <t>16-Mar-2025</t>
  </si>
  <si>
    <t>EMP0024</t>
  </si>
  <si>
    <t>Mohit Kapoor</t>
  </si>
  <si>
    <t>14-May-2016</t>
  </si>
  <si>
    <t>EMP0025</t>
  </si>
  <si>
    <t>Pooja Mehta</t>
  </si>
  <si>
    <t>15-Jul-2016</t>
  </si>
  <si>
    <t>EMP0026</t>
  </si>
  <si>
    <t>Vikas Patel</t>
  </si>
  <si>
    <t>27-May-2024</t>
  </si>
  <si>
    <t>EMP0027</t>
  </si>
  <si>
    <t>Rohit Sharma</t>
  </si>
  <si>
    <t>23-Sep-2021</t>
  </si>
  <si>
    <t>EMP0028</t>
  </si>
  <si>
    <t>Rohit Gupta</t>
  </si>
  <si>
    <t>12-Dec-2020</t>
  </si>
  <si>
    <t>Bengaluru</t>
  </si>
  <si>
    <t>EMP0029</t>
  </si>
  <si>
    <t>Marketing</t>
  </si>
  <si>
    <t>06-Mar-2015</t>
  </si>
  <si>
    <t>EMP0030</t>
  </si>
  <si>
    <t>Ankit Patel</t>
  </si>
  <si>
    <t>27-Apr-2021</t>
  </si>
  <si>
    <t>EMP0031</t>
  </si>
  <si>
    <t>Karan Patel</t>
  </si>
  <si>
    <t>16-Mar-2021</t>
  </si>
  <si>
    <t>EMP0032</t>
  </si>
  <si>
    <t>Karan Jain</t>
  </si>
  <si>
    <t>05-Jul-2017</t>
  </si>
  <si>
    <t>EMP0033</t>
  </si>
  <si>
    <t>Priya Yadav</t>
  </si>
  <si>
    <t>10-Nov-2017</t>
  </si>
  <si>
    <t>EMP0034</t>
  </si>
  <si>
    <t>Simran Singh</t>
  </si>
  <si>
    <t>20-Jun-2018</t>
  </si>
  <si>
    <t>EMP0035</t>
  </si>
  <si>
    <t>Nitin Sharma</t>
  </si>
  <si>
    <t>25-Dec-2020</t>
  </si>
  <si>
    <t>EMP0036</t>
  </si>
  <si>
    <t>Nitin Yadav</t>
  </si>
  <si>
    <t>08-Feb-2020</t>
  </si>
  <si>
    <t>EMP0037</t>
  </si>
  <si>
    <t>Vikas Sharma</t>
  </si>
  <si>
    <t>19-Dec-2023</t>
  </si>
  <si>
    <t>EMP0038</t>
  </si>
  <si>
    <t>Riya Kumar</t>
  </si>
  <si>
    <t>29-Sep-2024</t>
  </si>
  <si>
    <t>EMP0039</t>
  </si>
  <si>
    <t>12-Oct-2024</t>
  </si>
  <si>
    <t>EMP0040</t>
  </si>
  <si>
    <t>Sneha Mehta</t>
  </si>
  <si>
    <t>17-Oct-2017</t>
  </si>
  <si>
    <t>EMP0041</t>
  </si>
  <si>
    <t>Simran Kumar</t>
  </si>
  <si>
    <t>06-Jun-2024</t>
  </si>
  <si>
    <t>EMP0042</t>
  </si>
  <si>
    <t>Meera Yadav</t>
  </si>
  <si>
    <t>08-Jun-2021</t>
  </si>
  <si>
    <t>EMP0043</t>
  </si>
  <si>
    <t>22-Oct-2018</t>
  </si>
  <si>
    <t>EMP0044</t>
  </si>
  <si>
    <t>Meera Verma</t>
  </si>
  <si>
    <t>20-Jul-2015</t>
  </si>
  <si>
    <t>EMP0045</t>
  </si>
  <si>
    <t>01-Feb-2026</t>
  </si>
  <si>
    <t>EMP0046</t>
  </si>
  <si>
    <t>Karan Kapoor</t>
  </si>
  <si>
    <t>03-Aug-2020</t>
  </si>
  <si>
    <t>EMP0047</t>
  </si>
  <si>
    <t>Kavita Kapoor</t>
  </si>
  <si>
    <t>31-Dec-2024</t>
  </si>
  <si>
    <t>EMP0048</t>
  </si>
  <si>
    <t>27-Feb-2021</t>
  </si>
  <si>
    <t>EMP0049</t>
  </si>
  <si>
    <t>Ankit Verma</t>
  </si>
  <si>
    <t>09-Mar-2020</t>
  </si>
  <si>
    <t>EMP0050</t>
  </si>
  <si>
    <t>Mohit Sharma</t>
  </si>
  <si>
    <t>25-May-2016</t>
  </si>
  <si>
    <t>EMP0051</t>
  </si>
  <si>
    <t>Riya Jain</t>
  </si>
  <si>
    <t>30-Sep-2023</t>
  </si>
  <si>
    <t>EMP0052</t>
  </si>
  <si>
    <t>Nitin Singh</t>
  </si>
  <si>
    <t>22-Nov-2025</t>
  </si>
  <si>
    <t>EMP0053</t>
  </si>
  <si>
    <t>Arjun Singh</t>
  </si>
  <si>
    <t>11-Aug-2015</t>
  </si>
  <si>
    <t>EMP0054</t>
  </si>
  <si>
    <t>Rahul Mehta</t>
  </si>
  <si>
    <t>01-May-2022</t>
  </si>
  <si>
    <t>EMP0055</t>
  </si>
  <si>
    <t>02-Mar-2016</t>
  </si>
  <si>
    <t>EMP0056</t>
  </si>
  <si>
    <t>Mohit Gupta</t>
  </si>
  <si>
    <t>08-May-2020</t>
  </si>
  <si>
    <t>EMP0057</t>
  </si>
  <si>
    <t>Sneha Verma</t>
  </si>
  <si>
    <t>27-Jul-2017</t>
  </si>
  <si>
    <t>EMP0058</t>
  </si>
  <si>
    <t>Pooja Verma</t>
  </si>
  <si>
    <t>14-Sep-2016</t>
  </si>
  <si>
    <t>EMP0059</t>
  </si>
  <si>
    <t>10-Aug-2024</t>
  </si>
  <si>
    <t>EMP0060</t>
  </si>
  <si>
    <t>07-Jun-2018</t>
  </si>
  <si>
    <t>EMP0061</t>
  </si>
  <si>
    <t>Rohit Patel</t>
  </si>
  <si>
    <t>07-Jan-2021</t>
  </si>
  <si>
    <t>EMP0062</t>
  </si>
  <si>
    <t>Ankit Yadav</t>
  </si>
  <si>
    <t>EMP0063</t>
  </si>
  <si>
    <t>Kavita Jain</t>
  </si>
  <si>
    <t>15-Apr-2019</t>
  </si>
  <si>
    <t>EMP0064</t>
  </si>
  <si>
    <t>Sneha Kumar</t>
  </si>
  <si>
    <t>07-Aug-2021</t>
  </si>
  <si>
    <t>EMP0065</t>
  </si>
  <si>
    <t>Sneha Patel</t>
  </si>
  <si>
    <t>02-Jun-2022</t>
  </si>
  <si>
    <t>EMP0066</t>
  </si>
  <si>
    <t>25-Feb-2019</t>
  </si>
  <si>
    <t>EMP0067</t>
  </si>
  <si>
    <t>Sonia Singh</t>
  </si>
  <si>
    <t>04-Feb-2023</t>
  </si>
  <si>
    <t>EMP0068</t>
  </si>
  <si>
    <t>Sneha Kapoor</t>
  </si>
  <si>
    <t>04-Jan-2026</t>
  </si>
  <si>
    <t>EMP0069</t>
  </si>
  <si>
    <t>Kavita Verma</t>
  </si>
  <si>
    <t>18-Sep-2025</t>
  </si>
  <si>
    <t>EMP0070</t>
  </si>
  <si>
    <t>28-Nov-2016</t>
  </si>
  <si>
    <t>EMP0071</t>
  </si>
  <si>
    <t>01-Sep-2021</t>
  </si>
  <si>
    <t>EMP0072</t>
  </si>
  <si>
    <t>Simran Jain</t>
  </si>
  <si>
    <t>07-Dec-2020</t>
  </si>
  <si>
    <t>EMP0073</t>
  </si>
  <si>
    <t>16-Jul-2025</t>
  </si>
  <si>
    <t>EMP0074</t>
  </si>
  <si>
    <t>Karan Verma</t>
  </si>
  <si>
    <t>16-Jan-2020</t>
  </si>
  <si>
    <t>EMP0075</t>
  </si>
  <si>
    <t>06-Jul-2025</t>
  </si>
  <si>
    <t>EMP0076</t>
  </si>
  <si>
    <t>09-Sep-2024</t>
  </si>
  <si>
    <t>EMP0077</t>
  </si>
  <si>
    <t>Mohit Mehta</t>
  </si>
  <si>
    <t>01-Dec-2024</t>
  </si>
  <si>
    <t>EMP0078</t>
  </si>
  <si>
    <t>Vikas Mehta</t>
  </si>
  <si>
    <t>15-Mar-2022</t>
  </si>
  <si>
    <t>EMP0079</t>
  </si>
  <si>
    <t>Nitin Jain</t>
  </si>
  <si>
    <t>22-Dec-2016</t>
  </si>
  <si>
    <t>EMP0080</t>
  </si>
  <si>
    <t>Arjun Sharma</t>
  </si>
  <si>
    <t>11-Feb-2023</t>
  </si>
  <si>
    <t>EMP0081</t>
  </si>
  <si>
    <t>Meera Gupta</t>
  </si>
  <si>
    <t>14-Nov-2025</t>
  </si>
  <si>
    <t>EMP0082</t>
  </si>
  <si>
    <t>Neha Kapoor</t>
  </si>
  <si>
    <t>02-Feb-2017</t>
  </si>
  <si>
    <t>EMP0083</t>
  </si>
  <si>
    <t>Pooja Kapoor</t>
  </si>
  <si>
    <t>26-Apr-2024</t>
  </si>
  <si>
    <t>EMP0084</t>
  </si>
  <si>
    <t>23-Jan-2018</t>
  </si>
  <si>
    <t>EMP0085</t>
  </si>
  <si>
    <t>Kavita Yadav</t>
  </si>
  <si>
    <t>25-Dec-2025</t>
  </si>
  <si>
    <t>EMP0086</t>
  </si>
  <si>
    <t>04-Aug-2023</t>
  </si>
  <si>
    <t>EMP0087</t>
  </si>
  <si>
    <t>31-Oct-2017</t>
  </si>
  <si>
    <t>EMP0088</t>
  </si>
  <si>
    <t>Vikas Kumar</t>
  </si>
  <si>
    <t>04-Sep-2016</t>
  </si>
  <si>
    <t>EMP0089</t>
  </si>
  <si>
    <t>11-Dec-2025</t>
  </si>
  <si>
    <t>EMP0090</t>
  </si>
  <si>
    <t>Aman Sharma</t>
  </si>
  <si>
    <t>13-Dec-2024</t>
  </si>
  <si>
    <t>EMP0091</t>
  </si>
  <si>
    <t>07-Apr-2018</t>
  </si>
  <si>
    <t>EMP0092</t>
  </si>
  <si>
    <t>Arjun Patel</t>
  </si>
  <si>
    <t>28-Feb-2026</t>
  </si>
  <si>
    <t>EMP0093</t>
  </si>
  <si>
    <t>Mohit Patel</t>
  </si>
  <si>
    <t>18-Jul-2018</t>
  </si>
  <si>
    <t>EMP0094</t>
  </si>
  <si>
    <t>Anjali Kumar</t>
  </si>
  <si>
    <t>02-Nov-2025</t>
  </si>
  <si>
    <t>EMP0095</t>
  </si>
  <si>
    <t>Sneha Gupta</t>
  </si>
  <si>
    <t>06-Feb-2016</t>
  </si>
  <si>
    <t>EMP0096</t>
  </si>
  <si>
    <t>Priya Patel</t>
  </si>
  <si>
    <t>25-Jan-2018</t>
  </si>
  <si>
    <t>EMP0097</t>
  </si>
  <si>
    <t>Riya Singh</t>
  </si>
  <si>
    <t>08-Jan-2017</t>
  </si>
  <si>
    <t>EMP0098</t>
  </si>
  <si>
    <t>Kavita Patel</t>
  </si>
  <si>
    <t>10-Feb-2021</t>
  </si>
  <si>
    <t>EMP0099</t>
  </si>
  <si>
    <t>Anjali Verma</t>
  </si>
  <si>
    <t>30-Nov-2023</t>
  </si>
  <si>
    <t>EMP0100</t>
  </si>
  <si>
    <t>08-Apr-2023</t>
  </si>
  <si>
    <t>EMP0101</t>
  </si>
  <si>
    <t>11-May-2022</t>
  </si>
  <si>
    <t>EMP0102</t>
  </si>
  <si>
    <t>Pooja Jain</t>
  </si>
  <si>
    <t>29-Oct-2021</t>
  </si>
  <si>
    <t>EMP0103</t>
  </si>
  <si>
    <t>Riya Verma</t>
  </si>
  <si>
    <t>26-May-2024</t>
  </si>
  <si>
    <t>EMP0104</t>
  </si>
  <si>
    <t>15-Nov-2019</t>
  </si>
  <si>
    <t>EMP0105</t>
  </si>
  <si>
    <t>27-Sep-2017</t>
  </si>
  <si>
    <t>EMP0106</t>
  </si>
  <si>
    <t>Ankit Kumar</t>
  </si>
  <si>
    <t>09-Aug-2019</t>
  </si>
  <si>
    <t>EMP0107</t>
  </si>
  <si>
    <t>21-Mar-2021</t>
  </si>
  <si>
    <t>EMP0108</t>
  </si>
  <si>
    <t>13-Jan-2023</t>
  </si>
  <si>
    <t>EMP0109</t>
  </si>
  <si>
    <t>Anjali Jain</t>
  </si>
  <si>
    <t>20-Jul-2017</t>
  </si>
  <si>
    <t>EMP0110</t>
  </si>
  <si>
    <t>Priya Kapoor</t>
  </si>
  <si>
    <t>06-Oct-2021</t>
  </si>
  <si>
    <t>EMP0111</t>
  </si>
  <si>
    <t>25-Aug-2016</t>
  </si>
  <si>
    <t>EMP0112</t>
  </si>
  <si>
    <t>18-Jul-2023</t>
  </si>
  <si>
    <t>EMP0113</t>
  </si>
  <si>
    <t>28-Oct-2019</t>
  </si>
  <si>
    <t>EMP0114</t>
  </si>
  <si>
    <t>04-Jan-2022</t>
  </si>
  <si>
    <t>EMP0115</t>
  </si>
  <si>
    <t>Mohit Jain</t>
  </si>
  <si>
    <t>11-May-2023</t>
  </si>
  <si>
    <t>EMP0116</t>
  </si>
  <si>
    <t>26-Feb-2016</t>
  </si>
  <si>
    <t>EMP0117</t>
  </si>
  <si>
    <t>08-Nov-2022</t>
  </si>
  <si>
    <t>EMP0118</t>
  </si>
  <si>
    <t>Sneha Yadav</t>
  </si>
  <si>
    <t>30-Dec-2020</t>
  </si>
  <si>
    <t>EMP0119</t>
  </si>
  <si>
    <t>24-Jul-2016</t>
  </si>
  <si>
    <t>EMP0120</t>
  </si>
  <si>
    <t>Mohit Kumar</t>
  </si>
  <si>
    <t>13-Jul-2018</t>
  </si>
  <si>
    <t>EMP0121</t>
  </si>
  <si>
    <t>Kavita Kumar</t>
  </si>
  <si>
    <t>30-Oct-2016</t>
  </si>
  <si>
    <t>EMP0122</t>
  </si>
  <si>
    <t>28-Sep-2022</t>
  </si>
  <si>
    <t>EMP0123</t>
  </si>
  <si>
    <t>Ankit Singh</t>
  </si>
  <si>
    <t>24-Mar-2016</t>
  </si>
  <si>
    <t>EMP0124</t>
  </si>
  <si>
    <t>28-Aug-2024</t>
  </si>
  <si>
    <t>EMP0125</t>
  </si>
  <si>
    <t>13-Oct-2024</t>
  </si>
  <si>
    <t>EMP0126</t>
  </si>
  <si>
    <t>Meera Kapoor</t>
  </si>
  <si>
    <t>20-Jun-2015</t>
  </si>
  <si>
    <t>EMP0127</t>
  </si>
  <si>
    <t>25-Dec-2023</t>
  </si>
  <si>
    <t>EMP0128</t>
  </si>
  <si>
    <t>Anjali Singh</t>
  </si>
  <si>
    <t>09-Jun-2026</t>
  </si>
  <si>
    <t>EMP0129</t>
  </si>
  <si>
    <t>Simran Kapoor</t>
  </si>
  <si>
    <t>EMP0130</t>
  </si>
  <si>
    <t>21-May-2018</t>
  </si>
  <si>
    <t>EMP0131</t>
  </si>
  <si>
    <t>10-May-2025</t>
  </si>
  <si>
    <t>EMP0132</t>
  </si>
  <si>
    <t>01-Feb-2025</t>
  </si>
  <si>
    <t>EMP0133</t>
  </si>
  <si>
    <t>Rohit Jain</t>
  </si>
  <si>
    <t>27-Apr-2017</t>
  </si>
  <si>
    <t>EMP0134</t>
  </si>
  <si>
    <t>Nitin Mehta</t>
  </si>
  <si>
    <t>24-Jul-2018</t>
  </si>
  <si>
    <t>EMP0135</t>
  </si>
  <si>
    <t>Meera Singh</t>
  </si>
  <si>
    <t>02-Sep-2023</t>
  </si>
  <si>
    <t>EMP0136</t>
  </si>
  <si>
    <t>16-Oct-2023</t>
  </si>
  <si>
    <t>EMP0137</t>
  </si>
  <si>
    <t>Anjali Sharma</t>
  </si>
  <si>
    <t>04-Feb-2017</t>
  </si>
  <si>
    <t>EMP0138</t>
  </si>
  <si>
    <t>22-Apr-2019</t>
  </si>
  <si>
    <t>EMP0139</t>
  </si>
  <si>
    <t>17-Jun-2018</t>
  </si>
  <si>
    <t>EMP0140</t>
  </si>
  <si>
    <t>Arjun Gupta</t>
  </si>
  <si>
    <t>17-Dec-2024</t>
  </si>
  <si>
    <t>EMP0141</t>
  </si>
  <si>
    <t>18-Nov-2024</t>
  </si>
  <si>
    <t>EMP0142</t>
  </si>
  <si>
    <t>10-Aug-2020</t>
  </si>
  <si>
    <t>EMP0143</t>
  </si>
  <si>
    <t>28-Jan-2025</t>
  </si>
  <si>
    <t>EMP0144</t>
  </si>
  <si>
    <t>Rohit Yadav</t>
  </si>
  <si>
    <t>22-Nov-2023</t>
  </si>
  <si>
    <t>EMP0145</t>
  </si>
  <si>
    <t>Kavita Singh</t>
  </si>
  <si>
    <t>11-Apr-2018</t>
  </si>
  <si>
    <t>EMP0146</t>
  </si>
  <si>
    <t>Meera Jain</t>
  </si>
  <si>
    <t>27-Sep-2020</t>
  </si>
  <si>
    <t>EMP0147</t>
  </si>
  <si>
    <t>27-Jan-2016</t>
  </si>
  <si>
    <t>EMP0148</t>
  </si>
  <si>
    <t>Aman Kumar</t>
  </si>
  <si>
    <t>04-Jun-2020</t>
  </si>
  <si>
    <t>EMP0149</t>
  </si>
  <si>
    <t>Deepak Jain</t>
  </si>
  <si>
    <t>02-Feb-2023</t>
  </si>
  <si>
    <t>EMP0150</t>
  </si>
  <si>
    <t>17-May-2023</t>
  </si>
  <si>
    <t>EMP0151</t>
  </si>
  <si>
    <t>26-Nov-2022</t>
  </si>
  <si>
    <t>EMP0152</t>
  </si>
  <si>
    <t>Ankit Sharma</t>
  </si>
  <si>
    <t>30-Oct-2015</t>
  </si>
  <si>
    <t>EMP0153</t>
  </si>
  <si>
    <t>06-Sep-2020</t>
  </si>
  <si>
    <t>EMP0154</t>
  </si>
  <si>
    <t>21-Dec-2023</t>
  </si>
  <si>
    <t>EMP0155</t>
  </si>
  <si>
    <t>07-Nov-2016</t>
  </si>
  <si>
    <t>EMP0156</t>
  </si>
  <si>
    <t>18-Aug-2021</t>
  </si>
  <si>
    <t>EMP0157</t>
  </si>
  <si>
    <t>Priya Verma</t>
  </si>
  <si>
    <t>03-Oct-2024</t>
  </si>
  <si>
    <t>EMP0158</t>
  </si>
  <si>
    <t>Anjali Yadav</t>
  </si>
  <si>
    <t>29-Oct-2024</t>
  </si>
  <si>
    <t>EMP0159</t>
  </si>
  <si>
    <t>Mohit Singh</t>
  </si>
  <si>
    <t>27-Apr-2023</t>
  </si>
  <si>
    <t>EMP0160</t>
  </si>
  <si>
    <t>06-Aug-2020</t>
  </si>
  <si>
    <t>EMP0161</t>
  </si>
  <si>
    <t>03-Jan-2025</t>
  </si>
  <si>
    <t>EMP0162</t>
  </si>
  <si>
    <t>Vikas Yadav</t>
  </si>
  <si>
    <t>20-Dec-2016</t>
  </si>
  <si>
    <t>EMP0163</t>
  </si>
  <si>
    <t>09-Feb-2023</t>
  </si>
  <si>
    <t>EMP0164</t>
  </si>
  <si>
    <t>Karan Kumar</t>
  </si>
  <si>
    <t>11-Apr-2023</t>
  </si>
  <si>
    <t>EMP0165</t>
  </si>
  <si>
    <t>Rohit Singh</t>
  </si>
  <si>
    <t>19-Mar-2024</t>
  </si>
  <si>
    <t>EMP0166</t>
  </si>
  <si>
    <t>Sonia Kumar</t>
  </si>
  <si>
    <t>23-Sep-2022</t>
  </si>
  <si>
    <t>EMP0167</t>
  </si>
  <si>
    <t>Pooja Yadav</t>
  </si>
  <si>
    <t>EMP0168</t>
  </si>
  <si>
    <t>26-Feb-2021</t>
  </si>
  <si>
    <t>EMP0169</t>
  </si>
  <si>
    <t>28-Jul-2022</t>
  </si>
  <si>
    <t>EMP0170</t>
  </si>
  <si>
    <t>03-Mar-2026</t>
  </si>
  <si>
    <t>EMP0171</t>
  </si>
  <si>
    <t>EMP0172</t>
  </si>
  <si>
    <t>11-Dec-2023</t>
  </si>
  <si>
    <t>EMP0173</t>
  </si>
  <si>
    <t>Nitin Kumar</t>
  </si>
  <si>
    <t>23-Jul-2020</t>
  </si>
  <si>
    <t>EMP0174</t>
  </si>
  <si>
    <t>Deepak Kapoor</t>
  </si>
  <si>
    <t>05-Apr-2019</t>
  </si>
  <si>
    <t>EMP0175</t>
  </si>
  <si>
    <t>03-May-2026</t>
  </si>
  <si>
    <t>EMP0176</t>
  </si>
  <si>
    <t>29-May-2021</t>
  </si>
  <si>
    <t>EMP0177</t>
  </si>
  <si>
    <t>Sonia Patel</t>
  </si>
  <si>
    <t>24-Feb-2016</t>
  </si>
  <si>
    <t>EMP0178</t>
  </si>
  <si>
    <t>31-Aug-2017</t>
  </si>
  <si>
    <t>EMP0179</t>
  </si>
  <si>
    <t>Karan Yadav</t>
  </si>
  <si>
    <t>02-Jan-2024</t>
  </si>
  <si>
    <t>EMP0180</t>
  </si>
  <si>
    <t>22-Feb-2022</t>
  </si>
  <si>
    <t>EMP0181</t>
  </si>
  <si>
    <t>06-Apr-2023</t>
  </si>
  <si>
    <t>EMP0182</t>
  </si>
  <si>
    <t>EMP0183</t>
  </si>
  <si>
    <t>19-Jun-2017</t>
  </si>
  <si>
    <t>EMP0184</t>
  </si>
  <si>
    <t>Sonia Yadav</t>
  </si>
  <si>
    <t>EMP0185</t>
  </si>
  <si>
    <t>05-Sep-2022</t>
  </si>
  <si>
    <t>EMP0186</t>
  </si>
  <si>
    <t>17-Jan-2020</t>
  </si>
  <si>
    <t>EMP0187</t>
  </si>
  <si>
    <t>15-Jun-2021</t>
  </si>
  <si>
    <t>EMP0188</t>
  </si>
  <si>
    <t>08-Oct-2022</t>
  </si>
  <si>
    <t>EMP0189</t>
  </si>
  <si>
    <t>Deepak Gupta</t>
  </si>
  <si>
    <t>14-May-2020</t>
  </si>
  <si>
    <t>EMP0190</t>
  </si>
  <si>
    <t>03-Apr-2017</t>
  </si>
  <si>
    <t>EMP0191</t>
  </si>
  <si>
    <t>Rohit Kumar</t>
  </si>
  <si>
    <t>27-May-2021</t>
  </si>
  <si>
    <t>EMP0192</t>
  </si>
  <si>
    <t>Sneha Sharma</t>
  </si>
  <si>
    <t>27-Nov-2023</t>
  </si>
  <si>
    <t>EMP0193</t>
  </si>
  <si>
    <t>11-Mar-2025</t>
  </si>
  <si>
    <t>EMP0194</t>
  </si>
  <si>
    <t>Simran Sharma</t>
  </si>
  <si>
    <t>24-Aug-2018</t>
  </si>
  <si>
    <t>EMP0195</t>
  </si>
  <si>
    <t>04-Aug-2024</t>
  </si>
  <si>
    <t>EMP0196</t>
  </si>
  <si>
    <t>09-Aug-2023</t>
  </si>
  <si>
    <t>EMP0197</t>
  </si>
  <si>
    <t>Simran Mehta</t>
  </si>
  <si>
    <t>23-May-2016</t>
  </si>
  <si>
    <t>EMP0198</t>
  </si>
  <si>
    <t>Arjun Kumar</t>
  </si>
  <si>
    <t>01-Dec-2019</t>
  </si>
  <si>
    <t>EMP0199</t>
  </si>
  <si>
    <t>20-Jul-2020</t>
  </si>
  <si>
    <t>EMP0200</t>
  </si>
  <si>
    <t>Simran Yadav</t>
  </si>
  <si>
    <t>EMP0201</t>
  </si>
  <si>
    <t>18-Dec-2025</t>
  </si>
  <si>
    <t>EMP0202</t>
  </si>
  <si>
    <t>Aman Gupta</t>
  </si>
  <si>
    <t>29-Nov-2021</t>
  </si>
  <si>
    <t>EMP0203</t>
  </si>
  <si>
    <t>Kavita Sharma</t>
  </si>
  <si>
    <t>08-May-2016</t>
  </si>
  <si>
    <t>EMP0204</t>
  </si>
  <si>
    <t>26-May-2023</t>
  </si>
  <si>
    <t>EMP0205</t>
  </si>
  <si>
    <t>25-Oct-2023</t>
  </si>
  <si>
    <t>EMP0206</t>
  </si>
  <si>
    <t>05-Jul-2023</t>
  </si>
  <si>
    <t>EMP0207</t>
  </si>
  <si>
    <t>Meera Sharma</t>
  </si>
  <si>
    <t>09-May-2015</t>
  </si>
  <si>
    <t>EMP0208</t>
  </si>
  <si>
    <t>Priya Singh</t>
  </si>
  <si>
    <t>03-Apr-2020</t>
  </si>
  <si>
    <t>EMP0209</t>
  </si>
  <si>
    <t>11-Mar-2022</t>
  </si>
  <si>
    <t>EMP0210</t>
  </si>
  <si>
    <t>05-Dec-2018</t>
  </si>
  <si>
    <t>EMP0211</t>
  </si>
  <si>
    <t>27-Feb-2024</t>
  </si>
  <si>
    <t>EMP0212</t>
  </si>
  <si>
    <t>Karan Mehta</t>
  </si>
  <si>
    <t>03-Apr-2024</t>
  </si>
  <si>
    <t>EMP0213</t>
  </si>
  <si>
    <t>EMP0214</t>
  </si>
  <si>
    <t>13-Nov-2019</t>
  </si>
  <si>
    <t>EMP0215</t>
  </si>
  <si>
    <t>Nitin Gupta</t>
  </si>
  <si>
    <t>10-Jun-2020</t>
  </si>
  <si>
    <t>EMP0216</t>
  </si>
  <si>
    <t>22-Jan-2023</t>
  </si>
  <si>
    <t>EMP0217</t>
  </si>
  <si>
    <t>Karan Sharma</t>
  </si>
  <si>
    <t>13-Apr-2024</t>
  </si>
  <si>
    <t>EMP0218</t>
  </si>
  <si>
    <t>28-Feb-2020</t>
  </si>
  <si>
    <t>EMP0219</t>
  </si>
  <si>
    <t>25-Nov-2022</t>
  </si>
  <si>
    <t>EMP0220</t>
  </si>
  <si>
    <t>22-Feb-2015</t>
  </si>
  <si>
    <t>EMP0221</t>
  </si>
  <si>
    <t>10-May-2016</t>
  </si>
  <si>
    <t>EMP0222</t>
  </si>
  <si>
    <t>08-Apr-2015</t>
  </si>
  <si>
    <t>EMP0223</t>
  </si>
  <si>
    <t>Rahul Yadav</t>
  </si>
  <si>
    <t>04-May-2018</t>
  </si>
  <si>
    <t>EMP0224</t>
  </si>
  <si>
    <t>15-Jun-2020</t>
  </si>
  <si>
    <t>EMP0225</t>
  </si>
  <si>
    <t>04-Apr-2016</t>
  </si>
  <si>
    <t>EMP0226</t>
  </si>
  <si>
    <t>26-Feb-2020</t>
  </si>
  <si>
    <t>EMP0227</t>
  </si>
  <si>
    <t>27-Sep-2015</t>
  </si>
  <si>
    <t>EMP0228</t>
  </si>
  <si>
    <t>23-May-2020</t>
  </si>
  <si>
    <t>EMP0229</t>
  </si>
  <si>
    <t>15-Mar-2016</t>
  </si>
  <si>
    <t>EMP0230</t>
  </si>
  <si>
    <t>07-Feb-2025</t>
  </si>
  <si>
    <t>EMP0231</t>
  </si>
  <si>
    <t>03-Nov-2016</t>
  </si>
  <si>
    <t>EMP0232</t>
  </si>
  <si>
    <t>22-Dec-2024</t>
  </si>
  <si>
    <t>EMP0233</t>
  </si>
  <si>
    <t>25-Feb-2024</t>
  </si>
  <si>
    <t>EMP0234</t>
  </si>
  <si>
    <t>12-Sep-2023</t>
  </si>
  <si>
    <t>EMP0235</t>
  </si>
  <si>
    <t>02-Oct-2021</t>
  </si>
  <si>
    <t>EMP0236</t>
  </si>
  <si>
    <t>23-Aug-2020</t>
  </si>
  <si>
    <t>EMP0237</t>
  </si>
  <si>
    <t>Meera Mehta</t>
  </si>
  <si>
    <t>25-Feb-2015</t>
  </si>
  <si>
    <t>EMP0238</t>
  </si>
  <si>
    <t>Ankit Kapoor</t>
  </si>
  <si>
    <t>20-Jan-2018</t>
  </si>
  <si>
    <t>EMP0239</t>
  </si>
  <si>
    <t>08-Jun-2020</t>
  </si>
  <si>
    <t>EMP0240</t>
  </si>
  <si>
    <t>09-Aug-2015</t>
  </si>
  <si>
    <t>EMP0241</t>
  </si>
  <si>
    <t>Riya Mehta</t>
  </si>
  <si>
    <t>05-Jun-2020</t>
  </si>
  <si>
    <t>EMP0242</t>
  </si>
  <si>
    <t>13-May-2026</t>
  </si>
  <si>
    <t>EMP0243</t>
  </si>
  <si>
    <t>18-Dec-2022</t>
  </si>
  <si>
    <t>EMP0244</t>
  </si>
  <si>
    <t>24-Dec-2019</t>
  </si>
  <si>
    <t>EMP0245</t>
  </si>
  <si>
    <t>23-Mar-2026</t>
  </si>
  <si>
    <t>EMP0246</t>
  </si>
  <si>
    <t>24-Oct-2022</t>
  </si>
  <si>
    <t>EMP0247</t>
  </si>
  <si>
    <t>Neha Sharma</t>
  </si>
  <si>
    <t>25-Feb-2022</t>
  </si>
  <si>
    <t>EMP0248</t>
  </si>
  <si>
    <t>04-Aug-2018</t>
  </si>
  <si>
    <t>EMP0249</t>
  </si>
  <si>
    <t>05-Jun-2019</t>
  </si>
  <si>
    <t>EMP0250</t>
  </si>
  <si>
    <t>Rahul Kapoor</t>
  </si>
  <si>
    <t>16-Mar-2023</t>
  </si>
  <si>
    <t>EMP0251</t>
  </si>
  <si>
    <t>24-Jul-2017</t>
  </si>
  <si>
    <t>EMP0252</t>
  </si>
  <si>
    <t>06-Nov-2021</t>
  </si>
  <si>
    <t>EMP0253</t>
  </si>
  <si>
    <t>27-Jun-2024</t>
  </si>
  <si>
    <t>EMP0254</t>
  </si>
  <si>
    <t>Aman Kapoor</t>
  </si>
  <si>
    <t>11-Feb-2025</t>
  </si>
  <si>
    <t>EMP0255</t>
  </si>
  <si>
    <t>Arjun Kapoor</t>
  </si>
  <si>
    <t>05-Mar-2024</t>
  </si>
  <si>
    <t>EMP0256</t>
  </si>
  <si>
    <t>25-Sep-2015</t>
  </si>
  <si>
    <t>EMP0257</t>
  </si>
  <si>
    <t>EMP0258</t>
  </si>
  <si>
    <t>EMP0259</t>
  </si>
  <si>
    <t>12-Nov-2022</t>
  </si>
  <si>
    <t>EMP0260</t>
  </si>
  <si>
    <t>13-Nov-2022</t>
  </si>
  <si>
    <t>EMP0261</t>
  </si>
  <si>
    <t>15-Jan-2018</t>
  </si>
  <si>
    <t>EMP0262</t>
  </si>
  <si>
    <t>EMP0263</t>
  </si>
  <si>
    <t>Anjali Kapoor</t>
  </si>
  <si>
    <t>01-Feb-2017</t>
  </si>
  <si>
    <t>EMP0264</t>
  </si>
  <si>
    <t>13-Apr-2025</t>
  </si>
  <si>
    <t>EMP0265</t>
  </si>
  <si>
    <t>29-Mar-2022</t>
  </si>
  <si>
    <t>EMP0266</t>
  </si>
  <si>
    <t>22-Apr-2025</t>
  </si>
  <si>
    <t>EMP0267</t>
  </si>
  <si>
    <t>08-Oct-2021</t>
  </si>
  <si>
    <t>EMP0268</t>
  </si>
  <si>
    <t>29-Feb-2016</t>
  </si>
  <si>
    <t>EMP0269</t>
  </si>
  <si>
    <t>23-Dec-2017</t>
  </si>
  <si>
    <t>EMP0270</t>
  </si>
  <si>
    <t>Neha Verma</t>
  </si>
  <si>
    <t>EMP0271</t>
  </si>
  <si>
    <t>16-Mar-2018</t>
  </si>
  <si>
    <t>EMP0272</t>
  </si>
  <si>
    <t>Neha Kumar</t>
  </si>
  <si>
    <t>EMP0273</t>
  </si>
  <si>
    <t>Meera Kumar</t>
  </si>
  <si>
    <t>18-Mar-2021</t>
  </si>
  <si>
    <t>EMP0274</t>
  </si>
  <si>
    <t>Priya Gupta</t>
  </si>
  <si>
    <t>06-Jun-2026</t>
  </si>
  <si>
    <t>EMP0275</t>
  </si>
  <si>
    <t>04-Aug-2016</t>
  </si>
  <si>
    <t>EMP0276</t>
  </si>
  <si>
    <t>16-Nov-2018</t>
  </si>
  <si>
    <t>EMP0277</t>
  </si>
  <si>
    <t>Sneha Jain</t>
  </si>
  <si>
    <t>EMP0278</t>
  </si>
  <si>
    <t>04-Jun-2018</t>
  </si>
  <si>
    <t>EMP0279</t>
  </si>
  <si>
    <t>EMP0280</t>
  </si>
  <si>
    <t>29-Jan-2018</t>
  </si>
  <si>
    <t>EMP0281</t>
  </si>
  <si>
    <t>Riya Patel</t>
  </si>
  <si>
    <t>25-Aug-2017</t>
  </si>
  <si>
    <t>EMP0282</t>
  </si>
  <si>
    <t>16-Jun-2026</t>
  </si>
  <si>
    <t>EMP0283</t>
  </si>
  <si>
    <t>15-Feb-2020</t>
  </si>
  <si>
    <t>EMP0284</t>
  </si>
  <si>
    <t>Riya Gupta</t>
  </si>
  <si>
    <t>17-Oct-2015</t>
  </si>
  <si>
    <t>EMP0285</t>
  </si>
  <si>
    <t>13-May-2023</t>
  </si>
  <si>
    <t>EMP0286</t>
  </si>
  <si>
    <t>Aman Yadav</t>
  </si>
  <si>
    <t>20-Dec-2021</t>
  </si>
  <si>
    <t>EMP0287</t>
  </si>
  <si>
    <t>28-May-2025</t>
  </si>
  <si>
    <t>EMP0288</t>
  </si>
  <si>
    <t>EMP0289</t>
  </si>
  <si>
    <t>05-May-2020</t>
  </si>
  <si>
    <t>EMP0290</t>
  </si>
  <si>
    <t>Neha Jain</t>
  </si>
  <si>
    <t>EMP0291</t>
  </si>
  <si>
    <t>23-Apr-2020</t>
  </si>
  <si>
    <t>EMP0292</t>
  </si>
  <si>
    <t>EMP0293</t>
  </si>
  <si>
    <t>14-Jan-2023</t>
  </si>
  <si>
    <t>EMP0294</t>
  </si>
  <si>
    <t>27-Nov-2015</t>
  </si>
  <si>
    <t>EMP0295</t>
  </si>
  <si>
    <t>Nitin Kapoor</t>
  </si>
  <si>
    <t>01-Nov-2020</t>
  </si>
  <si>
    <t>EMP0296</t>
  </si>
  <si>
    <t>Pooja Singh</t>
  </si>
  <si>
    <t>21-Sep-2017</t>
  </si>
  <si>
    <t>EMP0297</t>
  </si>
  <si>
    <t>21-Oct-2020</t>
  </si>
  <si>
    <t>EMP0298</t>
  </si>
  <si>
    <t>04-May-2025</t>
  </si>
  <si>
    <t>EMP0299</t>
  </si>
  <si>
    <t>25-Oct-2019</t>
  </si>
  <si>
    <t>EMP0300</t>
  </si>
  <si>
    <t>29-Sep-2025</t>
  </si>
  <si>
    <t>EMP0301</t>
  </si>
  <si>
    <t>04-Oct-2025</t>
  </si>
  <si>
    <t>EMP0302</t>
  </si>
  <si>
    <t>Rahul Sharma</t>
  </si>
  <si>
    <t>30-Nov-2019</t>
  </si>
  <si>
    <t>EMP0303</t>
  </si>
  <si>
    <t>EMP0304</t>
  </si>
  <si>
    <t>18-Feb-2022</t>
  </si>
  <si>
    <t>EMP0305</t>
  </si>
  <si>
    <t>06-Dec-2021</t>
  </si>
  <si>
    <t>EMP0306</t>
  </si>
  <si>
    <t>10-Jun-2022</t>
  </si>
  <si>
    <t>EMP0307</t>
  </si>
  <si>
    <t>06-Mar-2018</t>
  </si>
  <si>
    <t>EMP0308</t>
  </si>
  <si>
    <t>Riya Kapoor</t>
  </si>
  <si>
    <t>27-Mar-2022</t>
  </si>
  <si>
    <t>EMP0309</t>
  </si>
  <si>
    <t>Sneha Singh</t>
  </si>
  <si>
    <t>07-Dec-2018</t>
  </si>
  <si>
    <t>EMP0310</t>
  </si>
  <si>
    <t>31-Jan-2019</t>
  </si>
  <si>
    <t>EMP0311</t>
  </si>
  <si>
    <t>03-May-2020</t>
  </si>
  <si>
    <t>EMP0312</t>
  </si>
  <si>
    <t>11-Nov-2022</t>
  </si>
  <si>
    <t>EMP0313</t>
  </si>
  <si>
    <t>30-Jun-2023</t>
  </si>
  <si>
    <t>EMP0314</t>
  </si>
  <si>
    <t>14-Jun-2015</t>
  </si>
  <si>
    <t>EMP0315</t>
  </si>
  <si>
    <t>31-Jul-2022</t>
  </si>
  <si>
    <t>EMP0316</t>
  </si>
  <si>
    <t>09-Apr-2017</t>
  </si>
  <si>
    <t>EMP0317</t>
  </si>
  <si>
    <t>11-Feb-2016</t>
  </si>
  <si>
    <t>EMP0318</t>
  </si>
  <si>
    <t>Simran Patel</t>
  </si>
  <si>
    <t>09-Oct-2025</t>
  </si>
  <si>
    <t>EMP0319</t>
  </si>
  <si>
    <t>Sonia Mehta</t>
  </si>
  <si>
    <t>20-Dec-2025</t>
  </si>
  <si>
    <t>EMP0320</t>
  </si>
  <si>
    <t>01-Jan-2016</t>
  </si>
  <si>
    <t>EMP0321</t>
  </si>
  <si>
    <t>Sonia Sharma</t>
  </si>
  <si>
    <t>14-Apr-2024</t>
  </si>
  <si>
    <t>EMP0322</t>
  </si>
  <si>
    <t>Priya Jain</t>
  </si>
  <si>
    <t>06-Sep-2025</t>
  </si>
  <si>
    <t>EMP0323</t>
  </si>
  <si>
    <t>02-Oct-2019</t>
  </si>
  <si>
    <t>EMP0324</t>
  </si>
  <si>
    <t>13-Dec-2016</t>
  </si>
  <si>
    <t>EMP0325</t>
  </si>
  <si>
    <t>18-Apr-2024</t>
  </si>
  <si>
    <t>EMP0326</t>
  </si>
  <si>
    <t>03-Dec-2020</t>
  </si>
  <si>
    <t>EMP0327</t>
  </si>
  <si>
    <t>Vikas Gupta</t>
  </si>
  <si>
    <t>04-Jan-2024</t>
  </si>
  <si>
    <t>EMP0328</t>
  </si>
  <si>
    <t>18-Oct-2021</t>
  </si>
  <si>
    <t>EMP0329</t>
  </si>
  <si>
    <t>01-Jan-2017</t>
  </si>
  <si>
    <t>EMP0330</t>
  </si>
  <si>
    <t>23-Dec-2021</t>
  </si>
  <si>
    <t>EMP0331</t>
  </si>
  <si>
    <t>28-Sep-2015</t>
  </si>
  <si>
    <t>EMP0332</t>
  </si>
  <si>
    <t>08-Sep-2015</t>
  </si>
  <si>
    <t>EMP0333</t>
  </si>
  <si>
    <t>24-May-2021</t>
  </si>
  <si>
    <t>EMP0334</t>
  </si>
  <si>
    <t>EMP0335</t>
  </si>
  <si>
    <t>07-Nov-2021</t>
  </si>
  <si>
    <t>EMP0336</t>
  </si>
  <si>
    <t>11-Oct-2021</t>
  </si>
  <si>
    <t>EMP0337</t>
  </si>
  <si>
    <t>04-May-2021</t>
  </si>
  <si>
    <t>EMP0338</t>
  </si>
  <si>
    <t>Priya Kumar</t>
  </si>
  <si>
    <t>24-Mar-2019</t>
  </si>
  <si>
    <t>EMP0339</t>
  </si>
  <si>
    <t>EMP0340</t>
  </si>
  <si>
    <t>Deepak Patel</t>
  </si>
  <si>
    <t>02-Sep-2025</t>
  </si>
  <si>
    <t>EMP0341</t>
  </si>
  <si>
    <t>19-Oct-2020</t>
  </si>
  <si>
    <t>EMP0342</t>
  </si>
  <si>
    <t>EMP0343</t>
  </si>
  <si>
    <t>Neha Mehta</t>
  </si>
  <si>
    <t>06-Aug-2016</t>
  </si>
  <si>
    <t>EMP0344</t>
  </si>
  <si>
    <t>29-Jun-2019</t>
  </si>
  <si>
    <t>EMP0345</t>
  </si>
  <si>
    <t>Rahul Gupta</t>
  </si>
  <si>
    <t>11-Jan-2022</t>
  </si>
  <si>
    <t>EMP0346</t>
  </si>
  <si>
    <t>18-Aug-2024</t>
  </si>
  <si>
    <t>EMP0347</t>
  </si>
  <si>
    <t>Pooja Gupta</t>
  </si>
  <si>
    <t>11-Apr-2019</t>
  </si>
  <si>
    <t>EMP0348</t>
  </si>
  <si>
    <t>12-Nov-2021</t>
  </si>
  <si>
    <t>EMP0349</t>
  </si>
  <si>
    <t>21-Jan-2023</t>
  </si>
  <si>
    <t>EMP0350</t>
  </si>
  <si>
    <t>Priya Mehta</t>
  </si>
  <si>
    <t>26-Apr-2026</t>
  </si>
  <si>
    <t>EMP0351</t>
  </si>
  <si>
    <t>Arjun Mehta</t>
  </si>
  <si>
    <t>11-Jun-2015</t>
  </si>
  <si>
    <t>EMP0352</t>
  </si>
  <si>
    <t>EMP0353</t>
  </si>
  <si>
    <t>EMP0354</t>
  </si>
  <si>
    <t>16-Aug-2021</t>
  </si>
  <si>
    <t>EMP0355</t>
  </si>
  <si>
    <t>23-Jun-2017</t>
  </si>
  <si>
    <t>EMP0356</t>
  </si>
  <si>
    <t>30-Mar-2025</t>
  </si>
  <si>
    <t>EMP0357</t>
  </si>
  <si>
    <t>Priya Sharma</t>
  </si>
  <si>
    <t>21-Jul-2024</t>
  </si>
  <si>
    <t>EMP0358</t>
  </si>
  <si>
    <t>31-Jan-2017</t>
  </si>
  <si>
    <t>EMP0359</t>
  </si>
  <si>
    <t>16-Jun-2024</t>
  </si>
  <si>
    <t>EMP0360</t>
  </si>
  <si>
    <t>EMP0361</t>
  </si>
  <si>
    <t>19-Nov-2024</t>
  </si>
  <si>
    <t>EMP0362</t>
  </si>
  <si>
    <t>Anjali Mehta</t>
  </si>
  <si>
    <t>15-Sep-2024</t>
  </si>
  <si>
    <t>EMP0363</t>
  </si>
  <si>
    <t>13-Feb-2026</t>
  </si>
  <si>
    <t>EMP0364</t>
  </si>
  <si>
    <t>29-Jun-2023</t>
  </si>
  <si>
    <t>EMP0365</t>
  </si>
  <si>
    <t>30-Aug-2017</t>
  </si>
  <si>
    <t>EMP0366</t>
  </si>
  <si>
    <t>14-Jan-2017</t>
  </si>
  <si>
    <t>EMP0367</t>
  </si>
  <si>
    <t>01-Jan-2020</t>
  </si>
  <si>
    <t>EMP0368</t>
  </si>
  <si>
    <t>18-Jan-2015</t>
  </si>
  <si>
    <t>EMP0369</t>
  </si>
  <si>
    <t>24-Feb-2018</t>
  </si>
  <si>
    <t>EMP0370</t>
  </si>
  <si>
    <t>02-Apr-2025</t>
  </si>
  <si>
    <t>EMP0371</t>
  </si>
  <si>
    <t>23-Apr-2026</t>
  </si>
  <si>
    <t>EMP0372</t>
  </si>
  <si>
    <t>23-Nov-2018</t>
  </si>
  <si>
    <t>EMP0373</t>
  </si>
  <si>
    <t>26-Jul-2020</t>
  </si>
  <si>
    <t>EMP0374</t>
  </si>
  <si>
    <t>Ankit Gupta</t>
  </si>
  <si>
    <t>15-Jan-2022</t>
  </si>
  <si>
    <t>EMP0375</t>
  </si>
  <si>
    <t>Neha Yadav</t>
  </si>
  <si>
    <t>20-Apr-2026</t>
  </si>
  <si>
    <t>EMP0376</t>
  </si>
  <si>
    <t>Aman Jain</t>
  </si>
  <si>
    <t>31-May-2021</t>
  </si>
  <si>
    <t>EMP0377</t>
  </si>
  <si>
    <t>26-Jun-2019</t>
  </si>
  <si>
    <t>EMP0378</t>
  </si>
  <si>
    <t>17-Jan-2023</t>
  </si>
  <si>
    <t>EMP0379</t>
  </si>
  <si>
    <t>Vikas Jain</t>
  </si>
  <si>
    <t>20-Jan-2016</t>
  </si>
  <si>
    <t>EMP0380</t>
  </si>
  <si>
    <t>22-Jan-2020</t>
  </si>
  <si>
    <t>EMP0381</t>
  </si>
  <si>
    <t>Deepak Verma</t>
  </si>
  <si>
    <t>02-Sep-2016</t>
  </si>
  <si>
    <t>EMP0382</t>
  </si>
  <si>
    <t>01-Dec-2017</t>
  </si>
  <si>
    <t>EMP0383</t>
  </si>
  <si>
    <t>21-Feb-2016</t>
  </si>
  <si>
    <t>EMP0384</t>
  </si>
  <si>
    <t>15-Feb-2019</t>
  </si>
  <si>
    <t>EMP0385</t>
  </si>
  <si>
    <t>11-Jun-2022</t>
  </si>
  <si>
    <t>EMP0386</t>
  </si>
  <si>
    <t>20-Jun-2020</t>
  </si>
  <si>
    <t>EMP0387</t>
  </si>
  <si>
    <t>22-Jul-2015</t>
  </si>
  <si>
    <t>EMP0388</t>
  </si>
  <si>
    <t>09-Mar-2022</t>
  </si>
  <si>
    <t>EMP0389</t>
  </si>
  <si>
    <t>07-Jul-2024</t>
  </si>
  <si>
    <t>EMP0390</t>
  </si>
  <si>
    <t>23-Aug-2016</t>
  </si>
  <si>
    <t>EMP0391</t>
  </si>
  <si>
    <t>27-Jan-2024</t>
  </si>
  <si>
    <t>EMP0392</t>
  </si>
  <si>
    <t>09-Jan-2023</t>
  </si>
  <si>
    <t>EMP0393</t>
  </si>
  <si>
    <t>18-Aug-2025</t>
  </si>
  <si>
    <t>EMP0394</t>
  </si>
  <si>
    <t>04-Mar-2018</t>
  </si>
  <si>
    <t>EMP0395</t>
  </si>
  <si>
    <t>Deepak Singh</t>
  </si>
  <si>
    <t>01-Oct-2019</t>
  </si>
  <si>
    <t>EMP0396</t>
  </si>
  <si>
    <t>25-Jan-2019</t>
  </si>
  <si>
    <t>EMP0397</t>
  </si>
  <si>
    <t>06-Jun-2019</t>
  </si>
  <si>
    <t>EMP0398</t>
  </si>
  <si>
    <t>Meera Patel</t>
  </si>
  <si>
    <t>05-May-2019</t>
  </si>
  <si>
    <t>EMP0399</t>
  </si>
  <si>
    <t>13-Oct-2018</t>
  </si>
  <si>
    <t>EMP0400</t>
  </si>
  <si>
    <t>27-Dec-2024</t>
  </si>
  <si>
    <t>EMP0401</t>
  </si>
  <si>
    <t>26-Nov-2020</t>
  </si>
  <si>
    <t>EMP0402</t>
  </si>
  <si>
    <t>28-Oct-2015</t>
  </si>
  <si>
    <t>EMP0403</t>
  </si>
  <si>
    <t>01-Jan-2018</t>
  </si>
  <si>
    <t>EMP0404</t>
  </si>
  <si>
    <t>EMP0405</t>
  </si>
  <si>
    <t>29-May-2016</t>
  </si>
  <si>
    <t>EMP0406</t>
  </si>
  <si>
    <t>Rahul Patel</t>
  </si>
  <si>
    <t>08-Apr-2022</t>
  </si>
  <si>
    <t>EMP0407</t>
  </si>
  <si>
    <t>29-Sep-2016</t>
  </si>
  <si>
    <t>EMP0408</t>
  </si>
  <si>
    <t>Simran Gupta</t>
  </si>
  <si>
    <t>24-Feb-2015</t>
  </si>
  <si>
    <t>EMP0409</t>
  </si>
  <si>
    <t>15-Feb-2023</t>
  </si>
  <si>
    <t>EMP0410</t>
  </si>
  <si>
    <t>13-Aug-2018</t>
  </si>
  <si>
    <t>EMP0411</t>
  </si>
  <si>
    <t>18-Apr-2018</t>
  </si>
  <si>
    <t>EMP0412</t>
  </si>
  <si>
    <t>28-Jul-2025</t>
  </si>
  <si>
    <t>EMP0413</t>
  </si>
  <si>
    <t>08-Sep-2022</t>
  </si>
  <si>
    <t>EMP0414</t>
  </si>
  <si>
    <t>24-Apr-2026</t>
  </si>
  <si>
    <t>EMP0415</t>
  </si>
  <si>
    <t>20-Aug-2017</t>
  </si>
  <si>
    <t>EMP0416</t>
  </si>
  <si>
    <t>15-Aug-2024</t>
  </si>
  <si>
    <t>EMP0417</t>
  </si>
  <si>
    <t>19-Mar-2020</t>
  </si>
  <si>
    <t>EMP0418</t>
  </si>
  <si>
    <t>23-Aug-2017</t>
  </si>
  <si>
    <t>EMP0419</t>
  </si>
  <si>
    <t>08-Sep-2020</t>
  </si>
  <si>
    <t>EMP0420</t>
  </si>
  <si>
    <t>27-Oct-2025</t>
  </si>
  <si>
    <t>EMP0421</t>
  </si>
  <si>
    <t>Simran Verma</t>
  </si>
  <si>
    <t>EMP0422</t>
  </si>
  <si>
    <t>09-Aug-2018</t>
  </si>
  <si>
    <t>EMP0423</t>
  </si>
  <si>
    <t>26-Apr-2023</t>
  </si>
  <si>
    <t>EMP0424</t>
  </si>
  <si>
    <t>05-Nov-2024</t>
  </si>
  <si>
    <t>EMP0425</t>
  </si>
  <si>
    <t>Aman Singh</t>
  </si>
  <si>
    <t>20-Oct-2018</t>
  </si>
  <si>
    <t>EMP0426</t>
  </si>
  <si>
    <t>Rohit Verma</t>
  </si>
  <si>
    <t>04-Feb-2024</t>
  </si>
  <si>
    <t>EMP0427</t>
  </si>
  <si>
    <t>28-Jan-2020</t>
  </si>
  <si>
    <t>EMP0428</t>
  </si>
  <si>
    <t>15-Aug-2016</t>
  </si>
  <si>
    <t>EMP0429</t>
  </si>
  <si>
    <t>EMP0430</t>
  </si>
  <si>
    <t>01-Aug-2023</t>
  </si>
  <si>
    <t>EMP0431</t>
  </si>
  <si>
    <t>EMP0432</t>
  </si>
  <si>
    <t>13-Jan-2021</t>
  </si>
  <si>
    <t>EMP0433</t>
  </si>
  <si>
    <t>20-Jul-2019</t>
  </si>
  <si>
    <t>EMP0434</t>
  </si>
  <si>
    <t>Vikas Kapoor</t>
  </si>
  <si>
    <t>13-Dec-2015</t>
  </si>
  <si>
    <t>EMP0435</t>
  </si>
  <si>
    <t>04-Dec-2023</t>
  </si>
  <si>
    <t>EMP0436</t>
  </si>
  <si>
    <t>Arjun Verma</t>
  </si>
  <si>
    <t>31-Oct-2023</t>
  </si>
  <si>
    <t>EMP0437</t>
  </si>
  <si>
    <t>EMP0438</t>
  </si>
  <si>
    <t>17-Mar-2023</t>
  </si>
  <si>
    <t>EMP0439</t>
  </si>
  <si>
    <t>Neha Patel</t>
  </si>
  <si>
    <t>10-Dec-2017</t>
  </si>
  <si>
    <t>EMP0440</t>
  </si>
  <si>
    <t>10-Aug-2025</t>
  </si>
  <si>
    <t>EMP0441</t>
  </si>
  <si>
    <t>26-Jan-2016</t>
  </si>
  <si>
    <t>EMP0442</t>
  </si>
  <si>
    <t>29-Oct-2020</t>
  </si>
  <si>
    <t>EMP0443</t>
  </si>
  <si>
    <t>18-Jun-2019</t>
  </si>
  <si>
    <t>EMP0444</t>
  </si>
  <si>
    <t>Karan Singh</t>
  </si>
  <si>
    <t>04-Oct-2016</t>
  </si>
  <si>
    <t>EMP0445</t>
  </si>
  <si>
    <t>20-Aug-2018</t>
  </si>
  <si>
    <t>EMP0446</t>
  </si>
  <si>
    <t>05-Feb-2025</t>
  </si>
  <si>
    <t>EMP0447</t>
  </si>
  <si>
    <t>23-Apr-2017</t>
  </si>
  <si>
    <t>EMP0448</t>
  </si>
  <si>
    <t>Nitin Patel</t>
  </si>
  <si>
    <t>20-Nov-2020</t>
  </si>
  <si>
    <t>EMP0449</t>
  </si>
  <si>
    <t>11-Dec-2017</t>
  </si>
  <si>
    <t>EMP0450</t>
  </si>
  <si>
    <t>23-Dec-2024</t>
  </si>
  <si>
    <t>EMP0451</t>
  </si>
  <si>
    <t>11-Dec-2021</t>
  </si>
  <si>
    <t>EMP0452</t>
  </si>
  <si>
    <t>22-Oct-2021</t>
  </si>
  <si>
    <t>EMP0453</t>
  </si>
  <si>
    <t>13-Sep-2025</t>
  </si>
  <si>
    <t>EMP0454</t>
  </si>
  <si>
    <t>20-Oct-2024</t>
  </si>
  <si>
    <t>EMP0455</t>
  </si>
  <si>
    <t>05-Feb-2021</t>
  </si>
  <si>
    <t>EMP0456</t>
  </si>
  <si>
    <t>19-Mar-2025</t>
  </si>
  <si>
    <t>EMP0457</t>
  </si>
  <si>
    <t>Rahul Singh</t>
  </si>
  <si>
    <t>01-Jul-2015</t>
  </si>
  <si>
    <t>EMP0458</t>
  </si>
  <si>
    <t>26-Jan-2026</t>
  </si>
  <si>
    <t>EMP0459</t>
  </si>
  <si>
    <t>23-Dec-2020</t>
  </si>
  <si>
    <t>EMP0460</t>
  </si>
  <si>
    <t>19-Aug-2023</t>
  </si>
  <si>
    <t>EMP0461</t>
  </si>
  <si>
    <t>31-Dec-2021</t>
  </si>
  <si>
    <t>EMP0462</t>
  </si>
  <si>
    <t>16-Jun-2019</t>
  </si>
  <si>
    <t>EMP0463</t>
  </si>
  <si>
    <t>07-Sep-2017</t>
  </si>
  <si>
    <t>EMP0464</t>
  </si>
  <si>
    <t>19-Mar-2026</t>
  </si>
  <si>
    <t>EMP0465</t>
  </si>
  <si>
    <t>21-Mar-2020</t>
  </si>
  <si>
    <t>EMP0466</t>
  </si>
  <si>
    <t>15-Aug-2020</t>
  </si>
  <si>
    <t>EMP0467</t>
  </si>
  <si>
    <t>05-Apr-2022</t>
  </si>
  <si>
    <t>EMP0468</t>
  </si>
  <si>
    <t>Deepak Mehta</t>
  </si>
  <si>
    <t>27-Nov-2020</t>
  </si>
  <si>
    <t>EMP0469</t>
  </si>
  <si>
    <t>12-Mar-2022</t>
  </si>
  <si>
    <t>EMP0470</t>
  </si>
  <si>
    <t>EMP0471</t>
  </si>
  <si>
    <t>26-May-2017</t>
  </si>
  <si>
    <t>EMP0472</t>
  </si>
  <si>
    <t>EMP0473</t>
  </si>
  <si>
    <t>12-Apr-2023</t>
  </si>
  <si>
    <t>EMP0474</t>
  </si>
  <si>
    <t>06-Mar-2017</t>
  </si>
  <si>
    <t>EMP0475</t>
  </si>
  <si>
    <t>24-Apr-2024</t>
  </si>
  <si>
    <t>EMP0476</t>
  </si>
  <si>
    <t>03-Jan-2024</t>
  </si>
  <si>
    <t>EMP0477</t>
  </si>
  <si>
    <t>31-Mar-2024</t>
  </si>
  <si>
    <t>EMP0478</t>
  </si>
  <si>
    <t>28-Jan-2023</t>
  </si>
  <si>
    <t>EMP0479</t>
  </si>
  <si>
    <t>EMP0480</t>
  </si>
  <si>
    <t>21-Jun-2018</t>
  </si>
  <si>
    <t>EMP0481</t>
  </si>
  <si>
    <t>26-Sep-2021</t>
  </si>
  <si>
    <t>EMP0482</t>
  </si>
  <si>
    <t>20-Feb-2017</t>
  </si>
  <si>
    <t>EMP0483</t>
  </si>
  <si>
    <t>14-Sep-2017</t>
  </si>
  <si>
    <t>EMP0484</t>
  </si>
  <si>
    <t>10-May-2018</t>
  </si>
  <si>
    <t>EMP0485</t>
  </si>
  <si>
    <t>08-Sep-2024</t>
  </si>
  <si>
    <t>EMP0486</t>
  </si>
  <si>
    <t>EMP0487</t>
  </si>
  <si>
    <t>26-May-2019</t>
  </si>
  <si>
    <t>EMP0488</t>
  </si>
  <si>
    <t>03-Jan-2017</t>
  </si>
  <si>
    <t>EMP0489</t>
  </si>
  <si>
    <t>04-Nov-2022</t>
  </si>
  <si>
    <t>EMP0490</t>
  </si>
  <si>
    <t>01-Jul-2018</t>
  </si>
  <si>
    <t>EMP0491</t>
  </si>
  <si>
    <t>04-Nov-2021</t>
  </si>
  <si>
    <t>EMP0492</t>
  </si>
  <si>
    <t>Aman Mehta</t>
  </si>
  <si>
    <t>31-Oct-2025</t>
  </si>
  <si>
    <t>EMP0493</t>
  </si>
  <si>
    <t>03-Jul-2019</t>
  </si>
  <si>
    <t>EMP0494</t>
  </si>
  <si>
    <t>02-Jun-2017</t>
  </si>
  <si>
    <t>EMP0495</t>
  </si>
  <si>
    <t>EMP0496</t>
  </si>
  <si>
    <t>27-Dec-2025</t>
  </si>
  <si>
    <t>EMP0497</t>
  </si>
  <si>
    <t>11-Oct-2020</t>
  </si>
  <si>
    <t>EMP0498</t>
  </si>
  <si>
    <t>EMP0499</t>
  </si>
  <si>
    <t>21-May-2022</t>
  </si>
  <si>
    <t>EMP0500</t>
  </si>
  <si>
    <t>12-Jan-2018</t>
  </si>
  <si>
    <t>EMP0501</t>
  </si>
  <si>
    <t>17-Feb-2019</t>
  </si>
  <si>
    <t>EMP0502</t>
  </si>
  <si>
    <t>29-May-2018</t>
  </si>
  <si>
    <t>EMP0503</t>
  </si>
  <si>
    <t>06-Mar-2020</t>
  </si>
  <si>
    <t>EMP0504</t>
  </si>
  <si>
    <t>17-Aug-2025</t>
  </si>
  <si>
    <t>EMP0505</t>
  </si>
  <si>
    <t>03-Aug-2019</t>
  </si>
  <si>
    <t>EMP0506</t>
  </si>
  <si>
    <t>09-Dec-2015</t>
  </si>
  <si>
    <t>EMP0507</t>
  </si>
  <si>
    <t>14-Dec-2015</t>
  </si>
  <si>
    <t>EMP0508</t>
  </si>
  <si>
    <t>09-Nov-2024</t>
  </si>
  <si>
    <t>EMP0509</t>
  </si>
  <si>
    <t>11-Mar-2018</t>
  </si>
  <si>
    <t>EMP0510</t>
  </si>
  <si>
    <t>10-Apr-2024</t>
  </si>
  <si>
    <t>EMP0511</t>
  </si>
  <si>
    <t>09-Oct-2017</t>
  </si>
  <si>
    <t>EMP0512</t>
  </si>
  <si>
    <t>15-Jul-2023</t>
  </si>
  <si>
    <t>EMP0513</t>
  </si>
  <si>
    <t>30-May-2024</t>
  </si>
  <si>
    <t>EMP0514</t>
  </si>
  <si>
    <t>11-Apr-2015</t>
  </si>
  <si>
    <t>EMP0515</t>
  </si>
  <si>
    <t>06-Mar-2025</t>
  </si>
  <si>
    <t>EMP0516</t>
  </si>
  <si>
    <t>23-Feb-2019</t>
  </si>
  <si>
    <t>EMP0517</t>
  </si>
  <si>
    <t>08-May-2024</t>
  </si>
  <si>
    <t>EMP0518</t>
  </si>
  <si>
    <t>Rohit Mehta</t>
  </si>
  <si>
    <t>17-Sep-2021</t>
  </si>
  <si>
    <t>EMP0519</t>
  </si>
  <si>
    <t>EMP0520</t>
  </si>
  <si>
    <t>10-Jun-2021</t>
  </si>
  <si>
    <t>EMP0521</t>
  </si>
  <si>
    <t>17-Jan-2026</t>
  </si>
  <si>
    <t>EMP0522</t>
  </si>
  <si>
    <t>Riya Sharma</t>
  </si>
  <si>
    <t>26-Aug-2019</t>
  </si>
  <si>
    <t>EMP0523</t>
  </si>
  <si>
    <t>26-Apr-2021</t>
  </si>
  <si>
    <t>EMP0524</t>
  </si>
  <si>
    <t>28-Aug-2022</t>
  </si>
  <si>
    <t>EMP0525</t>
  </si>
  <si>
    <t>17-Jan-2018</t>
  </si>
  <si>
    <t>EMP0526</t>
  </si>
  <si>
    <t>28-Jan-2022</t>
  </si>
  <si>
    <t>EMP0527</t>
  </si>
  <si>
    <t>01-Jun-2023</t>
  </si>
  <si>
    <t>EMP0528</t>
  </si>
  <si>
    <t>17-Sep-2015</t>
  </si>
  <si>
    <t>EMP0529</t>
  </si>
  <si>
    <t>08-Jul-2017</t>
  </si>
  <si>
    <t>EMP0530</t>
  </si>
  <si>
    <t>18-Aug-2022</t>
  </si>
  <si>
    <t>EMP0531</t>
  </si>
  <si>
    <t>08-Aug-2019</t>
  </si>
  <si>
    <t>EMP0532</t>
  </si>
  <si>
    <t>13-Jan-2016</t>
  </si>
  <si>
    <t>EMP0533</t>
  </si>
  <si>
    <t>05-Jun-2021</t>
  </si>
  <si>
    <t>EMP0534</t>
  </si>
  <si>
    <t>18-Apr-2017</t>
  </si>
  <si>
    <t>EMP0535</t>
  </si>
  <si>
    <t>25-Dec-2021</t>
  </si>
  <si>
    <t>EMP0536</t>
  </si>
  <si>
    <t>16-Mar-2016</t>
  </si>
  <si>
    <t>EMP0537</t>
  </si>
  <si>
    <t>05-Oct-2016</t>
  </si>
  <si>
    <t>EMP0538</t>
  </si>
  <si>
    <t>09-Jun-2025</t>
  </si>
  <si>
    <t>EMP0539</t>
  </si>
  <si>
    <t>14-Apr-2022</t>
  </si>
  <si>
    <t>EMP0540</t>
  </si>
  <si>
    <t>09-Nov-2017</t>
  </si>
  <si>
    <t>EMP0541</t>
  </si>
  <si>
    <t>09-Apr-2024</t>
  </si>
  <si>
    <t>EMP0542</t>
  </si>
  <si>
    <t>01-Sep-2024</t>
  </si>
  <si>
    <t>EMP0543</t>
  </si>
  <si>
    <t>20-May-2025</t>
  </si>
  <si>
    <t>EMP0544</t>
  </si>
  <si>
    <t>02-Jul-2023</t>
  </si>
  <si>
    <t>EMP0545</t>
  </si>
  <si>
    <t>27-Feb-2025</t>
  </si>
  <si>
    <t>EMP0546</t>
  </si>
  <si>
    <t>01-Oct-2024</t>
  </si>
  <si>
    <t>EMP0547</t>
  </si>
  <si>
    <t>11-Mar-2016</t>
  </si>
  <si>
    <t>EMP0548</t>
  </si>
  <si>
    <t>04-Nov-2023</t>
  </si>
  <si>
    <t>EMP0549</t>
  </si>
  <si>
    <t>17-Aug-2023</t>
  </si>
  <si>
    <t>EMP0550</t>
  </si>
  <si>
    <t>25-Mar-2018</t>
  </si>
  <si>
    <t>EMP0551</t>
  </si>
  <si>
    <t>19-Jul-2024</t>
  </si>
  <si>
    <t>EMP0552</t>
  </si>
  <si>
    <t>02-Mar-2015</t>
  </si>
  <si>
    <t>EMP0553</t>
  </si>
  <si>
    <t>EMP0554</t>
  </si>
  <si>
    <t>25-Dec-2016</t>
  </si>
  <si>
    <t>EMP0555</t>
  </si>
  <si>
    <t>30-Mar-2015</t>
  </si>
  <si>
    <t>EMP0556</t>
  </si>
  <si>
    <t>EMP0557</t>
  </si>
  <si>
    <t>18-Jul-2021</t>
  </si>
  <si>
    <t>EMP0558</t>
  </si>
  <si>
    <t>21-Dec-2017</t>
  </si>
  <si>
    <t>EMP0559</t>
  </si>
  <si>
    <t>18-Apr-2023</t>
  </si>
  <si>
    <t>EMP0560</t>
  </si>
  <si>
    <t>16-Jun-2018</t>
  </si>
  <si>
    <t>EMP0561</t>
  </si>
  <si>
    <t>21-Mar-2016</t>
  </si>
  <si>
    <t>EMP0562</t>
  </si>
  <si>
    <t>29-Mar-2020</t>
  </si>
  <si>
    <t>EMP0563</t>
  </si>
  <si>
    <t>30-Jan-2022</t>
  </si>
  <si>
    <t>EMP0564</t>
  </si>
  <si>
    <t>27-Dec-2020</t>
  </si>
  <si>
    <t>EMP0565</t>
  </si>
  <si>
    <t>13-Jan-2019</t>
  </si>
  <si>
    <t>EMP0566</t>
  </si>
  <si>
    <t>19-Nov-2022</t>
  </si>
  <si>
    <t>EMP0567</t>
  </si>
  <si>
    <t>09-Sep-2017</t>
  </si>
  <si>
    <t>EMP0568</t>
  </si>
  <si>
    <t>12-Sep-2016</t>
  </si>
  <si>
    <t>EMP0569</t>
  </si>
  <si>
    <t>02-Aug-2023</t>
  </si>
  <si>
    <t>EMP0570</t>
  </si>
  <si>
    <t>22-Oct-2023</t>
  </si>
  <si>
    <t>EMP0571</t>
  </si>
  <si>
    <t>26-Apr-2017</t>
  </si>
  <si>
    <t>EMP0572</t>
  </si>
  <si>
    <t>22-Dec-2020</t>
  </si>
  <si>
    <t>EMP0573</t>
  </si>
  <si>
    <t>25-Jan-2020</t>
  </si>
  <si>
    <t>EMP0574</t>
  </si>
  <si>
    <t>12-Jan-2017</t>
  </si>
  <si>
    <t>EMP0575</t>
  </si>
  <si>
    <t>Nitin Verma</t>
  </si>
  <si>
    <t>14-Aug-2023</t>
  </si>
  <si>
    <t>EMP0576</t>
  </si>
  <si>
    <t>20-Feb-2018</t>
  </si>
  <si>
    <t>EMP0577</t>
  </si>
  <si>
    <t>17-Mar-2026</t>
  </si>
  <si>
    <t>EMP0578</t>
  </si>
  <si>
    <t>EMP0579</t>
  </si>
  <si>
    <t>05-Mar-2018</t>
  </si>
  <si>
    <t>EMP0580</t>
  </si>
  <si>
    <t>22-Nov-2021</t>
  </si>
  <si>
    <t>EMP0581</t>
  </si>
  <si>
    <t>12-Dec-2019</t>
  </si>
  <si>
    <t>EMP0582</t>
  </si>
  <si>
    <t>13-Oct-2019</t>
  </si>
  <si>
    <t>EMP0583</t>
  </si>
  <si>
    <t>13-Sep-2018</t>
  </si>
  <si>
    <t>EMP0584</t>
  </si>
  <si>
    <t>EMP0585</t>
  </si>
  <si>
    <t>06-Feb-2025</t>
  </si>
  <si>
    <t>EMP0586</t>
  </si>
  <si>
    <t>20-Oct-2022</t>
  </si>
  <si>
    <t>EMP0587</t>
  </si>
  <si>
    <t>02-Dec-2019</t>
  </si>
  <si>
    <t>EMP0588</t>
  </si>
  <si>
    <t>27-Feb-2026</t>
  </si>
  <si>
    <t>EMP0589</t>
  </si>
  <si>
    <t>01-Mar-2025</t>
  </si>
  <si>
    <t>EMP0590</t>
  </si>
  <si>
    <t>11-Apr-2020</t>
  </si>
  <si>
    <t>EMP0591</t>
  </si>
  <si>
    <t>14-Mar-2017</t>
  </si>
  <si>
    <t>EMP0592</t>
  </si>
  <si>
    <t>02-Apr-2018</t>
  </si>
  <si>
    <t>EMP0593</t>
  </si>
  <si>
    <t>18-Jan-2021</t>
  </si>
  <si>
    <t>EMP0594</t>
  </si>
  <si>
    <t>03-Nov-2018</t>
  </si>
  <si>
    <t>EMP0595</t>
  </si>
  <si>
    <t>26-Mar-2024</t>
  </si>
  <si>
    <t>EMP0596</t>
  </si>
  <si>
    <t>Pooja Kumar</t>
  </si>
  <si>
    <t>13-Jul-2020</t>
  </si>
  <si>
    <t>EMP0597</t>
  </si>
  <si>
    <t>EMP0598</t>
  </si>
  <si>
    <t>14-Feb-2024</t>
  </si>
  <si>
    <t>EMP0599</t>
  </si>
  <si>
    <t>19-Jul-2015</t>
  </si>
  <si>
    <t>EMP0600</t>
  </si>
  <si>
    <t>EMP0601</t>
  </si>
  <si>
    <t>25-Oct-2016</t>
  </si>
  <si>
    <t>EMP0602</t>
  </si>
  <si>
    <t>01-Dec-2015</t>
  </si>
  <si>
    <t>EMP0603</t>
  </si>
  <si>
    <t>19-Jul-2017</t>
  </si>
  <si>
    <t>EMP0604</t>
  </si>
  <si>
    <t>20-Mar-2021</t>
  </si>
  <si>
    <t>EMP0605</t>
  </si>
  <si>
    <t>22-Jul-2021</t>
  </si>
  <si>
    <t>EMP0606</t>
  </si>
  <si>
    <t>22-Sep-2016</t>
  </si>
  <si>
    <t>EMP0607</t>
  </si>
  <si>
    <t>Aman Patel</t>
  </si>
  <si>
    <t>17-Dec-2017</t>
  </si>
  <si>
    <t>EMP0608</t>
  </si>
  <si>
    <t>EMP0609</t>
  </si>
  <si>
    <t>15-Nov-2021</t>
  </si>
  <si>
    <t>EMP0610</t>
  </si>
  <si>
    <t>24-Sep-2018</t>
  </si>
  <si>
    <t>EMP0611</t>
  </si>
  <si>
    <t>04-Dec-2015</t>
  </si>
  <si>
    <t>EMP0612</t>
  </si>
  <si>
    <t>09-Feb-2022</t>
  </si>
  <si>
    <t>EMP0613</t>
  </si>
  <si>
    <t>05-Apr-2018</t>
  </si>
  <si>
    <t>EMP0614</t>
  </si>
  <si>
    <t>Arjun Yadav</t>
  </si>
  <si>
    <t>19-Apr-2018</t>
  </si>
  <si>
    <t>EMP0615</t>
  </si>
  <si>
    <t>15-Aug-2017</t>
  </si>
  <si>
    <t>EMP0616</t>
  </si>
  <si>
    <t>25-Dec-2019</t>
  </si>
  <si>
    <t>EMP0617</t>
  </si>
  <si>
    <t>31-Dec-2025</t>
  </si>
  <si>
    <t>EMP0618</t>
  </si>
  <si>
    <t>10-Apr-2015</t>
  </si>
  <si>
    <t>EMP0619</t>
  </si>
  <si>
    <t>03-Sep-2018</t>
  </si>
  <si>
    <t>EMP0620</t>
  </si>
  <si>
    <t>10-Jul-2022</t>
  </si>
  <si>
    <t>EMP0621</t>
  </si>
  <si>
    <t>Karan Gupta</t>
  </si>
  <si>
    <t>13-May-2025</t>
  </si>
  <si>
    <t>EMP0622</t>
  </si>
  <si>
    <t>09-Oct-2021</t>
  </si>
  <si>
    <t>EMP0623</t>
  </si>
  <si>
    <t>07-Aug-2025</t>
  </si>
  <si>
    <t>EMP0624</t>
  </si>
  <si>
    <t>22-Jan-2026</t>
  </si>
  <si>
    <t>EMP0625</t>
  </si>
  <si>
    <t>16-May-2023</t>
  </si>
  <si>
    <t>EMP0626</t>
  </si>
  <si>
    <t>06-Jan-2023</t>
  </si>
  <si>
    <t>EMP0627</t>
  </si>
  <si>
    <t>07-May-2019</t>
  </si>
  <si>
    <t>EMP0628</t>
  </si>
  <si>
    <t>24-Feb-2017</t>
  </si>
  <si>
    <t>EMP0629</t>
  </si>
  <si>
    <t>28-Aug-2018</t>
  </si>
  <si>
    <t>EMP0630</t>
  </si>
  <si>
    <t>EMP0631</t>
  </si>
  <si>
    <t>31-Oct-2021</t>
  </si>
  <si>
    <t>EMP0632</t>
  </si>
  <si>
    <t>EMP0633</t>
  </si>
  <si>
    <t>26-Sep-2015</t>
  </si>
  <si>
    <t>EMP0634</t>
  </si>
  <si>
    <t>01-Mar-2017</t>
  </si>
  <si>
    <t>EMP0635</t>
  </si>
  <si>
    <t>22-Mar-2021</t>
  </si>
  <si>
    <t>EMP0636</t>
  </si>
  <si>
    <t>25-Apr-2015</t>
  </si>
  <si>
    <t>EMP0637</t>
  </si>
  <si>
    <t>22-Mar-2023</t>
  </si>
  <si>
    <t>EMP0638</t>
  </si>
  <si>
    <t>21-Feb-2024</t>
  </si>
  <si>
    <t>EMP0639</t>
  </si>
  <si>
    <t>29-Nov-2015</t>
  </si>
  <si>
    <t>EMP0640</t>
  </si>
  <si>
    <t>08-Jul-2021</t>
  </si>
  <si>
    <t>EMP0641</t>
  </si>
  <si>
    <t>EMP0642</t>
  </si>
  <si>
    <t>14-Jun-2016</t>
  </si>
  <si>
    <t>EMP0643</t>
  </si>
  <si>
    <t>31-Mar-2021</t>
  </si>
  <si>
    <t>EMP0644</t>
  </si>
  <si>
    <t>03-Apr-2021</t>
  </si>
  <si>
    <t>EMP0645</t>
  </si>
  <si>
    <t>08-Mar-2016</t>
  </si>
  <si>
    <t>EMP0646</t>
  </si>
  <si>
    <t>18-Sep-2016</t>
  </si>
  <si>
    <t>EMP0647</t>
  </si>
  <si>
    <t>15-Sep-2022</t>
  </si>
  <si>
    <t>EMP0648</t>
  </si>
  <si>
    <t>04-Dec-2024</t>
  </si>
  <si>
    <t>EMP0649</t>
  </si>
  <si>
    <t>07-Dec-2025</t>
  </si>
  <si>
    <t>EMP0650</t>
  </si>
  <si>
    <t>01-Apr-2016</t>
  </si>
  <si>
    <t>EMP0651</t>
  </si>
  <si>
    <t>05-Jan-2016</t>
  </si>
  <si>
    <t>EMP0652</t>
  </si>
  <si>
    <t>28-Mar-2024</t>
  </si>
  <si>
    <t>EMP0653</t>
  </si>
  <si>
    <t>EMP0654</t>
  </si>
  <si>
    <t>02-Jul-2015</t>
  </si>
  <si>
    <t>EMP0655</t>
  </si>
  <si>
    <t>Vikas Singh</t>
  </si>
  <si>
    <t>15-Jul-2022</t>
  </si>
  <si>
    <t>EMP0656</t>
  </si>
  <si>
    <t>09-Sep-2016</t>
  </si>
  <si>
    <t>EMP0657</t>
  </si>
  <si>
    <t>15-Feb-2017</t>
  </si>
  <si>
    <t>EMP0658</t>
  </si>
  <si>
    <t>27-Apr-2026</t>
  </si>
  <si>
    <t>EMP0659</t>
  </si>
  <si>
    <t>EMP0660</t>
  </si>
  <si>
    <t>23-Sep-2024</t>
  </si>
  <si>
    <t>EMP0661</t>
  </si>
  <si>
    <t>25-Sep-2021</t>
  </si>
  <si>
    <t>EMP0662</t>
  </si>
  <si>
    <t>18-Apr-2020</t>
  </si>
  <si>
    <t>EMP0663</t>
  </si>
  <si>
    <t>19-Jun-2024</t>
  </si>
  <si>
    <t>EMP0664</t>
  </si>
  <si>
    <t>12-Dec-2018</t>
  </si>
  <si>
    <t>EMP0665</t>
  </si>
  <si>
    <t>25-Feb-2023</t>
  </si>
  <si>
    <t>EMP0666</t>
  </si>
  <si>
    <t>24-Aug-2020</t>
  </si>
  <si>
    <t>EMP0667</t>
  </si>
  <si>
    <t>26-Jun-2024</t>
  </si>
  <si>
    <t>EMP0668</t>
  </si>
  <si>
    <t>28-May-2023</t>
  </si>
  <si>
    <t>EMP0669</t>
  </si>
  <si>
    <t>01-Apr-2023</t>
  </si>
  <si>
    <t>EMP0670</t>
  </si>
  <si>
    <t>20-Feb-2023</t>
  </si>
  <si>
    <t>EMP0671</t>
  </si>
  <si>
    <t>09-Jan-2017</t>
  </si>
  <si>
    <t>EMP0672</t>
  </si>
  <si>
    <t>Kavita Mehta</t>
  </si>
  <si>
    <t>18-Oct-2016</t>
  </si>
  <si>
    <t>EMP0673</t>
  </si>
  <si>
    <t>10-May-2026</t>
  </si>
  <si>
    <t>EMP0674</t>
  </si>
  <si>
    <t>19-Jan-2018</t>
  </si>
  <si>
    <t>EMP0675</t>
  </si>
  <si>
    <t>EMP0676</t>
  </si>
  <si>
    <t>07-May-2022</t>
  </si>
  <si>
    <t>EMP0677</t>
  </si>
  <si>
    <t>17-Feb-2020</t>
  </si>
  <si>
    <t>EMP0678</t>
  </si>
  <si>
    <t>07-May-2018</t>
  </si>
  <si>
    <t>EMP0679</t>
  </si>
  <si>
    <t>23-Jul-2019</t>
  </si>
  <si>
    <t>EMP0680</t>
  </si>
  <si>
    <t>01-Nov-2019</t>
  </si>
  <si>
    <t>EMP0681</t>
  </si>
  <si>
    <t>13-Apr-2020</t>
  </si>
  <si>
    <t>EMP0682</t>
  </si>
  <si>
    <t>01-Dec-2023</t>
  </si>
  <si>
    <t>EMP0683</t>
  </si>
  <si>
    <t>19-Jun-2022</t>
  </si>
  <si>
    <t>EMP0684</t>
  </si>
  <si>
    <t>14-Oct-2021</t>
  </si>
  <si>
    <t>EMP0685</t>
  </si>
  <si>
    <t>10-Aug-2022</t>
  </si>
  <si>
    <t>EMP0686</t>
  </si>
  <si>
    <t>13-Nov-2017</t>
  </si>
  <si>
    <t>EMP0687</t>
  </si>
  <si>
    <t>09-Oct-2024</t>
  </si>
  <si>
    <t>EMP0688</t>
  </si>
  <si>
    <t>27-Feb-2020</t>
  </si>
  <si>
    <t>EMP0689</t>
  </si>
  <si>
    <t>18-Nov-2025</t>
  </si>
  <si>
    <t>EMP0690</t>
  </si>
  <si>
    <t>30-May-2026</t>
  </si>
  <si>
    <t>EMP0691</t>
  </si>
  <si>
    <t>09-Jul-2020</t>
  </si>
  <si>
    <t>EMP0692</t>
  </si>
  <si>
    <t>04-Apr-2022</t>
  </si>
  <si>
    <t>EMP0693</t>
  </si>
  <si>
    <t>15-Apr-2022</t>
  </si>
  <si>
    <t>EMP0694</t>
  </si>
  <si>
    <t>22-Jul-2023</t>
  </si>
  <si>
    <t>EMP0695</t>
  </si>
  <si>
    <t>23-May-2021</t>
  </si>
  <si>
    <t>EMP0696</t>
  </si>
  <si>
    <t>EMP0697</t>
  </si>
  <si>
    <t>EMP0698</t>
  </si>
  <si>
    <t>31-Aug-2022</t>
  </si>
  <si>
    <t>EMP0699</t>
  </si>
  <si>
    <t>17-Sep-2025</t>
  </si>
  <si>
    <t>EMP0700</t>
  </si>
  <si>
    <t>EMP0701</t>
  </si>
  <si>
    <t>17-Apr-2026</t>
  </si>
  <si>
    <t>EMP0702</t>
  </si>
  <si>
    <t>EMP0703</t>
  </si>
  <si>
    <t>25-Oct-2020</t>
  </si>
  <si>
    <t>EMP0704</t>
  </si>
  <si>
    <t>27-Apr-2025</t>
  </si>
  <si>
    <t>EMP0705</t>
  </si>
  <si>
    <t>11-Jan-2018</t>
  </si>
  <si>
    <t>EMP0706</t>
  </si>
  <si>
    <t>EMP0707</t>
  </si>
  <si>
    <t>28-Jun-2015</t>
  </si>
  <si>
    <t>EMP0708</t>
  </si>
  <si>
    <t>15-Oct-2023</t>
  </si>
  <si>
    <t>EMP0709</t>
  </si>
  <si>
    <t>10-Dec-2025</t>
  </si>
  <si>
    <t>EMP0710</t>
  </si>
  <si>
    <t>13-Aug-2025</t>
  </si>
  <si>
    <t>EMP0711</t>
  </si>
  <si>
    <t>11-Jul-2025</t>
  </si>
  <si>
    <t>EMP0712</t>
  </si>
  <si>
    <t>07-May-2024</t>
  </si>
  <si>
    <t>EMP0713</t>
  </si>
  <si>
    <t>23-Nov-2017</t>
  </si>
  <si>
    <t>EMP0714</t>
  </si>
  <si>
    <t>21-Jan-2016</t>
  </si>
  <si>
    <t>EMP0715</t>
  </si>
  <si>
    <t>EMP0716</t>
  </si>
  <si>
    <t>31-Dec-2020</t>
  </si>
  <si>
    <t>EMP0717</t>
  </si>
  <si>
    <t>14-Apr-2017</t>
  </si>
  <si>
    <t>EMP0718</t>
  </si>
  <si>
    <t>25-Nov-2024</t>
  </si>
  <si>
    <t>EMP0719</t>
  </si>
  <si>
    <t>28-Apr-2024</t>
  </si>
  <si>
    <t>EMP0720</t>
  </si>
  <si>
    <t>EMP0721</t>
  </si>
  <si>
    <t>EMP0722</t>
  </si>
  <si>
    <t>25-Sep-2024</t>
  </si>
  <si>
    <t>EMP0723</t>
  </si>
  <si>
    <t>EMP0724</t>
  </si>
  <si>
    <t>EMP0725</t>
  </si>
  <si>
    <t>29-Oct-2017</t>
  </si>
  <si>
    <t>EMP0726</t>
  </si>
  <si>
    <t>11-Jul-2015</t>
  </si>
  <si>
    <t>EMP0727</t>
  </si>
  <si>
    <t>14-May-2023</t>
  </si>
  <si>
    <t>EMP0728</t>
  </si>
  <si>
    <t>EMP0729</t>
  </si>
  <si>
    <t>EMP0730</t>
  </si>
  <si>
    <t>EMP0731</t>
  </si>
  <si>
    <t>13-Jan-2024</t>
  </si>
  <si>
    <t>EMP0732</t>
  </si>
  <si>
    <t>EMP0733</t>
  </si>
  <si>
    <t>EMP0734</t>
  </si>
  <si>
    <t>Anjali Patel</t>
  </si>
  <si>
    <t>30-Jun-2021</t>
  </si>
  <si>
    <t>EMP0735</t>
  </si>
  <si>
    <t>10-Mar-2018</t>
  </si>
  <si>
    <t>EMP0736</t>
  </si>
  <si>
    <t>27-Oct-2022</t>
  </si>
  <si>
    <t>EMP0737</t>
  </si>
  <si>
    <t>EMP0738</t>
  </si>
  <si>
    <t>08-Sep-2023</t>
  </si>
  <si>
    <t>EMP0739</t>
  </si>
  <si>
    <t>05-Dec-2021</t>
  </si>
  <si>
    <t>EMP0740</t>
  </si>
  <si>
    <t>10-Apr-2026</t>
  </si>
  <si>
    <t>EMP0741</t>
  </si>
  <si>
    <t>18-Dec-2024</t>
  </si>
  <si>
    <t>EMP0742</t>
  </si>
  <si>
    <t>18-Jan-2019</t>
  </si>
  <si>
    <t>EMP0743</t>
  </si>
  <si>
    <t>26-May-2021</t>
  </si>
  <si>
    <t>EMP0744</t>
  </si>
  <si>
    <t>26-Jan-2019</t>
  </si>
  <si>
    <t>EMP0745</t>
  </si>
  <si>
    <t>17-Sep-2017</t>
  </si>
  <si>
    <t>EMP0746</t>
  </si>
  <si>
    <t>15-Jan-2021</t>
  </si>
  <si>
    <t>EMP0747</t>
  </si>
  <si>
    <t>11-Apr-2017</t>
  </si>
  <si>
    <t>EMP0748</t>
  </si>
  <si>
    <t>25-Jul-2019</t>
  </si>
  <si>
    <t>EMP0749</t>
  </si>
  <si>
    <t>03-Jun-2025</t>
  </si>
  <si>
    <t>EMP0750</t>
  </si>
  <si>
    <t>18-Nov-2022</t>
  </si>
  <si>
    <t>EMP0751</t>
  </si>
  <si>
    <t>13-Nov-2023</t>
  </si>
  <si>
    <t>EMP0752</t>
  </si>
  <si>
    <t>11-Nov-2020</t>
  </si>
  <si>
    <t>EMP0753</t>
  </si>
  <si>
    <t>11-May-2015</t>
  </si>
  <si>
    <t>EMP0754</t>
  </si>
  <si>
    <t>19-Dec-2025</t>
  </si>
  <si>
    <t>EMP0755</t>
  </si>
  <si>
    <t>11-Jan-2023</t>
  </si>
  <si>
    <t>EMP0756</t>
  </si>
  <si>
    <t>Anjali Gupta</t>
  </si>
  <si>
    <t>12-Jun-2015</t>
  </si>
  <si>
    <t>EMP0757</t>
  </si>
  <si>
    <t>29-Oct-2015</t>
  </si>
  <si>
    <t>EMP0758</t>
  </si>
  <si>
    <t>22-Mar-2026</t>
  </si>
  <si>
    <t>EMP0759</t>
  </si>
  <si>
    <t>EMP0760</t>
  </si>
  <si>
    <t>07-Mar-2025</t>
  </si>
  <si>
    <t>EMP0761</t>
  </si>
  <si>
    <t>19-Jun-2025</t>
  </si>
  <si>
    <t>EMP0762</t>
  </si>
  <si>
    <t>12-Feb-2015</t>
  </si>
  <si>
    <t>EMP0763</t>
  </si>
  <si>
    <t>EMP0764</t>
  </si>
  <si>
    <t>EMP0765</t>
  </si>
  <si>
    <t>19-Oct-2017</t>
  </si>
  <si>
    <t>EMP0766</t>
  </si>
  <si>
    <t>05-Oct-2021</t>
  </si>
  <si>
    <t>EMP0767</t>
  </si>
  <si>
    <t>21-Mar-2024</t>
  </si>
  <si>
    <t>EMP0768</t>
  </si>
  <si>
    <t>14-Aug-2022</t>
  </si>
  <si>
    <t>EMP0769</t>
  </si>
  <si>
    <t>EMP0770</t>
  </si>
  <si>
    <t>04-Mar-2019</t>
  </si>
  <si>
    <t>EMP0771</t>
  </si>
  <si>
    <t>EMP0772</t>
  </si>
  <si>
    <t>17-May-2026</t>
  </si>
  <si>
    <t>EMP0773</t>
  </si>
  <si>
    <t>01-Apr-2019</t>
  </si>
  <si>
    <t>EMP0774</t>
  </si>
  <si>
    <t>22-Aug-2018</t>
  </si>
  <si>
    <t>EMP0775</t>
  </si>
  <si>
    <t>12-May-2020</t>
  </si>
  <si>
    <t>EMP0776</t>
  </si>
  <si>
    <t>27-Aug-2016</t>
  </si>
  <si>
    <t>EMP0777</t>
  </si>
  <si>
    <t>20-Jun-2019</t>
  </si>
  <si>
    <t>EMP0778</t>
  </si>
  <si>
    <t>14-Nov-2020</t>
  </si>
  <si>
    <t>EMP0779</t>
  </si>
  <si>
    <t>17-Apr-2023</t>
  </si>
  <si>
    <t>EMP0780</t>
  </si>
  <si>
    <t>20-Apr-2019</t>
  </si>
  <si>
    <t>EMP0781</t>
  </si>
  <si>
    <t>02-May-2018</t>
  </si>
  <si>
    <t>EMP0782</t>
  </si>
  <si>
    <t>Deepak Yadav</t>
  </si>
  <si>
    <t>03-Oct-2018</t>
  </si>
  <si>
    <t>EMP0783</t>
  </si>
  <si>
    <t>03-Nov-2025</t>
  </si>
  <si>
    <t>EMP0784</t>
  </si>
  <si>
    <t>04-Apr-2020</t>
  </si>
  <si>
    <t>EMP0785</t>
  </si>
  <si>
    <t>19-Nov-2016</t>
  </si>
  <si>
    <t>EMP0786</t>
  </si>
  <si>
    <t>27-Jun-2025</t>
  </si>
  <si>
    <t>EMP0787</t>
  </si>
  <si>
    <t>15-Dec-2020</t>
  </si>
  <si>
    <t>EMP0788</t>
  </si>
  <si>
    <t>07-Aug-2016</t>
  </si>
  <si>
    <t>EMP0789</t>
  </si>
  <si>
    <t>03-Feb-2018</t>
  </si>
  <si>
    <t>EMP0790</t>
  </si>
  <si>
    <t>EMP0791</t>
  </si>
  <si>
    <t>EMP0792</t>
  </si>
  <si>
    <t>04-Sep-2015</t>
  </si>
  <si>
    <t>EMP0793</t>
  </si>
  <si>
    <t>EMP0794</t>
  </si>
  <si>
    <t>29-May-2022</t>
  </si>
  <si>
    <t>EMP0795</t>
  </si>
  <si>
    <t>01-Sep-2023</t>
  </si>
  <si>
    <t>EMP0796</t>
  </si>
  <si>
    <t>26-Dec-2018</t>
  </si>
  <si>
    <t>EMP0797</t>
  </si>
  <si>
    <t>24-Mar-2020</t>
  </si>
  <si>
    <t>EMP0798</t>
  </si>
  <si>
    <t>10-Jul-2018</t>
  </si>
  <si>
    <t>EMP0799</t>
  </si>
  <si>
    <t>10-Sep-2024</t>
  </si>
  <si>
    <t>EMP0800</t>
  </si>
  <si>
    <t>06-Mar-2021</t>
  </si>
  <si>
    <t>EMP0801</t>
  </si>
  <si>
    <t>EMP0802</t>
  </si>
  <si>
    <t>23-Apr-2024</t>
  </si>
  <si>
    <t>EMP0803</t>
  </si>
  <si>
    <t>17-May-2020</t>
  </si>
  <si>
    <t>EMP0804</t>
  </si>
  <si>
    <t>09-Apr-2023</t>
  </si>
  <si>
    <t>EMP0805</t>
  </si>
  <si>
    <t>14-May-2025</t>
  </si>
  <si>
    <t>EMP0806</t>
  </si>
  <si>
    <t>14-Aug-2020</t>
  </si>
  <si>
    <t>EMP0807</t>
  </si>
  <si>
    <t>25-Oct-2024</t>
  </si>
  <si>
    <t>EMP0808</t>
  </si>
  <si>
    <t>07-Oct-2023</t>
  </si>
  <si>
    <t>EMP0809</t>
  </si>
  <si>
    <t>06-Nov-2019</t>
  </si>
  <si>
    <t>EMP0810</t>
  </si>
  <si>
    <t>03-Feb-2016</t>
  </si>
  <si>
    <t>EMP0811</t>
  </si>
  <si>
    <t>30-Apr-2015</t>
  </si>
  <si>
    <t>EMP0812</t>
  </si>
  <si>
    <t>01-Jun-2017</t>
  </si>
  <si>
    <t>EMP0813</t>
  </si>
  <si>
    <t>17-May-2017</t>
  </si>
  <si>
    <t>EMP0814</t>
  </si>
  <si>
    <t>EMP0815</t>
  </si>
  <si>
    <t>05-Nov-2018</t>
  </si>
  <si>
    <t>EMP0816</t>
  </si>
  <si>
    <t>07-Jul-2016</t>
  </si>
  <si>
    <t>EMP0817</t>
  </si>
  <si>
    <t>13-Oct-2017</t>
  </si>
  <si>
    <t>EMP0818</t>
  </si>
  <si>
    <t>13-Jul-2019</t>
  </si>
  <si>
    <t>EMP0819</t>
  </si>
  <si>
    <t>21-Nov-2015</t>
  </si>
  <si>
    <t>EMP0820</t>
  </si>
  <si>
    <t>18-Mar-2016</t>
  </si>
  <si>
    <t>EMP0821</t>
  </si>
  <si>
    <t>19-Feb-2015</t>
  </si>
  <si>
    <t>EMP0822</t>
  </si>
  <si>
    <t>02-Aug-2019</t>
  </si>
  <si>
    <t>EMP0823</t>
  </si>
  <si>
    <t>01-Aug-2020</t>
  </si>
  <si>
    <t>EMP0824</t>
  </si>
  <si>
    <t>23-Jul-2025</t>
  </si>
  <si>
    <t>EMP0825</t>
  </si>
  <si>
    <t>05-Jun-2018</t>
  </si>
  <si>
    <t>EMP0826</t>
  </si>
  <si>
    <t>14-Oct-2025</t>
  </si>
  <si>
    <t>EMP0827</t>
  </si>
  <si>
    <t>08-Jan-2026</t>
  </si>
  <si>
    <t>EMP0828</t>
  </si>
  <si>
    <t>16-Oct-2017</t>
  </si>
  <si>
    <t>EMP0829</t>
  </si>
  <si>
    <t>17-Apr-2016</t>
  </si>
  <si>
    <t>EMP0830</t>
  </si>
  <si>
    <t>10-Nov-2020</t>
  </si>
  <si>
    <t>EMP0831</t>
  </si>
  <si>
    <t>02-Dec-2023</t>
  </si>
  <si>
    <t>EMP0832</t>
  </si>
  <si>
    <t>25-Mar-2026</t>
  </si>
  <si>
    <t>EMP0833</t>
  </si>
  <si>
    <t>22-Sep-2022</t>
  </si>
  <si>
    <t>EMP0834</t>
  </si>
  <si>
    <t>26-Jul-2016</t>
  </si>
  <si>
    <t>EMP0835</t>
  </si>
  <si>
    <t>11-Jun-2019</t>
  </si>
  <si>
    <t>EMP0836</t>
  </si>
  <si>
    <t>21-Apr-2019</t>
  </si>
  <si>
    <t>EMP0837</t>
  </si>
  <si>
    <t>22-Jun-2023</t>
  </si>
  <si>
    <t>EMP0838</t>
  </si>
  <si>
    <t>19-Dec-2020</t>
  </si>
  <si>
    <t>EMP0839</t>
  </si>
  <si>
    <t>17-Dec-2020</t>
  </si>
  <si>
    <t>EMP0840</t>
  </si>
  <si>
    <t>07-Feb-2023</t>
  </si>
  <si>
    <t>EMP0841</t>
  </si>
  <si>
    <t>11-Feb-2018</t>
  </si>
  <si>
    <t>EMP0842</t>
  </si>
  <si>
    <t>20-Mar-2019</t>
  </si>
  <si>
    <t>EMP0843</t>
  </si>
  <si>
    <t>13-Nov-2025</t>
  </si>
  <si>
    <t>EMP0844</t>
  </si>
  <si>
    <t>18-May-2019</t>
  </si>
  <si>
    <t>EMP0845</t>
  </si>
  <si>
    <t>21-Jun-2025</t>
  </si>
  <si>
    <t>EMP0846</t>
  </si>
  <si>
    <t>14-May-2017</t>
  </si>
  <si>
    <t>EMP0847</t>
  </si>
  <si>
    <t>05-Oct-2017</t>
  </si>
  <si>
    <t>EMP0848</t>
  </si>
  <si>
    <t>16-Jun-2023</t>
  </si>
  <si>
    <t>EMP0849</t>
  </si>
  <si>
    <t>19-Dec-2016</t>
  </si>
  <si>
    <t>EMP0850</t>
  </si>
  <si>
    <t>14-Jan-2015</t>
  </si>
  <si>
    <t>EMP0851</t>
  </si>
  <si>
    <t>EMP0852</t>
  </si>
  <si>
    <t>22-Apr-2018</t>
  </si>
  <si>
    <t>EMP0853</t>
  </si>
  <si>
    <t>23-Sep-2025</t>
  </si>
  <si>
    <t>EMP0854</t>
  </si>
  <si>
    <t>06-Mar-2016</t>
  </si>
  <si>
    <t>EMP0855</t>
  </si>
  <si>
    <t>22-Jun-2024</t>
  </si>
  <si>
    <t>EMP0856</t>
  </si>
  <si>
    <t>EMP0857</t>
  </si>
  <si>
    <t>12-Jul-2021</t>
  </si>
  <si>
    <t>EMP0858</t>
  </si>
  <si>
    <t>06-Apr-2016</t>
  </si>
  <si>
    <t>EMP0859</t>
  </si>
  <si>
    <t>30-Jun-2020</t>
  </si>
  <si>
    <t>EMP0860</t>
  </si>
  <si>
    <t>04-Mar-2021</t>
  </si>
  <si>
    <t>EMP0861</t>
  </si>
  <si>
    <t>EMP0862</t>
  </si>
  <si>
    <t>22-Sep-2024</t>
  </si>
  <si>
    <t>EMP0863</t>
  </si>
  <si>
    <t>16-Dec-2025</t>
  </si>
  <si>
    <t>EMP0864</t>
  </si>
  <si>
    <t>11-Jan-2025</t>
  </si>
  <si>
    <t>EMP0865</t>
  </si>
  <si>
    <t>24-Nov-2016</t>
  </si>
  <si>
    <t>EMP0866</t>
  </si>
  <si>
    <t>31-Jul-2021</t>
  </si>
  <si>
    <t>EMP0867</t>
  </si>
  <si>
    <t>22-Mar-2017</t>
  </si>
  <si>
    <t>EMP0868</t>
  </si>
  <si>
    <t>05-Nov-2019</t>
  </si>
  <si>
    <t>EMP0869</t>
  </si>
  <si>
    <t>22-Dec-2023</t>
  </si>
  <si>
    <t>EMP0870</t>
  </si>
  <si>
    <t>07-May-2023</t>
  </si>
  <si>
    <t>EMP0871</t>
  </si>
  <si>
    <t>01-Aug-2015</t>
  </si>
  <si>
    <t>EMP0872</t>
  </si>
  <si>
    <t>29-Dec-2016</t>
  </si>
  <si>
    <t>EMP0873</t>
  </si>
  <si>
    <t>EMP0874</t>
  </si>
  <si>
    <t>29-Oct-2022</t>
  </si>
  <si>
    <t>EMP0875</t>
  </si>
  <si>
    <t>Sonia Jain</t>
  </si>
  <si>
    <t>20-Jan-2019</t>
  </si>
  <si>
    <t>EMP0876</t>
  </si>
  <si>
    <t>27-Jun-2018</t>
  </si>
  <si>
    <t>EMP0877</t>
  </si>
  <si>
    <t>08-Feb-2019</t>
  </si>
  <si>
    <t>EMP0878</t>
  </si>
  <si>
    <t>05-Nov-2021</t>
  </si>
  <si>
    <t>EMP0879</t>
  </si>
  <si>
    <t>06-Feb-2017</t>
  </si>
  <si>
    <t>EMP0880</t>
  </si>
  <si>
    <t>EMP0881</t>
  </si>
  <si>
    <t>13-Jul-2024</t>
  </si>
  <si>
    <t>EMP0882</t>
  </si>
  <si>
    <t>18-Jan-2020</t>
  </si>
  <si>
    <t>EMP0883</t>
  </si>
  <si>
    <t>EMP0884</t>
  </si>
  <si>
    <t>12-Oct-2019</t>
  </si>
  <si>
    <t>EMP0885</t>
  </si>
  <si>
    <t>18-Feb-2015</t>
  </si>
  <si>
    <t>EMP0886</t>
  </si>
  <si>
    <t>10-Apr-2017</t>
  </si>
  <si>
    <t>EMP0887</t>
  </si>
  <si>
    <t>11-Aug-2020</t>
  </si>
  <si>
    <t>EMP0888</t>
  </si>
  <si>
    <t>08-Nov-2024</t>
  </si>
  <si>
    <t>EMP0889</t>
  </si>
  <si>
    <t>31-Dec-2017</t>
  </si>
  <si>
    <t>EMP0890</t>
  </si>
  <si>
    <t>11-Feb-2026</t>
  </si>
  <si>
    <t>EMP0891</t>
  </si>
  <si>
    <t>30-Oct-2017</t>
  </si>
  <si>
    <t>EMP0892</t>
  </si>
  <si>
    <t>29-Jun-2021</t>
  </si>
  <si>
    <t>EMP0893</t>
  </si>
  <si>
    <t>31-Jul-2017</t>
  </si>
  <si>
    <t>EMP0894</t>
  </si>
  <si>
    <t>26-Mar-2019</t>
  </si>
  <si>
    <t>EMP0895</t>
  </si>
  <si>
    <t>12-Apr-2018</t>
  </si>
  <si>
    <t>EMP0896</t>
  </si>
  <si>
    <t>22-Dec-2019</t>
  </si>
  <si>
    <t>EMP0897</t>
  </si>
  <si>
    <t>15-Nov-2022</t>
  </si>
  <si>
    <t>EMP0898</t>
  </si>
  <si>
    <t>03-Aug-2025</t>
  </si>
  <si>
    <t>EMP0899</t>
  </si>
  <si>
    <t>04-Mar-2017</t>
  </si>
  <si>
    <t>EMP0900</t>
  </si>
  <si>
    <t>EMP0901</t>
  </si>
  <si>
    <t>10-Apr-2019</t>
  </si>
  <si>
    <t>EMP0902</t>
  </si>
  <si>
    <t>12-Jun-2018</t>
  </si>
  <si>
    <t>EMP0903</t>
  </si>
  <si>
    <t>EMP0904</t>
  </si>
  <si>
    <t>13-May-2016</t>
  </si>
  <si>
    <t>EMP0905</t>
  </si>
  <si>
    <t>02-Oct-2023</t>
  </si>
  <si>
    <t>EMP0906</t>
  </si>
  <si>
    <t>EMP0907</t>
  </si>
  <si>
    <t>09-Jan-2016</t>
  </si>
  <si>
    <t>EMP0908</t>
  </si>
  <si>
    <t>09-Aug-2017</t>
  </si>
  <si>
    <t>EMP0909</t>
  </si>
  <si>
    <t>28-Feb-2024</t>
  </si>
  <si>
    <t>EMP0910</t>
  </si>
  <si>
    <t>21-May-2017</t>
  </si>
  <si>
    <t>EMP0911</t>
  </si>
  <si>
    <t>29-Jul-2019</t>
  </si>
  <si>
    <t>EMP0912</t>
  </si>
  <si>
    <t>EMP0913</t>
  </si>
  <si>
    <t>27-Aug-2018</t>
  </si>
  <si>
    <t>EMP0914</t>
  </si>
  <si>
    <t>11-Jan-2024</t>
  </si>
  <si>
    <t>EMP0915</t>
  </si>
  <si>
    <t>25-Dec-2015</t>
  </si>
  <si>
    <t>EMP0916</t>
  </si>
  <si>
    <t>27-Nov-2016</t>
  </si>
  <si>
    <t>EMP0917</t>
  </si>
  <si>
    <t>02-Apr-2016</t>
  </si>
  <si>
    <t>EMP0918</t>
  </si>
  <si>
    <t>22-Jun-2026</t>
  </si>
  <si>
    <t>EMP0919</t>
  </si>
  <si>
    <t>07-Jun-2021</t>
  </si>
  <si>
    <t>EMP0920</t>
  </si>
  <si>
    <t>EMP0921</t>
  </si>
  <si>
    <t>EMP0922</t>
  </si>
  <si>
    <t>14-Dec-2020</t>
  </si>
  <si>
    <t>EMP0923</t>
  </si>
  <si>
    <t>24-Sep-2025</t>
  </si>
  <si>
    <t>EMP0924</t>
  </si>
  <si>
    <t>28-Nov-2022</t>
  </si>
  <si>
    <t>EMP0925</t>
  </si>
  <si>
    <t>24-Feb-2026</t>
  </si>
  <si>
    <t>EMP0926</t>
  </si>
  <si>
    <t>EMP0927</t>
  </si>
  <si>
    <t>03-May-2016</t>
  </si>
  <si>
    <t>EMP0928</t>
  </si>
  <si>
    <t>14-Jan-2020</t>
  </si>
  <si>
    <t>EMP0929</t>
  </si>
  <si>
    <t>EMP0930</t>
  </si>
  <si>
    <t>13-Apr-2015</t>
  </si>
  <si>
    <t>EMP0931</t>
  </si>
  <si>
    <t>26-Jul-2022</t>
  </si>
  <si>
    <t>EMP0932</t>
  </si>
  <si>
    <t>15-Apr-2026</t>
  </si>
  <si>
    <t>EMP0933</t>
  </si>
  <si>
    <t>02-Jul-2024</t>
  </si>
  <si>
    <t>EMP0934</t>
  </si>
  <si>
    <t>29-Nov-2019</t>
  </si>
  <si>
    <t>EMP0935</t>
  </si>
  <si>
    <t>14-Jul-2023</t>
  </si>
  <si>
    <t>EMP0936</t>
  </si>
  <si>
    <t>11-Jul-2022</t>
  </si>
  <si>
    <t>EMP0937</t>
  </si>
  <si>
    <t>11-Jul-2019</t>
  </si>
  <si>
    <t>EMP0938</t>
  </si>
  <si>
    <t>21-Jan-2022</t>
  </si>
  <si>
    <t>EMP0939</t>
  </si>
  <si>
    <t>27-Nov-2017</t>
  </si>
  <si>
    <t>EMP0940</t>
  </si>
  <si>
    <t>03-Nov-2015</t>
  </si>
  <si>
    <t>EMP0941</t>
  </si>
  <si>
    <t>02-Apr-2026</t>
  </si>
  <si>
    <t>EMP0942</t>
  </si>
  <si>
    <t>24-Nov-2015</t>
  </si>
  <si>
    <t>EMP0943</t>
  </si>
  <si>
    <t>14-Mar-2018</t>
  </si>
  <si>
    <t>EMP0944</t>
  </si>
  <si>
    <t>12-Jul-2016</t>
  </si>
  <si>
    <t>EMP0945</t>
  </si>
  <si>
    <t>EMP0946</t>
  </si>
  <si>
    <t>20-Nov-2024</t>
  </si>
  <si>
    <t>EMP0947</t>
  </si>
  <si>
    <t>12-Apr-2016</t>
  </si>
  <si>
    <t>EMP0948</t>
  </si>
  <si>
    <t>15-Dec-2023</t>
  </si>
  <si>
    <t>EMP0949</t>
  </si>
  <si>
    <t>04-Dec-2016</t>
  </si>
  <si>
    <t>EMP0950</t>
  </si>
  <si>
    <t>27-Nov-2025</t>
  </si>
  <si>
    <t>EMP0951</t>
  </si>
  <si>
    <t>15-Oct-2019</t>
  </si>
  <si>
    <t>EMP0952</t>
  </si>
  <si>
    <t>29-Sep-2019</t>
  </si>
  <si>
    <t>EMP0953</t>
  </si>
  <si>
    <t>01-Feb-2024</t>
  </si>
  <si>
    <t>EMP0954</t>
  </si>
  <si>
    <t>11-Aug-2024</t>
  </si>
  <si>
    <t>EMP0955</t>
  </si>
  <si>
    <t>18-Oct-2024</t>
  </si>
  <si>
    <t>EMP0956</t>
  </si>
  <si>
    <t>27-Apr-2015</t>
  </si>
  <si>
    <t>EMP0957</t>
  </si>
  <si>
    <t>EMP0958</t>
  </si>
  <si>
    <t>22-Sep-2018</t>
  </si>
  <si>
    <t>EMP0959</t>
  </si>
  <si>
    <t>19-Nov-2021</t>
  </si>
  <si>
    <t>EMP0960</t>
  </si>
  <si>
    <t>14-Jul-2022</t>
  </si>
  <si>
    <t>EMP0961</t>
  </si>
  <si>
    <t>23-Oct-2024</t>
  </si>
  <si>
    <t>EMP0962</t>
  </si>
  <si>
    <t>27-Mar-2017</t>
  </si>
  <si>
    <t>EMP0963</t>
  </si>
  <si>
    <t>26-Jul-2017</t>
  </si>
  <si>
    <t>EMP0964</t>
  </si>
  <si>
    <t>20-May-2026</t>
  </si>
  <si>
    <t>EMP0965</t>
  </si>
  <si>
    <t>04-Aug-2015</t>
  </si>
  <si>
    <t>EMP0966</t>
  </si>
  <si>
    <t>12-Oct-2023</t>
  </si>
  <si>
    <t>EMP0967</t>
  </si>
  <si>
    <t>21-Jul-2018</t>
  </si>
  <si>
    <t>EMP0968</t>
  </si>
  <si>
    <t>28-Jul-2019</t>
  </si>
  <si>
    <t>EMP0969</t>
  </si>
  <si>
    <t>30-Jul-2023</t>
  </si>
  <si>
    <t>EMP0970</t>
  </si>
  <si>
    <t>02-Jul-2020</t>
  </si>
  <si>
    <t>EMP0971</t>
  </si>
  <si>
    <t>EMP0972</t>
  </si>
  <si>
    <t>31-Jan-2026</t>
  </si>
  <si>
    <t>EMP0973</t>
  </si>
  <si>
    <t>17-Sep-2016</t>
  </si>
  <si>
    <t>EMP0974</t>
  </si>
  <si>
    <t>15-Sep-2015</t>
  </si>
  <si>
    <t>EMP0975</t>
  </si>
  <si>
    <t>23-Sep-2017</t>
  </si>
  <si>
    <t>EMP0976</t>
  </si>
  <si>
    <t>30-Aug-2015</t>
  </si>
  <si>
    <t>EMP0977</t>
  </si>
  <si>
    <t>08-Aug-2021</t>
  </si>
  <si>
    <t>EMP0978</t>
  </si>
  <si>
    <t>24-Oct-2023</t>
  </si>
  <si>
    <t>EMP0979</t>
  </si>
  <si>
    <t>03-Feb-2021</t>
  </si>
  <si>
    <t>EMP0980</t>
  </si>
  <si>
    <t>29-Jan-2025</t>
  </si>
  <si>
    <t>EMP0981</t>
  </si>
  <si>
    <t>03-Sep-2015</t>
  </si>
  <si>
    <t>EMP0982</t>
  </si>
  <si>
    <t>06-May-2023</t>
  </si>
  <si>
    <t>EMP0983</t>
  </si>
  <si>
    <t>EMP0984</t>
  </si>
  <si>
    <t>EMP0985</t>
  </si>
  <si>
    <t>19-Jan-2016</t>
  </si>
  <si>
    <t>EMP0986</t>
  </si>
  <si>
    <t>24-Jun-2015</t>
  </si>
  <si>
    <t>EMP0987</t>
  </si>
  <si>
    <t>17-Nov-2015</t>
  </si>
  <si>
    <t>EMP0988</t>
  </si>
  <si>
    <t>15-Oct-2016</t>
  </si>
  <si>
    <t>EMP0989</t>
  </si>
  <si>
    <t>22-May-2023</t>
  </si>
  <si>
    <t>EMP0990</t>
  </si>
  <si>
    <t>29-Jan-2020</t>
  </si>
  <si>
    <t>EMP0991</t>
  </si>
  <si>
    <t>28-Oct-2021</t>
  </si>
  <si>
    <t>EMP0992</t>
  </si>
  <si>
    <t>28-Feb-2022</t>
  </si>
  <si>
    <t>EMP0993</t>
  </si>
  <si>
    <t>17-Apr-2021</t>
  </si>
  <si>
    <t>EMP0994</t>
  </si>
  <si>
    <t>14-Aug-2019</t>
  </si>
  <si>
    <t>EMP0995</t>
  </si>
  <si>
    <t>08-Dec-2025</t>
  </si>
  <si>
    <t>EMP0996</t>
  </si>
  <si>
    <t>25-Apr-2026</t>
  </si>
  <si>
    <t>EMP0997</t>
  </si>
  <si>
    <t>EMP0998</t>
  </si>
  <si>
    <t>03-May-2025</t>
  </si>
  <si>
    <t>EMP0999</t>
  </si>
  <si>
    <t>04-Sep-2024</t>
  </si>
  <si>
    <t>EMP1000</t>
  </si>
  <si>
    <t>07-Feb-2016</t>
  </si>
  <si>
    <t>Department-wise Employees</t>
  </si>
  <si>
    <t>Average of Salary</t>
  </si>
  <si>
    <t>Count of Employee ID</t>
  </si>
  <si>
    <t>Total Result</t>
  </si>
  <si>
    <t>0-2 Years</t>
  </si>
  <si>
    <t>High</t>
  </si>
  <si>
    <t>10+ Years</t>
  </si>
  <si>
    <t>Low</t>
  </si>
  <si>
    <t>2-5 Years</t>
  </si>
  <si>
    <t>Medium</t>
  </si>
  <si>
    <t>5-10 Years</t>
  </si>
  <si>
    <t>Very High</t>
  </si>
  <si>
    <t>18-24</t>
  </si>
  <si>
    <t>25-34</t>
  </si>
  <si>
    <t>35-44</t>
  </si>
  <si>
    <t>45+</t>
  </si>
  <si>
    <t>🧭  HR ANALYTICS DASHBOARD</t>
  </si>
  <si>
    <t>KEY WORKFORCE METRICS</t>
  </si>
  <si>
    <t>🎛 FILTERS</t>
  </si>
  <si>
    <t>👥 TOTAL EMPLOYEES</t>
  </si>
  <si>
    <t>✅ ACTIVE EMPLOYEES</t>
  </si>
  <si>
    <t>💰 TOTAL PAYROLL</t>
  </si>
  <si>
    <t>📊 AVERAGE SALARY</t>
  </si>
  <si>
    <t>⏳ AVG EXPERIENCE</t>
  </si>
  <si>
    <t>📉 ATTRITION RATE</t>
  </si>
  <si>
    <t>All</t>
  </si>
  <si>
    <t>EXECUTIVE SUMMARY</t>
  </si>
  <si>
    <t>📅 JOINING TIMELINE</t>
  </si>
  <si>
    <t>🏆 TOP PERFORMER</t>
  </si>
  <si>
    <t>💵 HIGHEST SALARY</t>
  </si>
  <si>
    <t>⚠️ HIGHEST ATTRITION</t>
  </si>
  <si>
    <t>🚹 MALE EMPLOYEES</t>
  </si>
  <si>
    <t>🚺 FEMALE EMPLOYEES</t>
  </si>
  <si>
    <t>💡 BUSINESS INSIGHTS</t>
  </si>
  <si>
    <t>📊 WORKFORCE ANALYTICS</t>
  </si>
  <si>
    <t>AttritionRate</t>
  </si>
  <si>
    <t>Highest Attrition Department</t>
  </si>
  <si>
    <t>Highest Attrition Rate</t>
  </si>
  <si>
    <t>Top Performer Max Salary</t>
  </si>
  <si>
    <t>Top Performer Name</t>
  </si>
  <si>
    <t>Total Payroll</t>
  </si>
  <si>
    <t>Active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</si>
</sst>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,,\M"/>
    <numFmt numFmtId="165" formatCode="\₹#,##0"/>
    <numFmt numFmtId="166" formatCode="0.0&quot; yrs&quot;"/>
    <numFmt numFmtId="167" formatCode="0.0%"/>
  </numFmts>
  <fonts count="17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26"/>
      <color rgb="FFFFFFFF"/>
      <name val="Segoe UI"/>
      <charset val="1"/>
    </font>
    <font>
      <sz val="11"/>
      <name val="Cambria"/>
      <charset val="1"/>
    </font>
    <font>
      <sz val="12"/>
      <color rgb="FF00D9B5"/>
      <name val="Segoe UI"/>
      <charset val="1"/>
    </font>
    <font>
      <b/>
      <sz val="12"/>
      <color rgb="FF0B1220"/>
      <name val="Segoe UI"/>
      <charset val="1"/>
    </font>
    <font>
      <b/>
      <sz val="11"/>
      <color rgb="FF9FB3C8"/>
      <name val="Segoe UI"/>
      <charset val="1"/>
    </font>
    <font>
      <b/>
      <sz val="10"/>
      <color rgb="FF9FB3C8"/>
      <name val="Segoe UI"/>
      <charset val="1"/>
    </font>
    <font>
      <b/>
      <sz val="12"/>
      <color rgb="FFFFFFFF"/>
      <name val="Segoe UI"/>
      <charset val="1"/>
    </font>
    <font>
      <b/>
      <sz val="22"/>
      <color rgb="FFFFFFFF"/>
      <name val="Segoe UI"/>
      <charset val="1"/>
    </font>
    <font>
      <sz val="9"/>
      <color rgb="FF9FB3C8"/>
      <name val="Segoe UI"/>
      <charset val="1"/>
    </font>
    <font>
      <b/>
      <sz val="9"/>
      <color rgb="FFFFFFFF"/>
      <name val="Segoe UI"/>
      <charset val="1"/>
    </font>
    <font>
      <b/>
      <sz val="16"/>
      <color rgb="FFFFFFFF"/>
      <name val="Segoe UI"/>
      <charset val="1"/>
    </font>
    <font>
      <b/>
      <sz val="20"/>
      <color rgb="FFFFFFFF"/>
      <name val="Segoe UI"/>
      <charset val="1"/>
    </font>
    <font>
      <sz val="13"/>
      <color rgb="FFFFFFFF"/>
      <name val="Segoe UI"/>
      <charset val="1"/>
    </font>
    <font>
      <i/>
      <sz val="9"/>
      <color rgb="FF6E86A6"/>
      <name val="Segoe UI"/>
      <charset val="1"/>
    </font>
    <font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41E33"/>
        <bgColor rgb="FF111A2E"/>
      </patternFill>
    </fill>
    <fill>
      <patternFill patternType="solid">
        <fgColor rgb="FF0B1220"/>
        <bgColor rgb="FF111A2E"/>
      </patternFill>
    </fill>
    <fill>
      <patternFill patternType="solid">
        <fgColor rgb="FF00D9B5"/>
        <bgColor rgb="FF00FFFF"/>
      </patternFill>
    </fill>
    <fill>
      <patternFill patternType="solid">
        <fgColor rgb="FFF2C14E"/>
        <bgColor rgb="FFFFCC00"/>
      </patternFill>
    </fill>
    <fill>
      <patternFill patternType="solid">
        <fgColor rgb="FF111A2E"/>
        <bgColor rgb="FF141E33"/>
      </patternFill>
    </fill>
    <fill>
      <patternFill patternType="solid">
        <fgColor rgb="FF182544"/>
        <bgColor rgb="FF141E33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rgb="FF4F8EF7"/>
      </top>
      <bottom/>
      <diagonal/>
    </border>
    <border>
      <left/>
      <right/>
      <top style="medium">
        <color rgb="FF55E6C1"/>
      </top>
      <bottom/>
      <diagonal/>
    </border>
    <border>
      <left/>
      <right/>
      <top style="medium">
        <color rgb="FFF2C14E"/>
      </top>
      <bottom/>
      <diagonal/>
    </border>
    <border>
      <left/>
      <right/>
      <top style="medium">
        <color rgb="FF00D9B5"/>
      </top>
      <bottom/>
      <diagonal/>
    </border>
    <border>
      <left/>
      <right/>
      <top style="medium">
        <color rgb="FF9D7BFF"/>
      </top>
      <bottom/>
      <diagonal/>
    </border>
    <border>
      <left/>
      <right/>
      <top style="medium">
        <color rgb="FFFF6B6B"/>
      </top>
      <bottom/>
      <diagonal/>
    </border>
  </borders>
  <cellStyleXfs count="7">
    <xf numFmtId="0" fontId="0" fillId="0" borderId="0"/>
    <xf numFmtId="0" fontId="16" fillId="0" borderId="0">
      <alignment horizontal="left"/>
    </xf>
    <xf numFmtId="0" fontId="16" fillId="0" borderId="0"/>
    <xf numFmtId="0" fontId="16" fillId="0" borderId="0"/>
    <xf numFmtId="0" fontId="1" fillId="0" borderId="0"/>
    <xf numFmtId="0" fontId="1" fillId="0" borderId="0">
      <alignment horizontal="left"/>
    </xf>
    <xf numFmtId="0" fontId="16" fillId="0" borderId="0"/>
  </cellStyleXfs>
  <cellXfs count="61">
    <xf numFmtId="0" fontId="0" fillId="0" borderId="0" xfId="0"/>
    <xf numFmtId="164" fontId="9" fillId="2" borderId="0" xfId="0" applyNumberFormat="1" applyFont="1" applyFill="1" applyAlignment="1">
      <alignment horizontal="center" vertical="center"/>
    </xf>
    <xf numFmtId="3" fontId="9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 wrapText="1" inden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16" fillId="0" borderId="1" xfId="3" applyBorder="1"/>
    <xf numFmtId="0" fontId="16" fillId="0" borderId="2" xfId="2" applyBorder="1"/>
    <xf numFmtId="0" fontId="16" fillId="0" borderId="3" xfId="1" applyBorder="1">
      <alignment horizontal="left"/>
    </xf>
    <xf numFmtId="0" fontId="16" fillId="0" borderId="4" xfId="6" applyBorder="1"/>
    <xf numFmtId="0" fontId="16" fillId="0" borderId="5" xfId="1" applyBorder="1">
      <alignment horizontal="left"/>
    </xf>
    <xf numFmtId="0" fontId="16" fillId="0" borderId="6" xfId="6" applyBorder="1"/>
    <xf numFmtId="0" fontId="16" fillId="0" borderId="7" xfId="6" applyBorder="1"/>
    <xf numFmtId="0" fontId="1" fillId="0" borderId="8" xfId="5" applyBorder="1">
      <alignment horizontal="left"/>
    </xf>
    <xf numFmtId="0" fontId="1" fillId="0" borderId="9" xfId="4" applyBorder="1"/>
    <xf numFmtId="0" fontId="16" fillId="0" borderId="10" xfId="2" applyBorder="1"/>
    <xf numFmtId="0" fontId="16" fillId="0" borderId="11" xfId="3" applyBorder="1"/>
    <xf numFmtId="0" fontId="16" fillId="0" borderId="12" xfId="2" applyBorder="1"/>
    <xf numFmtId="0" fontId="16" fillId="0" borderId="13" xfId="2" applyBorder="1"/>
    <xf numFmtId="0" fontId="16" fillId="0" borderId="14" xfId="3" applyBorder="1"/>
    <xf numFmtId="0" fontId="16" fillId="0" borderId="15" xfId="1" applyBorder="1">
      <alignment horizontal="left"/>
    </xf>
    <xf numFmtId="0" fontId="16" fillId="0" borderId="16" xfId="1" applyBorder="1">
      <alignment horizontal="left"/>
    </xf>
    <xf numFmtId="0" fontId="1" fillId="0" borderId="17" xfId="5" applyBorder="1">
      <alignment horizontal="left"/>
    </xf>
    <xf numFmtId="0" fontId="16" fillId="0" borderId="18" xfId="6" applyBorder="1"/>
    <xf numFmtId="0" fontId="16" fillId="0" borderId="19" xfId="6" applyBorder="1"/>
    <xf numFmtId="0" fontId="1" fillId="0" borderId="4" xfId="4" applyBorder="1"/>
    <xf numFmtId="0" fontId="16" fillId="0" borderId="20" xfId="6" applyBorder="1"/>
    <xf numFmtId="0" fontId="16" fillId="0" borderId="21" xfId="6" applyBorder="1"/>
    <xf numFmtId="0" fontId="1" fillId="0" borderId="6" xfId="4" applyBorder="1"/>
    <xf numFmtId="0" fontId="16" fillId="0" borderId="15" xfId="6" applyBorder="1"/>
    <xf numFmtId="0" fontId="16" fillId="0" borderId="22" xfId="6" applyBorder="1"/>
    <xf numFmtId="0" fontId="1" fillId="0" borderId="7" xfId="4" applyBorder="1"/>
    <xf numFmtId="0" fontId="1" fillId="0" borderId="23" xfId="4" applyBorder="1"/>
    <xf numFmtId="0" fontId="1" fillId="0" borderId="24" xfId="4" applyBorder="1"/>
    <xf numFmtId="0" fontId="3" fillId="0" borderId="0" xfId="0" applyFont="1"/>
    <xf numFmtId="0" fontId="3" fillId="3" borderId="0" xfId="0" applyFont="1" applyFill="1"/>
    <xf numFmtId="165" fontId="9" fillId="2" borderId="0" xfId="0" applyNumberFormat="1" applyFont="1" applyFill="1" applyAlignment="1">
      <alignment horizontal="center" vertical="center"/>
    </xf>
    <xf numFmtId="166" fontId="9" fillId="2" borderId="0" xfId="0" applyNumberFormat="1" applyFont="1" applyFill="1" applyAlignment="1">
      <alignment horizontal="center" vertical="center"/>
    </xf>
    <xf numFmtId="167" fontId="9" fillId="2" borderId="0" xfId="0" applyNumberFormat="1" applyFont="1" applyFill="1" applyAlignment="1">
      <alignment horizontal="center" vertical="center"/>
    </xf>
    <xf numFmtId="0" fontId="6" fillId="7" borderId="27" xfId="0" applyFont="1" applyFill="1" applyBorder="1" applyAlignment="1">
      <alignment horizontal="center" vertical="center" wrapText="1"/>
    </xf>
    <xf numFmtId="0" fontId="6" fillId="7" borderId="28" xfId="0" applyFont="1" applyFill="1" applyBorder="1" applyAlignment="1">
      <alignment horizontal="center" vertical="center" wrapText="1"/>
    </xf>
    <xf numFmtId="0" fontId="6" fillId="7" borderId="30" xfId="0" applyFont="1" applyFill="1" applyBorder="1" applyAlignment="1">
      <alignment horizontal="center" vertical="center" wrapText="1"/>
    </xf>
    <xf numFmtId="0" fontId="6" fillId="7" borderId="25" xfId="0" applyFont="1" applyFill="1" applyBorder="1" applyAlignment="1">
      <alignment horizontal="center" vertical="center" wrapText="1"/>
    </xf>
    <xf numFmtId="0" fontId="6" fillId="7" borderId="29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left" vertical="center" indent="1"/>
    </xf>
    <xf numFmtId="0" fontId="11" fillId="6" borderId="0" xfId="0" applyFont="1" applyFill="1" applyAlignment="1">
      <alignment horizontal="right" vertical="center" indent="1"/>
    </xf>
    <xf numFmtId="49" fontId="12" fillId="7" borderId="0" xfId="0" applyNumberFormat="1" applyFont="1" applyFill="1" applyAlignment="1">
      <alignment horizontal="center" vertical="center" wrapText="1"/>
    </xf>
    <xf numFmtId="165" fontId="13" fillId="7" borderId="0" xfId="0" applyNumberFormat="1" applyFont="1" applyFill="1" applyAlignment="1">
      <alignment horizontal="center" vertical="center" wrapText="1"/>
    </xf>
    <xf numFmtId="3" fontId="13" fillId="7" borderId="0" xfId="0" applyNumberFormat="1" applyFont="1" applyFill="1" applyAlignment="1">
      <alignment horizontal="center" vertical="center" wrapText="1"/>
    </xf>
    <xf numFmtId="0" fontId="14" fillId="2" borderId="0" xfId="0" applyFont="1" applyFill="1" applyAlignment="1">
      <alignment horizontal="left" vertical="center" wrapText="1" indent="2"/>
    </xf>
    <xf numFmtId="0" fontId="15" fillId="2" borderId="0" xfId="0" applyFont="1" applyFill="1" applyAlignment="1">
      <alignment horizontal="center" vertical="center"/>
    </xf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B1220"/>
      <rgbColor rgb="FF808000"/>
      <rgbColor rgb="FF800080"/>
      <rgbColor rgb="FF008080"/>
      <rgbColor rgb="FF9FB3C8"/>
      <rgbColor rgb="FF6E86A6"/>
      <rgbColor rgb="FF9D7BFF"/>
      <rgbColor rgb="FF993366"/>
      <rgbColor rgb="FFFFFFCC"/>
      <rgbColor rgb="FFCCFFFF"/>
      <rgbColor rgb="FF660066"/>
      <rgbColor rgb="FFFF6B6B"/>
      <rgbColor rgb="FF0066CC"/>
      <rgbColor rgb="FFC7D3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9B5"/>
      <rgbColor rgb="FFCCFFFF"/>
      <rgbColor rgb="FFCCFFCC"/>
      <rgbColor rgb="FFFFFF99"/>
      <rgbColor rgb="FF99CCFF"/>
      <rgbColor rgb="FFFF99CC"/>
      <rgbColor rgb="FFCC99FF"/>
      <rgbColor rgb="FFF2C14E"/>
      <rgbColor rgb="FF4F8EF7"/>
      <rgbColor rgb="FF55E6C1"/>
      <rgbColor rgb="FF99CC00"/>
      <rgbColor rgb="FFFFCC00"/>
      <rgbColor rgb="FFFF9900"/>
      <rgbColor rgb="FFFF6600"/>
      <rgbColor rgb="FF4F81BD"/>
      <rgbColor rgb="FF969696"/>
      <rgbColor rgb="FF182544"/>
      <rgbColor rgb="FF339966"/>
      <rgbColor rgb="FF141E33"/>
      <rgbColor rgb="FF111A2E"/>
      <rgbColor rgb="FF993300"/>
      <rgbColor rgb="FF993366"/>
      <rgbColor rgb="FF333399"/>
      <rgbColor rgb="FF2A3A5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1" strike="noStrike" spc="-1">
                <a:solidFill>
                  <a:srgbClr val="FFFFFF"/>
                </a:solidFill>
                <a:latin typeface="Segoe UI"/>
              </a:defRPr>
            </a:pPr>
            <a:r>
              <a:rPr lang="en-IN" sz="1300" b="1" strike="noStrike" spc="-1">
                <a:solidFill>
                  <a:srgbClr val="FFFFFF"/>
                </a:solidFill>
                <a:latin typeface="Segoe UI"/>
              </a:rPr>
              <a:t>Department-wise Employees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D9B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Pivot!$A$4:$A$13</c:f>
              <c:strCache>
                <c:ptCount val="10"/>
                <c:pt idx="0">
                  <c:v>Admin</c:v>
                </c:pt>
                <c:pt idx="1">
                  <c:v>Customer Support</c:v>
                </c:pt>
                <c:pt idx="2">
                  <c:v>Finance</c:v>
                </c:pt>
                <c:pt idx="3">
                  <c:v>HR</c:v>
                </c:pt>
                <c:pt idx="4">
                  <c:v>IT</c:v>
                </c:pt>
                <c:pt idx="5">
                  <c:v>Legal</c:v>
                </c:pt>
                <c:pt idx="6">
                  <c:v>Marketing</c:v>
                </c:pt>
                <c:pt idx="7">
                  <c:v>Operations</c:v>
                </c:pt>
                <c:pt idx="8">
                  <c:v>R&amp;D</c:v>
                </c:pt>
                <c:pt idx="9">
                  <c:v>Sales</c:v>
                </c:pt>
              </c:strCache>
            </c:strRef>
          </c:cat>
          <c:val>
            <c:numRef>
              <c:f>Pivot!$B$4:$B$13</c:f>
              <c:numCache>
                <c:formatCode>General</c:formatCode>
                <c:ptCount val="10"/>
                <c:pt idx="0">
                  <c:v>99</c:v>
                </c:pt>
                <c:pt idx="1">
                  <c:v>111</c:v>
                </c:pt>
                <c:pt idx="2">
                  <c:v>119</c:v>
                </c:pt>
                <c:pt idx="3">
                  <c:v>85</c:v>
                </c:pt>
                <c:pt idx="4">
                  <c:v>91</c:v>
                </c:pt>
                <c:pt idx="5">
                  <c:v>101</c:v>
                </c:pt>
                <c:pt idx="6">
                  <c:v>84</c:v>
                </c:pt>
                <c:pt idx="7">
                  <c:v>111</c:v>
                </c:pt>
                <c:pt idx="8">
                  <c:v>94</c:v>
                </c:pt>
                <c:pt idx="9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6-454D-85D8-9B6F75A78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036437"/>
        <c:axId val="84728192"/>
      </c:barChart>
      <c:catAx>
        <c:axId val="530364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2A3A5C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C7D3E0"/>
                </a:solidFill>
                <a:latin typeface="Segoe UI"/>
              </a:defRPr>
            </a:pPr>
            <a:endParaRPr lang="en-US"/>
          </a:p>
        </c:txPr>
        <c:crossAx val="84728192"/>
        <c:crosses val="autoZero"/>
        <c:auto val="1"/>
        <c:lblAlgn val="ctr"/>
        <c:lblOffset val="100"/>
        <c:noMultiLvlLbl val="0"/>
      </c:catAx>
      <c:valAx>
        <c:axId val="8472819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2A3A5C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C7D3E0"/>
                </a:solidFill>
                <a:latin typeface="Segoe UI"/>
              </a:defRPr>
            </a:pPr>
            <a:endParaRPr lang="en-US"/>
          </a:p>
        </c:txPr>
        <c:crossAx val="530364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141E33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1" strike="noStrike" spc="-1">
                <a:solidFill>
                  <a:srgbClr val="FFFFFF"/>
                </a:solidFill>
                <a:latin typeface="Segoe UI"/>
              </a:defRPr>
            </a:pPr>
            <a:r>
              <a:rPr lang="en-IN" sz="1300" b="1" strike="noStrike" spc="-1">
                <a:solidFill>
                  <a:srgbClr val="FFFFFF"/>
                </a:solidFill>
                <a:latin typeface="Segoe UI"/>
              </a:rPr>
              <a:t>Average Salary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EF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Pivot!$F$4:$F$13</c:f>
              <c:strCache>
                <c:ptCount val="10"/>
                <c:pt idx="0">
                  <c:v>Admin</c:v>
                </c:pt>
                <c:pt idx="1">
                  <c:v>Customer Support</c:v>
                </c:pt>
                <c:pt idx="2">
                  <c:v>Finance</c:v>
                </c:pt>
                <c:pt idx="3">
                  <c:v>HR</c:v>
                </c:pt>
                <c:pt idx="4">
                  <c:v>IT</c:v>
                </c:pt>
                <c:pt idx="5">
                  <c:v>Legal</c:v>
                </c:pt>
                <c:pt idx="6">
                  <c:v>Marketing</c:v>
                </c:pt>
                <c:pt idx="7">
                  <c:v>Operations</c:v>
                </c:pt>
                <c:pt idx="8">
                  <c:v>R&amp;D</c:v>
                </c:pt>
                <c:pt idx="9">
                  <c:v>Sales</c:v>
                </c:pt>
              </c:strCache>
            </c:strRef>
          </c:cat>
          <c:val>
            <c:numRef>
              <c:f>Pivot!$G$4:$G$13</c:f>
              <c:numCache>
                <c:formatCode>General</c:formatCode>
                <c:ptCount val="10"/>
                <c:pt idx="0">
                  <c:v>80473.424242424197</c:v>
                </c:pt>
                <c:pt idx="1">
                  <c:v>80001.486486486494</c:v>
                </c:pt>
                <c:pt idx="2">
                  <c:v>82280.705882352893</c:v>
                </c:pt>
                <c:pt idx="3">
                  <c:v>90334.917647058799</c:v>
                </c:pt>
                <c:pt idx="4">
                  <c:v>84813.659340659404</c:v>
                </c:pt>
                <c:pt idx="5">
                  <c:v>80563.277227722807</c:v>
                </c:pt>
                <c:pt idx="6">
                  <c:v>89179.119047619097</c:v>
                </c:pt>
                <c:pt idx="7">
                  <c:v>83387.5495495496</c:v>
                </c:pt>
                <c:pt idx="8">
                  <c:v>84956.085106383005</c:v>
                </c:pt>
                <c:pt idx="9">
                  <c:v>77163.704761904795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A8-4189-A7BE-6CB106D48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209310"/>
        <c:axId val="14570359"/>
      </c:barChart>
      <c:catAx>
        <c:axId val="682093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2A3A5C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C7D3E0"/>
                </a:solidFill>
                <a:latin typeface="Segoe UI"/>
              </a:defRPr>
            </a:pPr>
            <a:endParaRPr lang="en-US"/>
          </a:p>
        </c:txPr>
        <c:crossAx val="14570359"/>
        <c:crosses val="autoZero"/>
        <c:auto val="1"/>
        <c:lblAlgn val="ctr"/>
        <c:lblOffset val="100"/>
        <c:noMultiLvlLbl val="0"/>
      </c:catAx>
      <c:valAx>
        <c:axId val="1457035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2A3A5C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C7D3E0"/>
                </a:solidFill>
                <a:latin typeface="Segoe UI"/>
              </a:defRPr>
            </a:pPr>
            <a:endParaRPr lang="en-US"/>
          </a:p>
        </c:txPr>
        <c:crossAx val="682093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141E33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1" strike="noStrike" spc="-1">
                <a:solidFill>
                  <a:srgbClr val="FFFFFF"/>
                </a:solidFill>
                <a:latin typeface="Segoe UI"/>
              </a:defRPr>
            </a:pPr>
            <a:r>
              <a:rPr lang="en-IN" sz="1300" b="1" strike="noStrike" spc="-1">
                <a:solidFill>
                  <a:srgbClr val="FFFFFF"/>
                </a:solidFill>
                <a:latin typeface="Segoe UI"/>
              </a:rPr>
              <a:t>Gender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00D9B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EFB-4CAC-882E-4F1474613EE2}"/>
              </c:ext>
            </c:extLst>
          </c:dPt>
          <c:dPt>
            <c:idx val="1"/>
            <c:bubble3D val="0"/>
            <c:spPr>
              <a:solidFill>
                <a:srgbClr val="F2C14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EFB-4CAC-882E-4F1474613EE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0B1220"/>
                      </a:solidFill>
                      <a:latin typeface="Segoe U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CEFB-4CAC-882E-4F1474613EE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0B1220"/>
                      </a:solidFill>
                      <a:latin typeface="Segoe U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CEFB-4CAC-882E-4F1474613E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0B1220"/>
                    </a:solidFill>
                    <a:latin typeface="Segoe U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Pivot!$K$4:$K$5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Pivot!$L$4:$L$5</c:f>
              <c:numCache>
                <c:formatCode>General</c:formatCode>
                <c:ptCount val="2"/>
                <c:pt idx="0">
                  <c:v>512</c:v>
                </c:pt>
                <c:pt idx="1">
                  <c:v>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FB-4CAC-882E-4F1474613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C7D3E0"/>
              </a:solidFill>
              <a:latin typeface="Segoe U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41E33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1" strike="noStrike" spc="-1">
                <a:solidFill>
                  <a:srgbClr val="FFFFFF"/>
                </a:solidFill>
                <a:latin typeface="Segoe UI"/>
              </a:defRPr>
            </a:pPr>
            <a:r>
              <a:rPr lang="en-IN" sz="1300" b="1" strike="noStrike" spc="-1">
                <a:solidFill>
                  <a:srgbClr val="FFFFFF"/>
                </a:solidFill>
                <a:latin typeface="Segoe UI"/>
              </a:rPr>
              <a:t>Attrition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Pivot!$B$21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2A3A5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Pivot!$A$22:$A$31</c:f>
              <c:strCache>
                <c:ptCount val="10"/>
                <c:pt idx="0">
                  <c:v>Admin</c:v>
                </c:pt>
                <c:pt idx="1">
                  <c:v>Customer Support</c:v>
                </c:pt>
                <c:pt idx="2">
                  <c:v>Finance</c:v>
                </c:pt>
                <c:pt idx="3">
                  <c:v>HR</c:v>
                </c:pt>
                <c:pt idx="4">
                  <c:v>IT</c:v>
                </c:pt>
                <c:pt idx="5">
                  <c:v>Legal</c:v>
                </c:pt>
                <c:pt idx="6">
                  <c:v>Marketing</c:v>
                </c:pt>
                <c:pt idx="7">
                  <c:v>Operations</c:v>
                </c:pt>
                <c:pt idx="8">
                  <c:v>R&amp;D</c:v>
                </c:pt>
                <c:pt idx="9">
                  <c:v>Sales</c:v>
                </c:pt>
              </c:strCache>
            </c:strRef>
          </c:cat>
          <c:val>
            <c:numRef>
              <c:f>Pivot!$B$22:$B$31</c:f>
              <c:numCache>
                <c:formatCode>General</c:formatCode>
                <c:ptCount val="10"/>
                <c:pt idx="0">
                  <c:v>89</c:v>
                </c:pt>
                <c:pt idx="1">
                  <c:v>94</c:v>
                </c:pt>
                <c:pt idx="2">
                  <c:v>102</c:v>
                </c:pt>
                <c:pt idx="3">
                  <c:v>75</c:v>
                </c:pt>
                <c:pt idx="4">
                  <c:v>81</c:v>
                </c:pt>
                <c:pt idx="5">
                  <c:v>90</c:v>
                </c:pt>
                <c:pt idx="6">
                  <c:v>73</c:v>
                </c:pt>
                <c:pt idx="7">
                  <c:v>100</c:v>
                </c:pt>
                <c:pt idx="8">
                  <c:v>82</c:v>
                </c:pt>
                <c:pt idx="9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A-4AAF-B6C8-975A4FC3CE9D}"/>
            </c:ext>
          </c:extLst>
        </c:ser>
        <c:ser>
          <c:idx val="1"/>
          <c:order val="1"/>
          <c:tx>
            <c:strRef>
              <c:f>Pivot!$C$21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6B6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Pivot!$A$22:$A$31</c:f>
              <c:strCache>
                <c:ptCount val="10"/>
                <c:pt idx="0">
                  <c:v>Admin</c:v>
                </c:pt>
                <c:pt idx="1">
                  <c:v>Customer Support</c:v>
                </c:pt>
                <c:pt idx="2">
                  <c:v>Finance</c:v>
                </c:pt>
                <c:pt idx="3">
                  <c:v>HR</c:v>
                </c:pt>
                <c:pt idx="4">
                  <c:v>IT</c:v>
                </c:pt>
                <c:pt idx="5">
                  <c:v>Legal</c:v>
                </c:pt>
                <c:pt idx="6">
                  <c:v>Marketing</c:v>
                </c:pt>
                <c:pt idx="7">
                  <c:v>Operations</c:v>
                </c:pt>
                <c:pt idx="8">
                  <c:v>R&amp;D</c:v>
                </c:pt>
                <c:pt idx="9">
                  <c:v>Sales</c:v>
                </c:pt>
              </c:strCache>
            </c:strRef>
          </c:cat>
          <c:val>
            <c:numRef>
              <c:f>Pivot!$C$22:$C$31</c:f>
              <c:numCache>
                <c:formatCode>General</c:formatCode>
                <c:ptCount val="10"/>
                <c:pt idx="0">
                  <c:v>10</c:v>
                </c:pt>
                <c:pt idx="1">
                  <c:v>17</c:v>
                </c:pt>
                <c:pt idx="2">
                  <c:v>17</c:v>
                </c:pt>
                <c:pt idx="3">
                  <c:v>10</c:v>
                </c:pt>
                <c:pt idx="4">
                  <c:v>10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12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1A-4AAF-B6C8-975A4FC3C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80260"/>
        <c:axId val="53739406"/>
      </c:barChart>
      <c:catAx>
        <c:axId val="66802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2A3A5C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C7D3E0"/>
                </a:solidFill>
                <a:latin typeface="Segoe UI"/>
              </a:defRPr>
            </a:pPr>
            <a:endParaRPr lang="en-US"/>
          </a:p>
        </c:txPr>
        <c:crossAx val="53739406"/>
        <c:crosses val="autoZero"/>
        <c:auto val="1"/>
        <c:lblAlgn val="ctr"/>
        <c:lblOffset val="100"/>
        <c:noMultiLvlLbl val="0"/>
      </c:catAx>
      <c:valAx>
        <c:axId val="5373940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2A3A5C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C7D3E0"/>
                </a:solidFill>
                <a:latin typeface="Segoe UI"/>
              </a:defRPr>
            </a:pPr>
            <a:endParaRPr lang="en-US"/>
          </a:p>
        </c:txPr>
        <c:crossAx val="66802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C7D3E0"/>
              </a:solidFill>
              <a:latin typeface="Segoe U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41E33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1" strike="noStrike" spc="-1">
                <a:solidFill>
                  <a:srgbClr val="FFFFFF"/>
                </a:solidFill>
                <a:latin typeface="Segoe UI"/>
              </a:defRPr>
            </a:pPr>
            <a:r>
              <a:rPr lang="en-IN" sz="1300" b="1" strike="noStrike" spc="-1">
                <a:solidFill>
                  <a:srgbClr val="FFFFFF"/>
                </a:solidFill>
                <a:latin typeface="Segoe UI"/>
              </a:rPr>
              <a:t>Performance Rating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Pivot!$G$20</c:f>
              <c:strCache>
                <c:ptCount val="1"/>
                <c:pt idx="0">
                  <c:v>Count of Employee ID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00D9B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2C1-4CE8-9E95-56028D2FE6B4}"/>
              </c:ext>
            </c:extLst>
          </c:dPt>
          <c:dPt>
            <c:idx val="1"/>
            <c:bubble3D val="0"/>
            <c:spPr>
              <a:solidFill>
                <a:srgbClr val="4F8EF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2C1-4CE8-9E95-56028D2FE6B4}"/>
              </c:ext>
            </c:extLst>
          </c:dPt>
          <c:dPt>
            <c:idx val="2"/>
            <c:bubble3D val="0"/>
            <c:spPr>
              <a:solidFill>
                <a:srgbClr val="F2C14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2C1-4CE8-9E95-56028D2FE6B4}"/>
              </c:ext>
            </c:extLst>
          </c:dPt>
          <c:dPt>
            <c:idx val="3"/>
            <c:bubble3D val="0"/>
            <c:spPr>
              <a:solidFill>
                <a:srgbClr val="FF6B6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2C1-4CE8-9E95-56028D2FE6B4}"/>
              </c:ext>
            </c:extLst>
          </c:dPt>
          <c:dPt>
            <c:idx val="4"/>
            <c:bubble3D val="0"/>
            <c:spPr>
              <a:solidFill>
                <a:srgbClr val="9D7BF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72C1-4CE8-9E95-56028D2FE6B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0B1220"/>
                      </a:solidFill>
                      <a:latin typeface="Segoe U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72C1-4CE8-9E95-56028D2FE6B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0B1220"/>
                      </a:solidFill>
                      <a:latin typeface="Segoe U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72C1-4CE8-9E95-56028D2FE6B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0B1220"/>
                      </a:solidFill>
                      <a:latin typeface="Segoe U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72C1-4CE8-9E95-56028D2FE6B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0B1220"/>
                      </a:solidFill>
                      <a:latin typeface="Segoe U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72C1-4CE8-9E95-56028D2FE6B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0B1220"/>
                      </a:solidFill>
                      <a:latin typeface="Segoe U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72C1-4CE8-9E95-56028D2FE6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0B1220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Pivot!$F$21:$F$25</c:f>
              <c:strCache>
                <c:ptCount val="5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  <c:pt idx="4">
                  <c:v>Very Good</c:v>
                </c:pt>
              </c:strCache>
            </c:strRef>
          </c:cat>
          <c:val>
            <c:numRef>
              <c:f>Pivot!$G$21:$G$25</c:f>
              <c:numCache>
                <c:formatCode>General</c:formatCode>
                <c:ptCount val="5"/>
                <c:pt idx="0">
                  <c:v>178</c:v>
                </c:pt>
                <c:pt idx="1">
                  <c:v>173</c:v>
                </c:pt>
                <c:pt idx="2">
                  <c:v>312</c:v>
                </c:pt>
                <c:pt idx="3">
                  <c:v>69</c:v>
                </c:pt>
                <c:pt idx="4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2C1-4CE8-9E95-56028D2FE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C7D3E0"/>
              </a:solidFill>
              <a:latin typeface="Segoe U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41E33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1" strike="noStrike" spc="-1">
                <a:solidFill>
                  <a:srgbClr val="FFFFFF"/>
                </a:solidFill>
                <a:latin typeface="Segoe UI"/>
              </a:defRPr>
            </a:pPr>
            <a:r>
              <a:rPr lang="en-IN" sz="1300" b="1" strike="noStrike" spc="-1">
                <a:solidFill>
                  <a:srgbClr val="FFFFFF"/>
                </a:solidFill>
                <a:latin typeface="Segoe UI"/>
              </a:rPr>
              <a:t>Employee Joining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Pivot!$L$38</c:f>
              <c:strCache>
                <c:ptCount val="1"/>
                <c:pt idx="0">
                  <c:v>Count of Employee ID</c:v>
                </c:pt>
              </c:strCache>
            </c:strRef>
          </c:tx>
          <c:spPr>
            <a:ln w="21960">
              <a:solidFill>
                <a:srgbClr val="55E6C1"/>
              </a:solidFill>
              <a:round/>
            </a:ln>
          </c:spPr>
          <c:marker>
            <c:symbol val="circle"/>
            <c:size val="6"/>
            <c:spPr>
              <a:solidFill>
                <a:srgbClr val="55E6C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Pivot!$K$39:$K$50</c:f>
              <c:numCache>
                <c:formatCode>General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cat>
          <c:val>
            <c:numRef>
              <c:f>Pivot!$L$39:$L$50</c:f>
              <c:numCache>
                <c:formatCode>General</c:formatCode>
                <c:ptCount val="12"/>
                <c:pt idx="0">
                  <c:v>68</c:v>
                </c:pt>
                <c:pt idx="1">
                  <c:v>92</c:v>
                </c:pt>
                <c:pt idx="2">
                  <c:v>89</c:v>
                </c:pt>
                <c:pt idx="3">
                  <c:v>86</c:v>
                </c:pt>
                <c:pt idx="4">
                  <c:v>76</c:v>
                </c:pt>
                <c:pt idx="5">
                  <c:v>101</c:v>
                </c:pt>
                <c:pt idx="6">
                  <c:v>86</c:v>
                </c:pt>
                <c:pt idx="7">
                  <c:v>70</c:v>
                </c:pt>
                <c:pt idx="8">
                  <c:v>99</c:v>
                </c:pt>
                <c:pt idx="9">
                  <c:v>102</c:v>
                </c:pt>
                <c:pt idx="10">
                  <c:v>88</c:v>
                </c:pt>
                <c:pt idx="11">
                  <c:v>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9FD-4D89-9BDB-71D9848F1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7612789"/>
        <c:axId val="51171653"/>
      </c:lineChart>
      <c:catAx>
        <c:axId val="476127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2A3A5C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C7D3E0"/>
                </a:solidFill>
                <a:latin typeface="Segoe UI"/>
              </a:defRPr>
            </a:pPr>
            <a:endParaRPr lang="en-US"/>
          </a:p>
        </c:txPr>
        <c:crossAx val="51171653"/>
        <c:crosses val="autoZero"/>
        <c:auto val="1"/>
        <c:lblAlgn val="ctr"/>
        <c:lblOffset val="100"/>
        <c:noMultiLvlLbl val="0"/>
      </c:catAx>
      <c:valAx>
        <c:axId val="5117165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2A3A5C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C7D3E0"/>
                </a:solidFill>
                <a:latin typeface="Segoe UI"/>
              </a:defRPr>
            </a:pPr>
            <a:endParaRPr lang="en-US"/>
          </a:p>
        </c:txPr>
        <c:crossAx val="476127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141E33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0</xdr:rowOff>
    </xdr:from>
    <xdr:to>
      <xdr:col>5</xdr:col>
      <xdr:colOff>811440</xdr:colOff>
      <xdr:row>37</xdr:row>
      <xdr:rowOff>12600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26</xdr:row>
      <xdr:rowOff>0</xdr:rowOff>
    </xdr:from>
    <xdr:to>
      <xdr:col>13</xdr:col>
      <xdr:colOff>811080</xdr:colOff>
      <xdr:row>37</xdr:row>
      <xdr:rowOff>12600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0</xdr:colOff>
      <xdr:row>26</xdr:row>
      <xdr:rowOff>0</xdr:rowOff>
    </xdr:from>
    <xdr:to>
      <xdr:col>21</xdr:col>
      <xdr:colOff>811080</xdr:colOff>
      <xdr:row>37</xdr:row>
      <xdr:rowOff>12600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46</xdr:row>
      <xdr:rowOff>0</xdr:rowOff>
    </xdr:from>
    <xdr:to>
      <xdr:col>5</xdr:col>
      <xdr:colOff>811440</xdr:colOff>
      <xdr:row>64</xdr:row>
      <xdr:rowOff>88920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46</xdr:row>
      <xdr:rowOff>0</xdr:rowOff>
    </xdr:from>
    <xdr:to>
      <xdr:col>13</xdr:col>
      <xdr:colOff>811080</xdr:colOff>
      <xdr:row>64</xdr:row>
      <xdr:rowOff>88920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0</xdr:colOff>
      <xdr:row>46</xdr:row>
      <xdr:rowOff>0</xdr:rowOff>
    </xdr:from>
    <xdr:to>
      <xdr:col>21</xdr:col>
      <xdr:colOff>811080</xdr:colOff>
      <xdr:row>64</xdr:row>
      <xdr:rowOff>88920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000" xr:uid="{00000000-000A-0000-FFFF-FFFF01000000}">
  <cacheSource type="worksheet">
    <worksheetSource ref="A1:V1001" sheet="Dataset"/>
  </cacheSource>
  <cacheFields count="22">
    <cacheField name="Employee ID" numFmtId="0">
      <sharedItems count="1000">
        <s v="EMP0001"/>
        <s v="EMP0002"/>
        <s v="EMP0003"/>
        <s v="EMP0004"/>
        <s v="EMP0005"/>
        <s v="EMP0006"/>
        <s v="EMP0007"/>
        <s v="EMP0008"/>
        <s v="EMP0009"/>
        <s v="EMP0010"/>
        <s v="EMP0011"/>
        <s v="EMP0012"/>
        <s v="EMP0013"/>
        <s v="EMP0014"/>
        <s v="EMP0015"/>
        <s v="EMP0016"/>
        <s v="EMP0017"/>
        <s v="EMP0018"/>
        <s v="EMP0019"/>
        <s v="EMP0020"/>
        <s v="EMP0021"/>
        <s v="EMP0022"/>
        <s v="EMP0023"/>
        <s v="EMP0024"/>
        <s v="EMP0025"/>
        <s v="EMP0026"/>
        <s v="EMP0027"/>
        <s v="EMP0028"/>
        <s v="EMP0029"/>
        <s v="EMP0030"/>
        <s v="EMP0031"/>
        <s v="EMP0032"/>
        <s v="EMP0033"/>
        <s v="EMP0034"/>
        <s v="EMP0035"/>
        <s v="EMP0036"/>
        <s v="EMP0037"/>
        <s v="EMP0038"/>
        <s v="EMP0039"/>
        <s v="EMP0040"/>
        <s v="EMP0041"/>
        <s v="EMP0042"/>
        <s v="EMP0043"/>
        <s v="EMP0044"/>
        <s v="EMP0045"/>
        <s v="EMP0046"/>
        <s v="EMP0047"/>
        <s v="EMP0048"/>
        <s v="EMP0049"/>
        <s v="EMP0050"/>
        <s v="EMP0051"/>
        <s v="EMP0052"/>
        <s v="EMP0053"/>
        <s v="EMP0054"/>
        <s v="EMP0055"/>
        <s v="EMP0056"/>
        <s v="EMP0057"/>
        <s v="EMP0058"/>
        <s v="EMP0059"/>
        <s v="EMP0060"/>
        <s v="EMP0061"/>
        <s v="EMP0062"/>
        <s v="EMP0063"/>
        <s v="EMP0064"/>
        <s v="EMP0065"/>
        <s v="EMP0066"/>
        <s v="EMP0067"/>
        <s v="EMP0068"/>
        <s v="EMP0069"/>
        <s v="EMP0070"/>
        <s v="EMP0071"/>
        <s v="EMP0072"/>
        <s v="EMP0073"/>
        <s v="EMP0074"/>
        <s v="EMP0075"/>
        <s v="EMP0076"/>
        <s v="EMP0077"/>
        <s v="EMP0078"/>
        <s v="EMP0079"/>
        <s v="EMP0080"/>
        <s v="EMP0081"/>
        <s v="EMP0082"/>
        <s v="EMP0083"/>
        <s v="EMP0084"/>
        <s v="EMP0085"/>
        <s v="EMP0086"/>
        <s v="EMP0087"/>
        <s v="EMP0088"/>
        <s v="EMP0089"/>
        <s v="EMP0090"/>
        <s v="EMP0091"/>
        <s v="EMP0092"/>
        <s v="EMP0093"/>
        <s v="EMP0094"/>
        <s v="EMP0095"/>
        <s v="EMP0096"/>
        <s v="EMP0097"/>
        <s v="EMP0098"/>
        <s v="EMP0099"/>
        <s v="EMP0100"/>
        <s v="EMP0101"/>
        <s v="EMP0102"/>
        <s v="EMP0103"/>
        <s v="EMP0104"/>
        <s v="EMP0105"/>
        <s v="EMP0106"/>
        <s v="EMP0107"/>
        <s v="EMP0108"/>
        <s v="EMP0109"/>
        <s v="EMP0110"/>
        <s v="EMP0111"/>
        <s v="EMP0112"/>
        <s v="EMP0113"/>
        <s v="EMP0114"/>
        <s v="EMP0115"/>
        <s v="EMP0116"/>
        <s v="EMP0117"/>
        <s v="EMP0118"/>
        <s v="EMP0119"/>
        <s v="EMP0120"/>
        <s v="EMP0121"/>
        <s v="EMP0122"/>
        <s v="EMP0123"/>
        <s v="EMP0124"/>
        <s v="EMP0125"/>
        <s v="EMP0126"/>
        <s v="EMP0127"/>
        <s v="EMP0128"/>
        <s v="EMP0129"/>
        <s v="EMP0130"/>
        <s v="EMP0131"/>
        <s v="EMP0132"/>
        <s v="EMP0133"/>
        <s v="EMP0134"/>
        <s v="EMP0135"/>
        <s v="EMP0136"/>
        <s v="EMP0137"/>
        <s v="EMP0138"/>
        <s v="EMP0139"/>
        <s v="EMP0140"/>
        <s v="EMP0141"/>
        <s v="EMP0142"/>
        <s v="EMP0143"/>
        <s v="EMP0144"/>
        <s v="EMP0145"/>
        <s v="EMP0146"/>
        <s v="EMP0147"/>
        <s v="EMP0148"/>
        <s v="EMP0149"/>
        <s v="EMP0150"/>
        <s v="EMP0151"/>
        <s v="EMP0152"/>
        <s v="EMP0153"/>
        <s v="EMP0154"/>
        <s v="EMP0155"/>
        <s v="EMP0156"/>
        <s v="EMP0157"/>
        <s v="EMP0158"/>
        <s v="EMP0159"/>
        <s v="EMP0160"/>
        <s v="EMP0161"/>
        <s v="EMP0162"/>
        <s v="EMP0163"/>
        <s v="EMP0164"/>
        <s v="EMP0165"/>
        <s v="EMP0166"/>
        <s v="EMP0167"/>
        <s v="EMP0168"/>
        <s v="EMP0169"/>
        <s v="EMP0170"/>
        <s v="EMP0171"/>
        <s v="EMP0172"/>
        <s v="EMP0173"/>
        <s v="EMP0174"/>
        <s v="EMP0175"/>
        <s v="EMP0176"/>
        <s v="EMP0177"/>
        <s v="EMP0178"/>
        <s v="EMP0179"/>
        <s v="EMP0180"/>
        <s v="EMP0181"/>
        <s v="EMP0182"/>
        <s v="EMP0183"/>
        <s v="EMP0184"/>
        <s v="EMP0185"/>
        <s v="EMP0186"/>
        <s v="EMP0187"/>
        <s v="EMP0188"/>
        <s v="EMP0189"/>
        <s v="EMP0190"/>
        <s v="EMP0191"/>
        <s v="EMP0192"/>
        <s v="EMP0193"/>
        <s v="EMP0194"/>
        <s v="EMP0195"/>
        <s v="EMP0196"/>
        <s v="EMP0197"/>
        <s v="EMP0198"/>
        <s v="EMP0199"/>
        <s v="EMP0200"/>
        <s v="EMP0201"/>
        <s v="EMP0202"/>
        <s v="EMP0203"/>
        <s v="EMP0204"/>
        <s v="EMP0205"/>
        <s v="EMP0206"/>
        <s v="EMP0207"/>
        <s v="EMP0208"/>
        <s v="EMP0209"/>
        <s v="EMP0210"/>
        <s v="EMP0211"/>
        <s v="EMP0212"/>
        <s v="EMP0213"/>
        <s v="EMP0214"/>
        <s v="EMP0215"/>
        <s v="EMP0216"/>
        <s v="EMP0217"/>
        <s v="EMP0218"/>
        <s v="EMP0219"/>
        <s v="EMP0220"/>
        <s v="EMP0221"/>
        <s v="EMP0222"/>
        <s v="EMP0223"/>
        <s v="EMP0224"/>
        <s v="EMP0225"/>
        <s v="EMP0226"/>
        <s v="EMP0227"/>
        <s v="EMP0228"/>
        <s v="EMP0229"/>
        <s v="EMP0230"/>
        <s v="EMP0231"/>
        <s v="EMP0232"/>
        <s v="EMP0233"/>
        <s v="EMP0234"/>
        <s v="EMP0235"/>
        <s v="EMP0236"/>
        <s v="EMP0237"/>
        <s v="EMP0238"/>
        <s v="EMP0239"/>
        <s v="EMP0240"/>
        <s v="EMP0241"/>
        <s v="EMP0242"/>
        <s v="EMP0243"/>
        <s v="EMP0244"/>
        <s v="EMP0245"/>
        <s v="EMP0246"/>
        <s v="EMP0247"/>
        <s v="EMP0248"/>
        <s v="EMP0249"/>
        <s v="EMP0250"/>
        <s v="EMP0251"/>
        <s v="EMP0252"/>
        <s v="EMP0253"/>
        <s v="EMP0254"/>
        <s v="EMP0255"/>
        <s v="EMP0256"/>
        <s v="EMP0257"/>
        <s v="EMP0258"/>
        <s v="EMP0259"/>
        <s v="EMP0260"/>
        <s v="EMP0261"/>
        <s v="EMP0262"/>
        <s v="EMP0263"/>
        <s v="EMP0264"/>
        <s v="EMP0265"/>
        <s v="EMP0266"/>
        <s v="EMP0267"/>
        <s v="EMP0268"/>
        <s v="EMP0269"/>
        <s v="EMP0270"/>
        <s v="EMP0271"/>
        <s v="EMP0272"/>
        <s v="EMP0273"/>
        <s v="EMP0274"/>
        <s v="EMP0275"/>
        <s v="EMP0276"/>
        <s v="EMP0277"/>
        <s v="EMP0278"/>
        <s v="EMP0279"/>
        <s v="EMP0280"/>
        <s v="EMP0281"/>
        <s v="EMP0282"/>
        <s v="EMP0283"/>
        <s v="EMP0284"/>
        <s v="EMP0285"/>
        <s v="EMP0286"/>
        <s v="EMP0287"/>
        <s v="EMP0288"/>
        <s v="EMP0289"/>
        <s v="EMP0290"/>
        <s v="EMP0291"/>
        <s v="EMP0292"/>
        <s v="EMP0293"/>
        <s v="EMP0294"/>
        <s v="EMP0295"/>
        <s v="EMP0296"/>
        <s v="EMP0297"/>
        <s v="EMP0298"/>
        <s v="EMP0299"/>
        <s v="EMP0300"/>
        <s v="EMP0301"/>
        <s v="EMP0302"/>
        <s v="EMP0303"/>
        <s v="EMP0304"/>
        <s v="EMP0305"/>
        <s v="EMP0306"/>
        <s v="EMP0307"/>
        <s v="EMP0308"/>
        <s v="EMP0309"/>
        <s v="EMP0310"/>
        <s v="EMP0311"/>
        <s v="EMP0312"/>
        <s v="EMP0313"/>
        <s v="EMP0314"/>
        <s v="EMP0315"/>
        <s v="EMP0316"/>
        <s v="EMP0317"/>
        <s v="EMP0318"/>
        <s v="EMP0319"/>
        <s v="EMP0320"/>
        <s v="EMP0321"/>
        <s v="EMP0322"/>
        <s v="EMP0323"/>
        <s v="EMP0324"/>
        <s v="EMP0325"/>
        <s v="EMP0326"/>
        <s v="EMP0327"/>
        <s v="EMP0328"/>
        <s v="EMP0329"/>
        <s v="EMP0330"/>
        <s v="EMP0331"/>
        <s v="EMP0332"/>
        <s v="EMP0333"/>
        <s v="EMP0334"/>
        <s v="EMP0335"/>
        <s v="EMP0336"/>
        <s v="EMP0337"/>
        <s v="EMP0338"/>
        <s v="EMP0339"/>
        <s v="EMP0340"/>
        <s v="EMP0341"/>
        <s v="EMP0342"/>
        <s v="EMP0343"/>
        <s v="EMP0344"/>
        <s v="EMP0345"/>
        <s v="EMP0346"/>
        <s v="EMP0347"/>
        <s v="EMP0348"/>
        <s v="EMP0349"/>
        <s v="EMP0350"/>
        <s v="EMP0351"/>
        <s v="EMP0352"/>
        <s v="EMP0353"/>
        <s v="EMP0354"/>
        <s v="EMP0355"/>
        <s v="EMP0356"/>
        <s v="EMP0357"/>
        <s v="EMP0358"/>
        <s v="EMP0359"/>
        <s v="EMP0360"/>
        <s v="EMP0361"/>
        <s v="EMP0362"/>
        <s v="EMP0363"/>
        <s v="EMP0364"/>
        <s v="EMP0365"/>
        <s v="EMP0366"/>
        <s v="EMP0367"/>
        <s v="EMP0368"/>
        <s v="EMP0369"/>
        <s v="EMP0370"/>
        <s v="EMP0371"/>
        <s v="EMP0372"/>
        <s v="EMP0373"/>
        <s v="EMP0374"/>
        <s v="EMP0375"/>
        <s v="EMP0376"/>
        <s v="EMP0377"/>
        <s v="EMP0378"/>
        <s v="EMP0379"/>
        <s v="EMP0380"/>
        <s v="EMP0381"/>
        <s v="EMP0382"/>
        <s v="EMP0383"/>
        <s v="EMP0384"/>
        <s v="EMP0385"/>
        <s v="EMP0386"/>
        <s v="EMP0387"/>
        <s v="EMP0388"/>
        <s v="EMP0389"/>
        <s v="EMP0390"/>
        <s v="EMP0391"/>
        <s v="EMP0392"/>
        <s v="EMP0393"/>
        <s v="EMP0394"/>
        <s v="EMP0395"/>
        <s v="EMP0396"/>
        <s v="EMP0397"/>
        <s v="EMP0398"/>
        <s v="EMP0399"/>
        <s v="EMP0400"/>
        <s v="EMP0401"/>
        <s v="EMP0402"/>
        <s v="EMP0403"/>
        <s v="EMP0404"/>
        <s v="EMP0405"/>
        <s v="EMP0406"/>
        <s v="EMP0407"/>
        <s v="EMP0408"/>
        <s v="EMP0409"/>
        <s v="EMP0410"/>
        <s v="EMP0411"/>
        <s v="EMP0412"/>
        <s v="EMP0413"/>
        <s v="EMP0414"/>
        <s v="EMP0415"/>
        <s v="EMP0416"/>
        <s v="EMP0417"/>
        <s v="EMP0418"/>
        <s v="EMP0419"/>
        <s v="EMP0420"/>
        <s v="EMP0421"/>
        <s v="EMP0422"/>
        <s v="EMP0423"/>
        <s v="EMP0424"/>
        <s v="EMP0425"/>
        <s v="EMP0426"/>
        <s v="EMP0427"/>
        <s v="EMP0428"/>
        <s v="EMP0429"/>
        <s v="EMP0430"/>
        <s v="EMP0431"/>
        <s v="EMP0432"/>
        <s v="EMP0433"/>
        <s v="EMP0434"/>
        <s v="EMP0435"/>
        <s v="EMP0436"/>
        <s v="EMP0437"/>
        <s v="EMP0438"/>
        <s v="EMP0439"/>
        <s v="EMP0440"/>
        <s v="EMP0441"/>
        <s v="EMP0442"/>
        <s v="EMP0443"/>
        <s v="EMP0444"/>
        <s v="EMP0445"/>
        <s v="EMP0446"/>
        <s v="EMP0447"/>
        <s v="EMP0448"/>
        <s v="EMP0449"/>
        <s v="EMP0450"/>
        <s v="EMP0451"/>
        <s v="EMP0452"/>
        <s v="EMP0453"/>
        <s v="EMP0454"/>
        <s v="EMP0455"/>
        <s v="EMP0456"/>
        <s v="EMP0457"/>
        <s v="EMP0458"/>
        <s v="EMP0459"/>
        <s v="EMP0460"/>
        <s v="EMP0461"/>
        <s v="EMP0462"/>
        <s v="EMP0463"/>
        <s v="EMP0464"/>
        <s v="EMP0465"/>
        <s v="EMP0466"/>
        <s v="EMP0467"/>
        <s v="EMP0468"/>
        <s v="EMP0469"/>
        <s v="EMP0470"/>
        <s v="EMP0471"/>
        <s v="EMP0472"/>
        <s v="EMP0473"/>
        <s v="EMP0474"/>
        <s v="EMP0475"/>
        <s v="EMP0476"/>
        <s v="EMP0477"/>
        <s v="EMP0478"/>
        <s v="EMP0479"/>
        <s v="EMP0480"/>
        <s v="EMP0481"/>
        <s v="EMP0482"/>
        <s v="EMP0483"/>
        <s v="EMP0484"/>
        <s v="EMP0485"/>
        <s v="EMP0486"/>
        <s v="EMP0487"/>
        <s v="EMP0488"/>
        <s v="EMP0489"/>
        <s v="EMP0490"/>
        <s v="EMP0491"/>
        <s v="EMP0492"/>
        <s v="EMP0493"/>
        <s v="EMP0494"/>
        <s v="EMP0495"/>
        <s v="EMP0496"/>
        <s v="EMP0497"/>
        <s v="EMP0498"/>
        <s v="EMP0499"/>
        <s v="EMP0500"/>
        <s v="EMP0501"/>
        <s v="EMP0502"/>
        <s v="EMP0503"/>
        <s v="EMP0504"/>
        <s v="EMP0505"/>
        <s v="EMP0506"/>
        <s v="EMP0507"/>
        <s v="EMP0508"/>
        <s v="EMP0509"/>
        <s v="EMP0510"/>
        <s v="EMP0511"/>
        <s v="EMP0512"/>
        <s v="EMP0513"/>
        <s v="EMP0514"/>
        <s v="EMP0515"/>
        <s v="EMP0516"/>
        <s v="EMP0517"/>
        <s v="EMP0518"/>
        <s v="EMP0519"/>
        <s v="EMP0520"/>
        <s v="EMP0521"/>
        <s v="EMP0522"/>
        <s v="EMP0523"/>
        <s v="EMP0524"/>
        <s v="EMP0525"/>
        <s v="EMP0526"/>
        <s v="EMP0527"/>
        <s v="EMP0528"/>
        <s v="EMP0529"/>
        <s v="EMP0530"/>
        <s v="EMP0531"/>
        <s v="EMP0532"/>
        <s v="EMP0533"/>
        <s v="EMP0534"/>
        <s v="EMP0535"/>
        <s v="EMP0536"/>
        <s v="EMP0537"/>
        <s v="EMP0538"/>
        <s v="EMP0539"/>
        <s v="EMP0540"/>
        <s v="EMP0541"/>
        <s v="EMP0542"/>
        <s v="EMP0543"/>
        <s v="EMP0544"/>
        <s v="EMP0545"/>
        <s v="EMP0546"/>
        <s v="EMP0547"/>
        <s v="EMP0548"/>
        <s v="EMP0549"/>
        <s v="EMP0550"/>
        <s v="EMP0551"/>
        <s v="EMP0552"/>
        <s v="EMP0553"/>
        <s v="EMP0554"/>
        <s v="EMP0555"/>
        <s v="EMP0556"/>
        <s v="EMP0557"/>
        <s v="EMP0558"/>
        <s v="EMP0559"/>
        <s v="EMP0560"/>
        <s v="EMP0561"/>
        <s v="EMP0562"/>
        <s v="EMP0563"/>
        <s v="EMP0564"/>
        <s v="EMP0565"/>
        <s v="EMP0566"/>
        <s v="EMP0567"/>
        <s v="EMP0568"/>
        <s v="EMP0569"/>
        <s v="EMP0570"/>
        <s v="EMP0571"/>
        <s v="EMP0572"/>
        <s v="EMP0573"/>
        <s v="EMP0574"/>
        <s v="EMP0575"/>
        <s v="EMP0576"/>
        <s v="EMP0577"/>
        <s v="EMP0578"/>
        <s v="EMP0579"/>
        <s v="EMP0580"/>
        <s v="EMP0581"/>
        <s v="EMP0582"/>
        <s v="EMP0583"/>
        <s v="EMP0584"/>
        <s v="EMP0585"/>
        <s v="EMP0586"/>
        <s v="EMP0587"/>
        <s v="EMP0588"/>
        <s v="EMP0589"/>
        <s v="EMP0590"/>
        <s v="EMP0591"/>
        <s v="EMP0592"/>
        <s v="EMP0593"/>
        <s v="EMP0594"/>
        <s v="EMP0595"/>
        <s v="EMP0596"/>
        <s v="EMP0597"/>
        <s v="EMP0598"/>
        <s v="EMP0599"/>
        <s v="EMP0600"/>
        <s v="EMP0601"/>
        <s v="EMP0602"/>
        <s v="EMP0603"/>
        <s v="EMP0604"/>
        <s v="EMP0605"/>
        <s v="EMP0606"/>
        <s v="EMP0607"/>
        <s v="EMP0608"/>
        <s v="EMP0609"/>
        <s v="EMP0610"/>
        <s v="EMP0611"/>
        <s v="EMP0612"/>
        <s v="EMP0613"/>
        <s v="EMP0614"/>
        <s v="EMP0615"/>
        <s v="EMP0616"/>
        <s v="EMP0617"/>
        <s v="EMP0618"/>
        <s v="EMP0619"/>
        <s v="EMP0620"/>
        <s v="EMP0621"/>
        <s v="EMP0622"/>
        <s v="EMP0623"/>
        <s v="EMP0624"/>
        <s v="EMP0625"/>
        <s v="EMP0626"/>
        <s v="EMP0627"/>
        <s v="EMP0628"/>
        <s v="EMP0629"/>
        <s v="EMP0630"/>
        <s v="EMP0631"/>
        <s v="EMP0632"/>
        <s v="EMP0633"/>
        <s v="EMP0634"/>
        <s v="EMP0635"/>
        <s v="EMP0636"/>
        <s v="EMP0637"/>
        <s v="EMP0638"/>
        <s v="EMP0639"/>
        <s v="EMP0640"/>
        <s v="EMP0641"/>
        <s v="EMP0642"/>
        <s v="EMP0643"/>
        <s v="EMP0644"/>
        <s v="EMP0645"/>
        <s v="EMP0646"/>
        <s v="EMP0647"/>
        <s v="EMP0648"/>
        <s v="EMP0649"/>
        <s v="EMP0650"/>
        <s v="EMP0651"/>
        <s v="EMP0652"/>
        <s v="EMP0653"/>
        <s v="EMP0654"/>
        <s v="EMP0655"/>
        <s v="EMP0656"/>
        <s v="EMP0657"/>
        <s v="EMP0658"/>
        <s v="EMP0659"/>
        <s v="EMP0660"/>
        <s v="EMP0661"/>
        <s v="EMP0662"/>
        <s v="EMP0663"/>
        <s v="EMP0664"/>
        <s v="EMP0665"/>
        <s v="EMP0666"/>
        <s v="EMP0667"/>
        <s v="EMP0668"/>
        <s v="EMP0669"/>
        <s v="EMP0670"/>
        <s v="EMP0671"/>
        <s v="EMP0672"/>
        <s v="EMP0673"/>
        <s v="EMP0674"/>
        <s v="EMP0675"/>
        <s v="EMP0676"/>
        <s v="EMP0677"/>
        <s v="EMP0678"/>
        <s v="EMP0679"/>
        <s v="EMP0680"/>
        <s v="EMP0681"/>
        <s v="EMP0682"/>
        <s v="EMP0683"/>
        <s v="EMP0684"/>
        <s v="EMP0685"/>
        <s v="EMP0686"/>
        <s v="EMP0687"/>
        <s v="EMP0688"/>
        <s v="EMP0689"/>
        <s v="EMP0690"/>
        <s v="EMP0691"/>
        <s v="EMP0692"/>
        <s v="EMP0693"/>
        <s v="EMP0694"/>
        <s v="EMP0695"/>
        <s v="EMP0696"/>
        <s v="EMP0697"/>
        <s v="EMP0698"/>
        <s v="EMP0699"/>
        <s v="EMP0700"/>
        <s v="EMP0701"/>
        <s v="EMP0702"/>
        <s v="EMP0703"/>
        <s v="EMP0704"/>
        <s v="EMP0705"/>
        <s v="EMP0706"/>
        <s v="EMP0707"/>
        <s v="EMP0708"/>
        <s v="EMP0709"/>
        <s v="EMP0710"/>
        <s v="EMP0711"/>
        <s v="EMP0712"/>
        <s v="EMP0713"/>
        <s v="EMP0714"/>
        <s v="EMP0715"/>
        <s v="EMP0716"/>
        <s v="EMP0717"/>
        <s v="EMP0718"/>
        <s v="EMP0719"/>
        <s v="EMP0720"/>
        <s v="EMP0721"/>
        <s v="EMP0722"/>
        <s v="EMP0723"/>
        <s v="EMP0724"/>
        <s v="EMP0725"/>
        <s v="EMP0726"/>
        <s v="EMP0727"/>
        <s v="EMP0728"/>
        <s v="EMP0729"/>
        <s v="EMP0730"/>
        <s v="EMP0731"/>
        <s v="EMP0732"/>
        <s v="EMP0733"/>
        <s v="EMP0734"/>
        <s v="EMP0735"/>
        <s v="EMP0736"/>
        <s v="EMP0737"/>
        <s v="EMP0738"/>
        <s v="EMP0739"/>
        <s v="EMP0740"/>
        <s v="EMP0741"/>
        <s v="EMP0742"/>
        <s v="EMP0743"/>
        <s v="EMP0744"/>
        <s v="EMP0745"/>
        <s v="EMP0746"/>
        <s v="EMP0747"/>
        <s v="EMP0748"/>
        <s v="EMP0749"/>
        <s v="EMP0750"/>
        <s v="EMP0751"/>
        <s v="EMP0752"/>
        <s v="EMP0753"/>
        <s v="EMP0754"/>
        <s v="EMP0755"/>
        <s v="EMP0756"/>
        <s v="EMP0757"/>
        <s v="EMP0758"/>
        <s v="EMP0759"/>
        <s v="EMP0760"/>
        <s v="EMP0761"/>
        <s v="EMP0762"/>
        <s v="EMP0763"/>
        <s v="EMP0764"/>
        <s v="EMP0765"/>
        <s v="EMP0766"/>
        <s v="EMP0767"/>
        <s v="EMP0768"/>
        <s v="EMP0769"/>
        <s v="EMP0770"/>
        <s v="EMP0771"/>
        <s v="EMP0772"/>
        <s v="EMP0773"/>
        <s v="EMP0774"/>
        <s v="EMP0775"/>
        <s v="EMP0776"/>
        <s v="EMP0777"/>
        <s v="EMP0778"/>
        <s v="EMP0779"/>
        <s v="EMP0780"/>
        <s v="EMP0781"/>
        <s v="EMP0782"/>
        <s v="EMP0783"/>
        <s v="EMP0784"/>
        <s v="EMP0785"/>
        <s v="EMP0786"/>
        <s v="EMP0787"/>
        <s v="EMP0788"/>
        <s v="EMP0789"/>
        <s v="EMP0790"/>
        <s v="EMP0791"/>
        <s v="EMP0792"/>
        <s v="EMP0793"/>
        <s v="EMP0794"/>
        <s v="EMP0795"/>
        <s v="EMP0796"/>
        <s v="EMP0797"/>
        <s v="EMP0798"/>
        <s v="EMP0799"/>
        <s v="EMP0800"/>
        <s v="EMP0801"/>
        <s v="EMP0802"/>
        <s v="EMP0803"/>
        <s v="EMP0804"/>
        <s v="EMP0805"/>
        <s v="EMP0806"/>
        <s v="EMP0807"/>
        <s v="EMP0808"/>
        <s v="EMP0809"/>
        <s v="EMP0810"/>
        <s v="EMP0811"/>
        <s v="EMP0812"/>
        <s v="EMP0813"/>
        <s v="EMP0814"/>
        <s v="EMP0815"/>
        <s v="EMP0816"/>
        <s v="EMP0817"/>
        <s v="EMP0818"/>
        <s v="EMP0819"/>
        <s v="EMP0820"/>
        <s v="EMP0821"/>
        <s v="EMP0822"/>
        <s v="EMP0823"/>
        <s v="EMP0824"/>
        <s v="EMP0825"/>
        <s v="EMP0826"/>
        <s v="EMP0827"/>
        <s v="EMP0828"/>
        <s v="EMP0829"/>
        <s v="EMP0830"/>
        <s v="EMP0831"/>
        <s v="EMP0832"/>
        <s v="EMP0833"/>
        <s v="EMP0834"/>
        <s v="EMP0835"/>
        <s v="EMP0836"/>
        <s v="EMP0837"/>
        <s v="EMP0838"/>
        <s v="EMP0839"/>
        <s v="EMP0840"/>
        <s v="EMP0841"/>
        <s v="EMP0842"/>
        <s v="EMP0843"/>
        <s v="EMP0844"/>
        <s v="EMP0845"/>
        <s v="EMP0846"/>
        <s v="EMP0847"/>
        <s v="EMP0848"/>
        <s v="EMP0849"/>
        <s v="EMP0850"/>
        <s v="EMP0851"/>
        <s v="EMP0852"/>
        <s v="EMP0853"/>
        <s v="EMP0854"/>
        <s v="EMP0855"/>
        <s v="EMP0856"/>
        <s v="EMP0857"/>
        <s v="EMP0858"/>
        <s v="EMP0859"/>
        <s v="EMP0860"/>
        <s v="EMP0861"/>
        <s v="EMP0862"/>
        <s v="EMP0863"/>
        <s v="EMP0864"/>
        <s v="EMP0865"/>
        <s v="EMP0866"/>
        <s v="EMP0867"/>
        <s v="EMP0868"/>
        <s v="EMP0869"/>
        <s v="EMP0870"/>
        <s v="EMP0871"/>
        <s v="EMP0872"/>
        <s v="EMP0873"/>
        <s v="EMP0874"/>
        <s v="EMP0875"/>
        <s v="EMP0876"/>
        <s v="EMP0877"/>
        <s v="EMP0878"/>
        <s v="EMP0879"/>
        <s v="EMP0880"/>
        <s v="EMP0881"/>
        <s v="EMP0882"/>
        <s v="EMP0883"/>
        <s v="EMP0884"/>
        <s v="EMP0885"/>
        <s v="EMP0886"/>
        <s v="EMP0887"/>
        <s v="EMP0888"/>
        <s v="EMP0889"/>
        <s v="EMP0890"/>
        <s v="EMP0891"/>
        <s v="EMP0892"/>
        <s v="EMP0893"/>
        <s v="EMP0894"/>
        <s v="EMP0895"/>
        <s v="EMP0896"/>
        <s v="EMP0897"/>
        <s v="EMP0898"/>
        <s v="EMP0899"/>
        <s v="EMP0900"/>
        <s v="EMP0901"/>
        <s v="EMP0902"/>
        <s v="EMP0903"/>
        <s v="EMP0904"/>
        <s v="EMP0905"/>
        <s v="EMP0906"/>
        <s v="EMP0907"/>
        <s v="EMP0908"/>
        <s v="EMP0909"/>
        <s v="EMP0910"/>
        <s v="EMP0911"/>
        <s v="EMP0912"/>
        <s v="EMP0913"/>
        <s v="EMP0914"/>
        <s v="EMP0915"/>
        <s v="EMP0916"/>
        <s v="EMP0917"/>
        <s v="EMP0918"/>
        <s v="EMP0919"/>
        <s v="EMP0920"/>
        <s v="EMP0921"/>
        <s v="EMP0922"/>
        <s v="EMP0923"/>
        <s v="EMP0924"/>
        <s v="EMP0925"/>
        <s v="EMP0926"/>
        <s v="EMP0927"/>
        <s v="EMP0928"/>
        <s v="EMP0929"/>
        <s v="EMP0930"/>
        <s v="EMP0931"/>
        <s v="EMP0932"/>
        <s v="EMP0933"/>
        <s v="EMP0934"/>
        <s v="EMP0935"/>
        <s v="EMP0936"/>
        <s v="EMP0937"/>
        <s v="EMP0938"/>
        <s v="EMP0939"/>
        <s v="EMP0940"/>
        <s v="EMP0941"/>
        <s v="EMP0942"/>
        <s v="EMP0943"/>
        <s v="EMP0944"/>
        <s v="EMP0945"/>
        <s v="EMP0946"/>
        <s v="EMP0947"/>
        <s v="EMP0948"/>
        <s v="EMP0949"/>
        <s v="EMP0950"/>
        <s v="EMP0951"/>
        <s v="EMP0952"/>
        <s v="EMP0953"/>
        <s v="EMP0954"/>
        <s v="EMP0955"/>
        <s v="EMP0956"/>
        <s v="EMP0957"/>
        <s v="EMP0958"/>
        <s v="EMP0959"/>
        <s v="EMP0960"/>
        <s v="EMP0961"/>
        <s v="EMP0962"/>
        <s v="EMP0963"/>
        <s v="EMP0964"/>
        <s v="EMP0965"/>
        <s v="EMP0966"/>
        <s v="EMP0967"/>
        <s v="EMP0968"/>
        <s v="EMP0969"/>
        <s v="EMP0970"/>
        <s v="EMP0971"/>
        <s v="EMP0972"/>
        <s v="EMP0973"/>
        <s v="EMP0974"/>
        <s v="EMP0975"/>
        <s v="EMP0976"/>
        <s v="EMP0977"/>
        <s v="EMP0978"/>
        <s v="EMP0979"/>
        <s v="EMP0980"/>
        <s v="EMP0981"/>
        <s v="EMP0982"/>
        <s v="EMP0983"/>
        <s v="EMP0984"/>
        <s v="EMP0985"/>
        <s v="EMP0986"/>
        <s v="EMP0987"/>
        <s v="EMP0988"/>
        <s v="EMP0989"/>
        <s v="EMP0990"/>
        <s v="EMP0991"/>
        <s v="EMP0992"/>
        <s v="EMP0993"/>
        <s v="EMP0994"/>
        <s v="EMP0995"/>
        <s v="EMP0996"/>
        <s v="EMP0997"/>
        <s v="EMP0998"/>
        <s v="EMP0999"/>
        <s v="EMP1000"/>
      </sharedItems>
    </cacheField>
    <cacheField name="Employee Name" numFmtId="0">
      <sharedItems count="200">
        <s v="Aman Gupta"/>
        <s v="Aman Jain"/>
        <s v="Aman Kapoor"/>
        <s v="Aman Kumar"/>
        <s v="Aman Mehta"/>
        <s v="Aman Patel"/>
        <s v="Aman Sharma"/>
        <s v="Aman Singh"/>
        <s v="Aman Verma"/>
        <s v="Aman Yadav"/>
        <s v="Anjali Gupta"/>
        <s v="Anjali Jain"/>
        <s v="Anjali Kapoor"/>
        <s v="Anjali Kumar"/>
        <s v="Anjali Mehta"/>
        <s v="Anjali Patel"/>
        <s v="Anjali Sharma"/>
        <s v="Anjali Singh"/>
        <s v="Anjali Verma"/>
        <s v="Anjali Yadav"/>
        <s v="Ankit Gupta"/>
        <s v="Ankit Jain"/>
        <s v="Ankit Kapoor"/>
        <s v="Ankit Kumar"/>
        <s v="Ankit Mehta"/>
        <s v="Ankit Patel"/>
        <s v="Ankit Sharma"/>
        <s v="Ankit Singh"/>
        <s v="Ankit Verma"/>
        <s v="Ankit Yadav"/>
        <s v="Arjun Gupta"/>
        <s v="Arjun Jain"/>
        <s v="Arjun Kapoor"/>
        <s v="Arjun Kumar"/>
        <s v="Arjun Mehta"/>
        <s v="Arjun Patel"/>
        <s v="Arjun Sharma"/>
        <s v="Arjun Singh"/>
        <s v="Arjun Verma"/>
        <s v="Arjun Yadav"/>
        <s v="Deepak Gupta"/>
        <s v="Deepak Jain"/>
        <s v="Deepak Kapoor"/>
        <s v="Deepak Kumar"/>
        <s v="Deepak Mehta"/>
        <s v="Deepak Patel"/>
        <s v="Deepak Sharma"/>
        <s v="Deepak Singh"/>
        <s v="Deepak Verma"/>
        <s v="Deepak Yadav"/>
        <s v="Karan Gupta"/>
        <s v="Karan Jain"/>
        <s v="Karan Kapoor"/>
        <s v="Karan Kumar"/>
        <s v="Karan Mehta"/>
        <s v="Karan Patel"/>
        <s v="Karan Sharma"/>
        <s v="Karan Singh"/>
        <s v="Karan Verma"/>
        <s v="Karan Yadav"/>
        <s v="Kavita Gupta"/>
        <s v="Kavita Jain"/>
        <s v="Kavita Kapoor"/>
        <s v="Kavita Kumar"/>
        <s v="Kavita Mehta"/>
        <s v="Kavita Patel"/>
        <s v="Kavita Sharma"/>
        <s v="Kavita Singh"/>
        <s v="Kavita Verma"/>
        <s v="Kavita Yadav"/>
        <s v="Meera Gupta"/>
        <s v="Meera Jain"/>
        <s v="Meera Kapoor"/>
        <s v="Meera Kumar"/>
        <s v="Meera Mehta"/>
        <s v="Meera Patel"/>
        <s v="Meera Sharma"/>
        <s v="Meera Singh"/>
        <s v="Meera Verma"/>
        <s v="Meera Yadav"/>
        <s v="Mohit Gupta"/>
        <s v="Mohit Jain"/>
        <s v="Mohit Kapoor"/>
        <s v="Mohit Kumar"/>
        <s v="Mohit Mehta"/>
        <s v="Mohit Patel"/>
        <s v="Mohit Sharma"/>
        <s v="Mohit Singh"/>
        <s v="Mohit Verma"/>
        <s v="Mohit Yadav"/>
        <s v="Neha Gupta"/>
        <s v="Neha Jain"/>
        <s v="Neha Kapoor"/>
        <s v="Neha Kumar"/>
        <s v="Neha Mehta"/>
        <s v="Neha Patel"/>
        <s v="Neha Sharma"/>
        <s v="Neha Singh"/>
        <s v="Neha Verma"/>
        <s v="Neha Yadav"/>
        <s v="Nitin Gupta"/>
        <s v="Nitin Jain"/>
        <s v="Nitin Kapoor"/>
        <s v="Nitin Kumar"/>
        <s v="Nitin Mehta"/>
        <s v="Nitin Patel"/>
        <s v="Nitin Sharma"/>
        <s v="Nitin Singh"/>
        <s v="Nitin Verma"/>
        <s v="Nitin Yadav"/>
        <s v="Pooja Gupta"/>
        <s v="Pooja Jain"/>
        <s v="Pooja Kapoor"/>
        <s v="Pooja Kumar"/>
        <s v="Pooja Mehta"/>
        <s v="Pooja Patel"/>
        <s v="Pooja Sharma"/>
        <s v="Pooja Singh"/>
        <s v="Pooja Verma"/>
        <s v="Pooja Yadav"/>
        <s v="Priya Gupta"/>
        <s v="Priya Jain"/>
        <s v="Priya Kapoor"/>
        <s v="Priya Kumar"/>
        <s v="Priya Mehta"/>
        <s v="Priya Patel"/>
        <s v="Priya Sharma"/>
        <s v="Priya Singh"/>
        <s v="Priya Verma"/>
        <s v="Priya Yadav"/>
        <s v="Rahul Gupta"/>
        <s v="Rahul Jain"/>
        <s v="Rahul Kapoor"/>
        <s v="Rahul Kumar"/>
        <s v="Rahul Mehta"/>
        <s v="Rahul Patel"/>
        <s v="Rahul Sharma"/>
        <s v="Rahul Singh"/>
        <s v="Rahul Verma"/>
        <s v="Rahul Yadav"/>
        <s v="Riya Gupta"/>
        <s v="Riya Jain"/>
        <s v="Riya Kapoor"/>
        <s v="Riya Kumar"/>
        <s v="Riya Mehta"/>
        <s v="Riya Patel"/>
        <s v="Riya Sharma"/>
        <s v="Riya Singh"/>
        <s v="Riya Verma"/>
        <s v="Riya Yadav"/>
        <s v="Rohit Gupta"/>
        <s v="Rohit Jain"/>
        <s v="Rohit Kapoor"/>
        <s v="Rohit Kumar"/>
        <s v="Rohit Mehta"/>
        <s v="Rohit Patel"/>
        <s v="Rohit Sharma"/>
        <s v="Rohit Singh"/>
        <s v="Rohit Verma"/>
        <s v="Rohit Yadav"/>
        <s v="Simran Gupta"/>
        <s v="Simran Jain"/>
        <s v="Simran Kapoor"/>
        <s v="Simran Kumar"/>
        <s v="Simran Mehta"/>
        <s v="Simran Patel"/>
        <s v="Simran Sharma"/>
        <s v="Simran Singh"/>
        <s v="Simran Verma"/>
        <s v="Simran Yadav"/>
        <s v="Sneha Gupta"/>
        <s v="Sneha Jain"/>
        <s v="Sneha Kapoor"/>
        <s v="Sneha Kumar"/>
        <s v="Sneha Mehta"/>
        <s v="Sneha Patel"/>
        <s v="Sneha Sharma"/>
        <s v="Sneha Singh"/>
        <s v="Sneha Verma"/>
        <s v="Sneha Yadav"/>
        <s v="Sonia Gupta"/>
        <s v="Sonia Jain"/>
        <s v="Sonia Kapoor"/>
        <s v="Sonia Kumar"/>
        <s v="Sonia Mehta"/>
        <s v="Sonia Patel"/>
        <s v="Sonia Sharma"/>
        <s v="Sonia Singh"/>
        <s v="Sonia Verma"/>
        <s v="Sonia Yadav"/>
        <s v="Vikas Gupta"/>
        <s v="Vikas Jain"/>
        <s v="Vikas Kapoor"/>
        <s v="Vikas Kumar"/>
        <s v="Vikas Mehta"/>
        <s v="Vikas Patel"/>
        <s v="Vikas Sharma"/>
        <s v="Vikas Singh"/>
        <s v="Vikas Verma"/>
        <s v="Vikas Yadav"/>
      </sharedItems>
    </cacheField>
    <cacheField name="Department" numFmtId="0">
      <sharedItems count="10">
        <s v="Admin"/>
        <s v="Customer Support"/>
        <s v="Finance"/>
        <s v="HR"/>
        <s v="IT"/>
        <s v="Legal"/>
        <s v="Marketing"/>
        <s v="Operations"/>
        <s v="R&amp;D"/>
        <s v="Sales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1" maxValue="60" count="40"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</sharedItems>
    </cacheField>
    <cacheField name="Salary" numFmtId="0">
      <sharedItems containsSemiMixedTypes="0" containsString="0" containsNumber="1" containsInteger="1" minValue="25000" maxValue="148955" count="977">
        <n v="25000"/>
        <n v="25045"/>
        <n v="25157"/>
        <n v="25193"/>
        <n v="25270"/>
        <n v="25478"/>
        <n v="25690"/>
        <n v="25746"/>
        <n v="25778"/>
        <n v="25989"/>
        <n v="26047"/>
        <n v="26086"/>
        <n v="26752"/>
        <n v="26784"/>
        <n v="26932"/>
        <n v="27364"/>
        <n v="28107"/>
        <n v="28395"/>
        <n v="28436"/>
        <n v="28778"/>
        <n v="29087"/>
        <n v="29107"/>
        <n v="29156"/>
        <n v="29263"/>
        <n v="29283"/>
        <n v="29565"/>
        <n v="29697"/>
        <n v="29708"/>
        <n v="29771"/>
        <n v="29795"/>
        <n v="29824"/>
        <n v="29862"/>
        <n v="30073"/>
        <n v="30136"/>
        <n v="30142"/>
        <n v="30369"/>
        <n v="30559"/>
        <n v="30883"/>
        <n v="31028"/>
        <n v="31072"/>
        <n v="31101"/>
        <n v="31844"/>
        <n v="31923"/>
        <n v="31967"/>
        <n v="32094"/>
        <n v="32634"/>
        <n v="32734"/>
        <n v="32739"/>
        <n v="32850"/>
        <n v="32896"/>
        <n v="32994"/>
        <n v="33017"/>
        <n v="33085"/>
        <n v="33119"/>
        <n v="33407"/>
        <n v="33482"/>
        <n v="33536"/>
        <n v="33849"/>
        <n v="33897"/>
        <n v="34306"/>
        <n v="34400"/>
        <n v="34466"/>
        <n v="34520"/>
        <n v="34779"/>
        <n v="34836"/>
        <n v="34941"/>
        <n v="34952"/>
        <n v="35082"/>
        <n v="35123"/>
        <n v="35125"/>
        <n v="35525"/>
        <n v="35541"/>
        <n v="35589"/>
        <n v="35591"/>
        <n v="35808"/>
        <n v="36141"/>
        <n v="36164"/>
        <n v="36497"/>
        <n v="36545"/>
        <n v="36564"/>
        <n v="36568"/>
        <n v="36758"/>
        <n v="37066"/>
        <n v="37137"/>
        <n v="37192"/>
        <n v="37259"/>
        <n v="37594"/>
        <n v="37630"/>
        <n v="37665"/>
        <n v="37783"/>
        <n v="37875"/>
        <n v="37942"/>
        <n v="38059"/>
        <n v="38167"/>
        <n v="38200"/>
        <n v="38247"/>
        <n v="38420"/>
        <n v="38817"/>
        <n v="38822"/>
        <n v="39050"/>
        <n v="39169"/>
        <n v="39422"/>
        <n v="39463"/>
        <n v="39535"/>
        <n v="39680"/>
        <n v="39893"/>
        <n v="39943"/>
        <n v="39979"/>
        <n v="40057"/>
        <n v="40093"/>
        <n v="40193"/>
        <n v="40392"/>
        <n v="40479"/>
        <n v="40627"/>
        <n v="40847"/>
        <n v="40856"/>
        <n v="40939"/>
        <n v="41020"/>
        <n v="41046"/>
        <n v="41134"/>
        <n v="41613"/>
        <n v="41710"/>
        <n v="41728"/>
        <n v="41751"/>
        <n v="41938"/>
        <n v="42304"/>
        <n v="42326"/>
        <n v="42753"/>
        <n v="42799"/>
        <n v="42830"/>
        <n v="42869"/>
        <n v="42911"/>
        <n v="42939"/>
        <n v="42947"/>
        <n v="43101"/>
        <n v="43114"/>
        <n v="43468"/>
        <n v="43481"/>
        <n v="43540"/>
        <n v="43588"/>
        <n v="43819"/>
        <n v="44042"/>
        <n v="44080"/>
        <n v="44131"/>
        <n v="44135"/>
        <n v="44686"/>
        <n v="44715"/>
        <n v="44731"/>
        <n v="44797"/>
        <n v="45520"/>
        <n v="45524"/>
        <n v="45863"/>
        <n v="45892"/>
        <n v="45948"/>
        <n v="45987"/>
        <n v="46088"/>
        <n v="46104"/>
        <n v="46183"/>
        <n v="46216"/>
        <n v="46277"/>
        <n v="46370"/>
        <n v="46405"/>
        <n v="46422"/>
        <n v="46464"/>
        <n v="46502"/>
        <n v="46558"/>
        <n v="46666"/>
        <n v="46737"/>
        <n v="46863"/>
        <n v="46866"/>
        <n v="46945"/>
        <n v="46962"/>
        <n v="47013"/>
        <n v="47186"/>
        <n v="47211"/>
        <n v="47288"/>
        <n v="47465"/>
        <n v="47654"/>
        <n v="47688"/>
        <n v="47719"/>
        <n v="47929"/>
        <n v="48298"/>
        <n v="48349"/>
        <n v="48412"/>
        <n v="48426"/>
        <n v="48744"/>
        <n v="48823"/>
        <n v="49036"/>
        <n v="49398"/>
        <n v="49565"/>
        <n v="49705"/>
        <n v="49812"/>
        <n v="49821"/>
        <n v="50184"/>
        <n v="50321"/>
        <n v="50476"/>
        <n v="50568"/>
        <n v="50582"/>
        <n v="50630"/>
        <n v="50691"/>
        <n v="50730"/>
        <n v="50858"/>
        <n v="50956"/>
        <n v="50981"/>
        <n v="51025"/>
        <n v="51071"/>
        <n v="51077"/>
        <n v="51171"/>
        <n v="51961"/>
        <n v="51994"/>
        <n v="52014"/>
        <n v="52185"/>
        <n v="52205"/>
        <n v="52419"/>
        <n v="52514"/>
        <n v="52615"/>
        <n v="52693"/>
        <n v="52712"/>
        <n v="52750"/>
        <n v="52831"/>
        <n v="52908"/>
        <n v="53005"/>
        <n v="53328"/>
        <n v="53383"/>
        <n v="53488"/>
        <n v="53560"/>
        <n v="53578"/>
        <n v="53599"/>
        <n v="53646"/>
        <n v="53678"/>
        <n v="53718"/>
        <n v="53722"/>
        <n v="53788"/>
        <n v="53837"/>
        <n v="53881"/>
        <n v="54132"/>
        <n v="54291"/>
        <n v="54317"/>
        <n v="54387"/>
        <n v="54704"/>
        <n v="54717"/>
        <n v="54735"/>
        <n v="54775"/>
        <n v="54944"/>
        <n v="54963"/>
        <n v="55077"/>
        <n v="55093"/>
        <n v="55173"/>
        <n v="55216"/>
        <n v="55229"/>
        <n v="55349"/>
        <n v="55425"/>
        <n v="55488"/>
        <n v="55635"/>
        <n v="55638"/>
        <n v="55698"/>
        <n v="55743"/>
        <n v="55756"/>
        <n v="55965"/>
        <n v="56036"/>
        <n v="56171"/>
        <n v="56354"/>
        <n v="56374"/>
        <n v="56383"/>
        <n v="56394"/>
        <n v="56609"/>
        <n v="56719"/>
        <n v="56854"/>
        <n v="56956"/>
        <n v="57004"/>
        <n v="57188"/>
        <n v="57345"/>
        <n v="57466"/>
        <n v="57551"/>
        <n v="57811"/>
        <n v="58048"/>
        <n v="58135"/>
        <n v="58207"/>
        <n v="58234"/>
        <n v="58306"/>
        <n v="58408"/>
        <n v="58572"/>
        <n v="58620"/>
        <n v="58662"/>
        <n v="58764"/>
        <n v="58821"/>
        <n v="58896"/>
        <n v="58932"/>
        <n v="58968"/>
        <n v="59160"/>
        <n v="59318"/>
        <n v="59624"/>
        <n v="59658"/>
        <n v="59722"/>
        <n v="59848"/>
        <n v="59860"/>
        <n v="59935"/>
        <n v="59951"/>
        <n v="60062"/>
        <n v="60296"/>
        <n v="60300"/>
        <n v="60423"/>
        <n v="60435"/>
        <n v="60437"/>
        <n v="60473"/>
        <n v="60543"/>
        <n v="60562"/>
        <n v="60653"/>
        <n v="60690"/>
        <n v="60821"/>
        <n v="61153"/>
        <n v="61163"/>
        <n v="61169"/>
        <n v="61345"/>
        <n v="61372"/>
        <n v="61383"/>
        <n v="61387"/>
        <n v="61410"/>
        <n v="61412"/>
        <n v="61530"/>
        <n v="61765"/>
        <n v="61955"/>
        <n v="62185"/>
        <n v="62313"/>
        <n v="62329"/>
        <n v="62552"/>
        <n v="62590"/>
        <n v="62624"/>
        <n v="62648"/>
        <n v="62854"/>
        <n v="63008"/>
        <n v="63024"/>
        <n v="63329"/>
        <n v="63575"/>
        <n v="63592"/>
        <n v="63612"/>
        <n v="63693"/>
        <n v="64377"/>
        <n v="64504"/>
        <n v="64981"/>
        <n v="65039"/>
        <n v="65081"/>
        <n v="65149"/>
        <n v="65157"/>
        <n v="65192"/>
        <n v="65358"/>
        <n v="65585"/>
        <n v="65614"/>
        <n v="65629"/>
        <n v="65685"/>
        <n v="65920"/>
        <n v="65924"/>
        <n v="65975"/>
        <n v="66056"/>
        <n v="66235"/>
        <n v="66456"/>
        <n v="66512"/>
        <n v="66591"/>
        <n v="66628"/>
        <n v="66729"/>
        <n v="67021"/>
        <n v="67033"/>
        <n v="67150"/>
        <n v="67334"/>
        <n v="67399"/>
        <n v="67478"/>
        <n v="67982"/>
        <n v="68065"/>
        <n v="68303"/>
        <n v="68320"/>
        <n v="68442"/>
        <n v="68446"/>
        <n v="68687"/>
        <n v="68701"/>
        <n v="68784"/>
        <n v="68826"/>
        <n v="68853"/>
        <n v="68898"/>
        <n v="68992"/>
        <n v="69393"/>
        <n v="69408"/>
        <n v="69505"/>
        <n v="69669"/>
        <n v="69867"/>
        <n v="69907"/>
        <n v="69918"/>
        <n v="70377"/>
        <n v="70389"/>
        <n v="70395"/>
        <n v="70412"/>
        <n v="70439"/>
        <n v="70489"/>
        <n v="70607"/>
        <n v="70619"/>
        <n v="70716"/>
        <n v="70778"/>
        <n v="70879"/>
        <n v="71034"/>
        <n v="71335"/>
        <n v="71350"/>
        <n v="71610"/>
        <n v="71632"/>
        <n v="71732"/>
        <n v="71752"/>
        <n v="71862"/>
        <n v="71899"/>
        <n v="71955"/>
        <n v="72054"/>
        <n v="72082"/>
        <n v="72488"/>
        <n v="72578"/>
        <n v="72806"/>
        <n v="72878"/>
        <n v="73164"/>
        <n v="73294"/>
        <n v="73344"/>
        <n v="73357"/>
        <n v="73396"/>
        <n v="73545"/>
        <n v="73573"/>
        <n v="73694"/>
        <n v="73885"/>
        <n v="74049"/>
        <n v="74105"/>
        <n v="74152"/>
        <n v="74155"/>
        <n v="74188"/>
        <n v="74520"/>
        <n v="74534"/>
        <n v="74605"/>
        <n v="74661"/>
        <n v="74979"/>
        <n v="75145"/>
        <n v="75710"/>
        <n v="75718"/>
        <n v="75774"/>
        <n v="76081"/>
        <n v="76613"/>
        <n v="76631"/>
        <n v="76691"/>
        <n v="76887"/>
        <n v="77008"/>
        <n v="77280"/>
        <n v="77578"/>
        <n v="77708"/>
        <n v="77712"/>
        <n v="77734"/>
        <n v="77964"/>
        <n v="77990"/>
        <n v="78266"/>
        <n v="78345"/>
        <n v="78456"/>
        <n v="78496"/>
        <n v="78674"/>
        <n v="79318"/>
        <n v="79608"/>
        <n v="80058"/>
        <n v="80088"/>
        <n v="80114"/>
        <n v="80147"/>
        <n v="80258"/>
        <n v="80413"/>
        <n v="80593"/>
        <n v="80656"/>
        <n v="80682"/>
        <n v="80898"/>
        <n v="80942"/>
        <n v="80956"/>
        <n v="81181"/>
        <n v="81438"/>
        <n v="81836"/>
        <n v="81898"/>
        <n v="82123"/>
        <n v="82513"/>
        <n v="82517"/>
        <n v="82642"/>
        <n v="82672"/>
        <n v="83203"/>
        <n v="83246"/>
        <n v="83317"/>
        <n v="83492"/>
        <n v="83495"/>
        <n v="83501"/>
        <n v="83552"/>
        <n v="83559"/>
        <n v="83761"/>
        <n v="83807"/>
        <n v="83990"/>
        <n v="84383"/>
        <n v="84461"/>
        <n v="84763"/>
        <n v="84818"/>
        <n v="84846"/>
        <n v="84874"/>
        <n v="84956"/>
        <n v="84999"/>
        <n v="85087"/>
        <n v="85258"/>
        <n v="85383"/>
        <n v="85439"/>
        <n v="85599"/>
        <n v="85602"/>
        <n v="85652"/>
        <n v="85669"/>
        <n v="85748"/>
        <n v="85771"/>
        <n v="85978"/>
        <n v="86249"/>
        <n v="86384"/>
        <n v="86450"/>
        <n v="86698"/>
        <n v="86790"/>
        <n v="87067"/>
        <n v="87117"/>
        <n v="87309"/>
        <n v="87391"/>
        <n v="87779"/>
        <n v="87854"/>
        <n v="87872"/>
        <n v="88161"/>
        <n v="88207"/>
        <n v="88326"/>
        <n v="88568"/>
        <n v="88697"/>
        <n v="88719"/>
        <n v="88817"/>
        <n v="88825"/>
        <n v="88862"/>
        <n v="89119"/>
        <n v="89443"/>
        <n v="89445"/>
        <n v="89505"/>
        <n v="89679"/>
        <n v="89865"/>
        <n v="90132"/>
        <n v="90349"/>
        <n v="90405"/>
        <n v="91136"/>
        <n v="91192"/>
        <n v="91247"/>
        <n v="91284"/>
        <n v="91359"/>
        <n v="91572"/>
        <n v="91814"/>
        <n v="91840"/>
        <n v="92051"/>
        <n v="92119"/>
        <n v="92298"/>
        <n v="92317"/>
        <n v="92331"/>
        <n v="92849"/>
        <n v="93152"/>
        <n v="93231"/>
        <n v="93251"/>
        <n v="93304"/>
        <n v="93417"/>
        <n v="93651"/>
        <n v="93815"/>
        <n v="94075"/>
        <n v="94118"/>
        <n v="94274"/>
        <n v="94391"/>
        <n v="94486"/>
        <n v="94642"/>
        <n v="94656"/>
        <n v="94740"/>
        <n v="94765"/>
        <n v="94809"/>
        <n v="94906"/>
        <n v="94964"/>
        <n v="95001"/>
        <n v="95275"/>
        <n v="95276"/>
        <n v="95342"/>
        <n v="95344"/>
        <n v="95495"/>
        <n v="95899"/>
        <n v="96023"/>
        <n v="96191"/>
        <n v="96220"/>
        <n v="96274"/>
        <n v="96360"/>
        <n v="96460"/>
        <n v="96568"/>
        <n v="96798"/>
        <n v="96940"/>
        <n v="97089"/>
        <n v="97265"/>
        <n v="97290"/>
        <n v="97351"/>
        <n v="97575"/>
        <n v="97709"/>
        <n v="97934"/>
        <n v="98061"/>
        <n v="98321"/>
        <n v="98343"/>
        <n v="98383"/>
        <n v="98386"/>
        <n v="98424"/>
        <n v="98559"/>
        <n v="98834"/>
        <n v="98983"/>
        <n v="99151"/>
        <n v="99312"/>
        <n v="99339"/>
        <n v="99366"/>
        <n v="99406"/>
        <n v="99592"/>
        <n v="99664"/>
        <n v="99904"/>
        <n v="100013"/>
        <n v="100046"/>
        <n v="100287"/>
        <n v="100298"/>
        <n v="100319"/>
        <n v="100348"/>
        <n v="100494"/>
        <n v="100546"/>
        <n v="100592"/>
        <n v="100695"/>
        <n v="100708"/>
        <n v="100716"/>
        <n v="101048"/>
        <n v="101059"/>
        <n v="101192"/>
        <n v="101354"/>
        <n v="101390"/>
        <n v="101512"/>
        <n v="101531"/>
        <n v="101623"/>
        <n v="101671"/>
        <n v="101681"/>
        <n v="101691"/>
        <n v="101882"/>
        <n v="102339"/>
        <n v="102497"/>
        <n v="102597"/>
        <n v="102738"/>
        <n v="102816"/>
        <n v="103005"/>
        <n v="103219"/>
        <n v="103688"/>
        <n v="103716"/>
        <n v="103726"/>
        <n v="103971"/>
        <n v="104091"/>
        <n v="104092"/>
        <n v="104172"/>
        <n v="104356"/>
        <n v="104426"/>
        <n v="104634"/>
        <n v="105154"/>
        <n v="105207"/>
        <n v="105302"/>
        <n v="105377"/>
        <n v="105489"/>
        <n v="105640"/>
        <n v="105652"/>
        <n v="105697"/>
        <n v="106296"/>
        <n v="106449"/>
        <n v="106525"/>
        <n v="106632"/>
        <n v="106662"/>
        <n v="106693"/>
        <n v="106698"/>
        <n v="106718"/>
        <n v="106859"/>
        <n v="107042"/>
        <n v="107103"/>
        <n v="107105"/>
        <n v="107182"/>
        <n v="107231"/>
        <n v="107243"/>
        <n v="107731"/>
        <n v="107834"/>
        <n v="107998"/>
        <n v="108301"/>
        <n v="108307"/>
        <n v="108657"/>
        <n v="108660"/>
        <n v="108737"/>
        <n v="109048"/>
        <n v="109179"/>
        <n v="109352"/>
        <n v="109397"/>
        <n v="109471"/>
        <n v="109647"/>
        <n v="109649"/>
        <n v="109657"/>
        <n v="110056"/>
        <n v="110447"/>
        <n v="110455"/>
        <n v="110742"/>
        <n v="110992"/>
        <n v="111107"/>
        <n v="111249"/>
        <n v="111286"/>
        <n v="111370"/>
        <n v="111763"/>
        <n v="111800"/>
        <n v="111924"/>
        <n v="111963"/>
        <n v="112077"/>
        <n v="112321"/>
        <n v="112394"/>
        <n v="112482"/>
        <n v="112512"/>
        <n v="112684"/>
        <n v="112687"/>
        <n v="112739"/>
        <n v="112808"/>
        <n v="113013"/>
        <n v="113051"/>
        <n v="113057"/>
        <n v="113237"/>
        <n v="113269"/>
        <n v="113303"/>
        <n v="113321"/>
        <n v="113619"/>
        <n v="113647"/>
        <n v="113658"/>
        <n v="113695"/>
        <n v="113755"/>
        <n v="113758"/>
        <n v="113858"/>
        <n v="113938"/>
        <n v="114058"/>
        <n v="114165"/>
        <n v="114354"/>
        <n v="114372"/>
        <n v="114380"/>
        <n v="114480"/>
        <n v="114514"/>
        <n v="114574"/>
        <n v="114602"/>
        <n v="114769"/>
        <n v="114772"/>
        <n v="114846"/>
        <n v="114982"/>
        <n v="114998"/>
        <n v="115110"/>
        <n v="115140"/>
        <n v="115200"/>
        <n v="115232"/>
        <n v="115571"/>
        <n v="115679"/>
        <n v="115721"/>
        <n v="115765"/>
        <n v="115957"/>
        <n v="116016"/>
        <n v="116142"/>
        <n v="116286"/>
        <n v="116417"/>
        <n v="116466"/>
        <n v="116512"/>
        <n v="116546"/>
        <n v="116609"/>
        <n v="116638"/>
        <n v="116689"/>
        <n v="116918"/>
        <n v="116944"/>
        <n v="116998"/>
        <n v="117285"/>
        <n v="117566"/>
        <n v="117694"/>
        <n v="118103"/>
        <n v="118265"/>
        <n v="118310"/>
        <n v="118412"/>
        <n v="118464"/>
        <n v="118479"/>
        <n v="118701"/>
        <n v="118806"/>
        <n v="118931"/>
        <n v="119135"/>
        <n v="119167"/>
        <n v="119187"/>
        <n v="119374"/>
        <n v="119646"/>
        <n v="119658"/>
        <n v="119684"/>
        <n v="119754"/>
        <n v="119800"/>
        <n v="119904"/>
        <n v="120156"/>
        <n v="120178"/>
        <n v="120336"/>
        <n v="120424"/>
        <n v="120562"/>
        <n v="120721"/>
        <n v="120820"/>
        <n v="120881"/>
        <n v="120891"/>
        <n v="120989"/>
        <n v="121185"/>
        <n v="121229"/>
        <n v="121299"/>
        <n v="121364"/>
        <n v="121431"/>
        <n v="121550"/>
        <n v="121610"/>
        <n v="121675"/>
        <n v="121712"/>
        <n v="121721"/>
        <n v="121786"/>
        <n v="121994"/>
        <n v="122274"/>
        <n v="122287"/>
        <n v="122622"/>
        <n v="122641"/>
        <n v="122738"/>
        <n v="122791"/>
        <n v="122814"/>
        <n v="122877"/>
        <n v="122966"/>
        <n v="123063"/>
        <n v="123170"/>
        <n v="123252"/>
        <n v="123468"/>
        <n v="123504"/>
        <n v="123555"/>
        <n v="123592"/>
        <n v="123754"/>
        <n v="123772"/>
        <n v="123870"/>
        <n v="124245"/>
        <n v="124774"/>
        <n v="124833"/>
        <n v="124895"/>
        <n v="125053"/>
        <n v="125117"/>
        <n v="125323"/>
        <n v="125337"/>
        <n v="125489"/>
        <n v="125632"/>
        <n v="125677"/>
        <n v="125720"/>
        <n v="125771"/>
        <n v="125832"/>
        <n v="125917"/>
        <n v="126005"/>
        <n v="126123"/>
        <n v="126133"/>
        <n v="126287"/>
        <n v="126482"/>
        <n v="126537"/>
        <n v="126556"/>
        <n v="126677"/>
        <n v="126752"/>
        <n v="126848"/>
        <n v="126948"/>
        <n v="126991"/>
        <n v="127256"/>
        <n v="127351"/>
        <n v="127484"/>
        <n v="127710"/>
        <n v="127857"/>
        <n v="128242"/>
        <n v="128264"/>
        <n v="128334"/>
        <n v="128498"/>
        <n v="128606"/>
        <n v="128825"/>
        <n v="128856"/>
        <n v="129005"/>
        <n v="129059"/>
        <n v="129160"/>
        <n v="129192"/>
        <n v="129375"/>
        <n v="129567"/>
        <n v="129571"/>
        <n v="129605"/>
        <n v="129676"/>
        <n v="129902"/>
        <n v="130007"/>
        <n v="130096"/>
        <n v="130136"/>
        <n v="130146"/>
        <n v="130147"/>
        <n v="130344"/>
        <n v="130383"/>
        <n v="130439"/>
        <n v="130482"/>
        <n v="130483"/>
        <n v="130491"/>
        <n v="130602"/>
        <n v="130627"/>
        <n v="130705"/>
        <n v="130707"/>
        <n v="130733"/>
        <n v="130734"/>
        <n v="130939"/>
        <n v="131135"/>
        <n v="131396"/>
        <n v="131620"/>
        <n v="131629"/>
        <n v="131799"/>
        <n v="131833"/>
        <n v="131955"/>
        <n v="132122"/>
        <n v="132128"/>
        <n v="132509"/>
        <n v="132587"/>
        <n v="132676"/>
        <n v="132879"/>
        <n v="132903"/>
        <n v="133063"/>
        <n v="133137"/>
        <n v="133401"/>
        <n v="133530"/>
        <n v="133532"/>
        <n v="133618"/>
        <n v="133769"/>
        <n v="134045"/>
        <n v="134087"/>
        <n v="134244"/>
        <n v="134429"/>
        <n v="134776"/>
        <n v="134805"/>
        <n v="134853"/>
        <n v="135067"/>
        <n v="135081"/>
        <n v="135286"/>
        <n v="135604"/>
        <n v="135651"/>
        <n v="135883"/>
        <n v="135998"/>
        <n v="136162"/>
        <n v="136176"/>
        <n v="136198"/>
        <n v="136337"/>
        <n v="136503"/>
        <n v="136542"/>
        <n v="137212"/>
        <n v="137325"/>
        <n v="137350"/>
        <n v="137352"/>
        <n v="137924"/>
        <n v="138099"/>
        <n v="138152"/>
        <n v="138166"/>
        <n v="138192"/>
        <n v="138448"/>
        <n v="138579"/>
        <n v="138680"/>
        <n v="138711"/>
        <n v="138933"/>
        <n v="138957"/>
        <n v="139134"/>
        <n v="139264"/>
        <n v="139278"/>
        <n v="139424"/>
        <n v="139564"/>
        <n v="139655"/>
        <n v="139749"/>
        <n v="140056"/>
        <n v="140583"/>
        <n v="140613"/>
        <n v="140702"/>
        <n v="141112"/>
        <n v="141180"/>
        <n v="142376"/>
        <n v="142629"/>
        <n v="142687"/>
        <n v="143083"/>
        <n v="143230"/>
        <n v="143260"/>
        <n v="143774"/>
        <n v="143825"/>
        <n v="143903"/>
        <n v="144536"/>
        <n v="145219"/>
        <n v="145603"/>
        <n v="145791"/>
        <n v="148919"/>
        <n v="148955"/>
      </sharedItems>
    </cacheField>
    <cacheField name="Experience" numFmtId="0">
      <sharedItems containsSemiMixedTypes="0" containsString="0" containsNumber="1" containsInteger="1" minValue="0" maxValue="35" count="36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</sharedItems>
    </cacheField>
    <cacheField name="Joining Date" numFmtId="0">
      <sharedItems count="904">
        <s v="01-Apr-2016"/>
        <s v="01-Apr-2019"/>
        <s v="01-Apr-2023"/>
        <s v="01-Aug-2015"/>
        <s v="01-Aug-2020"/>
        <s v="01-Aug-2023"/>
        <s v="01-Dec-2015"/>
        <s v="01-Dec-2017"/>
        <s v="01-Dec-2019"/>
        <s v="01-Dec-2023"/>
        <s v="01-Dec-2024"/>
        <s v="01-Feb-2017"/>
        <s v="01-Feb-2024"/>
        <s v="01-Feb-2025"/>
        <s v="01-Feb-2026"/>
        <s v="01-Jan-2016"/>
        <s v="01-Jan-2017"/>
        <s v="01-Jan-2018"/>
        <s v="01-Jan-2020"/>
        <s v="01-Jul-2015"/>
        <s v="01-Jul-2018"/>
        <s v="01-Jul-2025"/>
        <s v="01-Jun-2017"/>
        <s v="01-Jun-2023"/>
        <s v="01-Mar-2017"/>
        <s v="01-Mar-2025"/>
        <s v="01-May-2022"/>
        <s v="01-Nov-2019"/>
        <s v="01-Nov-2020"/>
        <s v="01-Oct-2019"/>
        <s v="01-Oct-2024"/>
        <s v="01-Sep-2021"/>
        <s v="01-Sep-2023"/>
        <s v="01-Sep-2024"/>
        <s v="02-Apr-2016"/>
        <s v="02-Apr-2018"/>
        <s v="02-Apr-2025"/>
        <s v="02-Apr-2026"/>
        <s v="02-Aug-2019"/>
        <s v="02-Aug-2023"/>
        <s v="02-Dec-2019"/>
        <s v="02-Dec-2023"/>
        <s v="02-Feb-2017"/>
        <s v="02-Feb-2023"/>
        <s v="02-Jan-2021"/>
        <s v="02-Jan-2024"/>
        <s v="02-Jul-2015"/>
        <s v="02-Jul-2020"/>
        <s v="02-Jul-2023"/>
        <s v="02-Jul-2024"/>
        <s v="02-Jun-2017"/>
        <s v="02-Jun-2022"/>
        <s v="02-Mar-2015"/>
        <s v="02-Mar-2016"/>
        <s v="02-May-2018"/>
        <s v="02-Nov-2025"/>
        <s v="02-Oct-2019"/>
        <s v="02-Oct-2021"/>
        <s v="02-Oct-2023"/>
        <s v="02-Sep-2016"/>
        <s v="02-Sep-2023"/>
        <s v="02-Sep-2025"/>
        <s v="03-Apr-2017"/>
        <s v="03-Apr-2020"/>
        <s v="03-Apr-2021"/>
        <s v="03-Apr-2024"/>
        <s v="03-Aug-2016"/>
        <s v="03-Aug-2019"/>
        <s v="03-Aug-2020"/>
        <s v="03-Aug-2025"/>
        <s v="03-Dec-2020"/>
        <s v="03-Feb-2016"/>
        <s v="03-Feb-2018"/>
        <s v="03-Feb-2021"/>
        <s v="03-Jan-2017"/>
        <s v="03-Jan-2024"/>
        <s v="03-Jan-2025"/>
        <s v="03-Jul-2019"/>
        <s v="03-Jun-2025"/>
        <s v="03-Mar-2026"/>
        <s v="03-May-2016"/>
        <s v="03-May-2020"/>
        <s v="03-May-2025"/>
        <s v="03-May-2026"/>
        <s v="03-Nov-2015"/>
        <s v="03-Nov-2016"/>
        <s v="03-Nov-2018"/>
        <s v="03-Nov-2025"/>
        <s v="03-Oct-2018"/>
        <s v="03-Oct-2024"/>
        <s v="03-Sep-2015"/>
        <s v="03-Sep-2018"/>
        <s v="04-Apr-2016"/>
        <s v="04-Apr-2020"/>
        <s v="04-Apr-2022"/>
        <s v="04-Aug-2015"/>
        <s v="04-Aug-2016"/>
        <s v="04-Aug-2018"/>
        <s v="04-Aug-2023"/>
        <s v="04-Aug-2024"/>
        <s v="04-Dec-2015"/>
        <s v="04-Dec-2016"/>
        <s v="04-Dec-2023"/>
        <s v="04-Dec-2024"/>
        <s v="04-Feb-2017"/>
        <s v="04-Feb-2023"/>
        <s v="04-Feb-2024"/>
        <s v="04-Jan-2022"/>
        <s v="04-Jan-2024"/>
        <s v="04-Jan-2026"/>
        <s v="04-Jun-2018"/>
        <s v="04-Jun-2020"/>
        <s v="04-Mar-2017"/>
        <s v="04-Mar-2018"/>
        <s v="04-Mar-2019"/>
        <s v="04-Mar-2021"/>
        <s v="04-May-2018"/>
        <s v="04-May-2021"/>
        <s v="04-May-2025"/>
        <s v="04-Nov-2021"/>
        <s v="04-Nov-2022"/>
        <s v="04-Nov-2023"/>
        <s v="04-Oct-2016"/>
        <s v="04-Oct-2025"/>
        <s v="04-Sep-2015"/>
        <s v="04-Sep-2016"/>
        <s v="04-Sep-2024"/>
        <s v="05-Apr-2018"/>
        <s v="05-Apr-2019"/>
        <s v="05-Apr-2022"/>
        <s v="05-Dec-2018"/>
        <s v="05-Dec-2021"/>
        <s v="05-Feb-2021"/>
        <s v="05-Feb-2025"/>
        <s v="05-Jan-2016"/>
        <s v="05-Jul-2017"/>
        <s v="05-Jul-2023"/>
        <s v="05-Jun-2018"/>
        <s v="05-Jun-2019"/>
        <s v="05-Jun-2020"/>
        <s v="05-Jun-2021"/>
        <s v="05-Mar-2018"/>
        <s v="05-Mar-2024"/>
        <s v="05-May-2019"/>
        <s v="05-May-2020"/>
        <s v="05-Nov-2018"/>
        <s v="05-Nov-2019"/>
        <s v="05-Nov-2021"/>
        <s v="05-Nov-2024"/>
        <s v="05-Oct-2016"/>
        <s v="05-Oct-2017"/>
        <s v="05-Oct-2021"/>
        <s v="05-Sep-2022"/>
        <s v="06-Apr-2016"/>
        <s v="06-Apr-2023"/>
        <s v="06-Aug-2016"/>
        <s v="06-Aug-2020"/>
        <s v="06-Dec-2020"/>
        <s v="06-Dec-2021"/>
        <s v="06-Feb-2016"/>
        <s v="06-Feb-2017"/>
        <s v="06-Feb-2025"/>
        <s v="06-Jan-2023"/>
        <s v="06-Jul-2023"/>
        <s v="06-Jul-2025"/>
        <s v="06-Jun-2018"/>
        <s v="06-Jun-2019"/>
        <s v="06-Jun-2024"/>
        <s v="06-Jun-2026"/>
        <s v="06-Mar-2015"/>
        <s v="06-Mar-2016"/>
        <s v="06-Mar-2017"/>
        <s v="06-Mar-2018"/>
        <s v="06-Mar-2020"/>
        <s v="06-Mar-2021"/>
        <s v="06-Mar-2025"/>
        <s v="06-May-2023"/>
        <s v="06-Nov-2019"/>
        <s v="06-Nov-2021"/>
        <s v="06-Oct-2021"/>
        <s v="06-Sep-2020"/>
        <s v="06-Sep-2025"/>
        <s v="07-Apr-2018"/>
        <s v="07-Aug-2016"/>
        <s v="07-Aug-2021"/>
        <s v="07-Aug-2025"/>
        <s v="07-Dec-2018"/>
        <s v="07-Dec-2020"/>
        <s v="07-Dec-2025"/>
        <s v="07-Feb-2016"/>
        <s v="07-Feb-2023"/>
        <s v="07-Feb-2025"/>
        <s v="07-Jan-2021"/>
        <s v="07-Jul-2016"/>
        <s v="07-Jul-2024"/>
        <s v="07-Jun-2018"/>
        <s v="07-Jun-2021"/>
        <s v="07-Mar-2025"/>
        <s v="07-May-2018"/>
        <s v="07-May-2019"/>
        <s v="07-May-2022"/>
        <s v="07-May-2023"/>
        <s v="07-May-2024"/>
        <s v="07-Nov-2016"/>
        <s v="07-Nov-2021"/>
        <s v="07-Oct-2023"/>
        <s v="07-Sep-2017"/>
        <s v="08-Apr-2015"/>
        <s v="08-Apr-2022"/>
        <s v="08-Apr-2023"/>
        <s v="08-Aug-2019"/>
        <s v="08-Aug-2021"/>
        <s v="08-Dec-2025"/>
        <s v="08-Feb-2019"/>
        <s v="08-Feb-2020"/>
        <s v="08-Jan-2017"/>
        <s v="08-Jan-2026"/>
        <s v="08-Jul-2017"/>
        <s v="08-Jul-2021"/>
        <s v="08-Jun-2020"/>
        <s v="08-Jun-2021"/>
        <s v="08-Mar-2016"/>
        <s v="08-Mar-2023"/>
        <s v="08-May-2016"/>
        <s v="08-May-2020"/>
        <s v="08-May-2024"/>
        <s v="08-Nov-2022"/>
        <s v="08-Nov-2024"/>
        <s v="08-Oct-2021"/>
        <s v="08-Oct-2022"/>
        <s v="08-Sep-2015"/>
        <s v="08-Sep-2020"/>
        <s v="08-Sep-2022"/>
        <s v="08-Sep-2023"/>
        <s v="08-Sep-2024"/>
        <s v="09-Apr-2017"/>
        <s v="09-Apr-2023"/>
        <s v="09-Apr-2024"/>
        <s v="09-Aug-2015"/>
        <s v="09-Aug-2017"/>
        <s v="09-Aug-2018"/>
        <s v="09-Aug-2019"/>
        <s v="09-Aug-2023"/>
        <s v="09-Dec-2015"/>
        <s v="09-Feb-2022"/>
        <s v="09-Feb-2023"/>
        <s v="09-Jan-2016"/>
        <s v="09-Jan-2017"/>
        <s v="09-Jan-2023"/>
        <s v="09-Jul-2020"/>
        <s v="09-Jun-2025"/>
        <s v="09-Jun-2026"/>
        <s v="09-Mar-2020"/>
        <s v="09-Mar-2022"/>
        <s v="09-May-2015"/>
        <s v="09-Nov-2017"/>
        <s v="09-Nov-2024"/>
        <s v="09-Oct-2017"/>
        <s v="09-Oct-2021"/>
        <s v="09-Oct-2024"/>
        <s v="09-Oct-2025"/>
        <s v="09-Sep-2016"/>
        <s v="09-Sep-2017"/>
        <s v="09-Sep-2024"/>
        <s v="10-Apr-2015"/>
        <s v="10-Apr-2017"/>
        <s v="10-Apr-2019"/>
        <s v="10-Apr-2024"/>
        <s v="10-Apr-2026"/>
        <s v="10-Aug-2020"/>
        <s v="10-Aug-2022"/>
        <s v="10-Aug-2024"/>
        <s v="10-Aug-2025"/>
        <s v="10-Dec-2017"/>
        <s v="10-Dec-2025"/>
        <s v="10-Feb-2021"/>
        <s v="10-Jul-2018"/>
        <s v="10-Jul-2022"/>
        <s v="10-Jun-2020"/>
        <s v="10-Jun-2021"/>
        <s v="10-Jun-2022"/>
        <s v="10-Mar-2018"/>
        <s v="10-May-2016"/>
        <s v="10-May-2018"/>
        <s v="10-May-2025"/>
        <s v="10-May-2026"/>
        <s v="10-Nov-2017"/>
        <s v="10-Nov-2020"/>
        <s v="10-Sep-2024"/>
        <s v="11-Apr-2015"/>
        <s v="11-Apr-2017"/>
        <s v="11-Apr-2018"/>
        <s v="11-Apr-2019"/>
        <s v="11-Apr-2020"/>
        <s v="11-Apr-2023"/>
        <s v="11-Aug-2015"/>
        <s v="11-Aug-2020"/>
        <s v="11-Aug-2024"/>
        <s v="11-Dec-2017"/>
        <s v="11-Dec-2021"/>
        <s v="11-Dec-2023"/>
        <s v="11-Dec-2025"/>
        <s v="11-Feb-2016"/>
        <s v="11-Feb-2018"/>
        <s v="11-Feb-2023"/>
        <s v="11-Feb-2025"/>
        <s v="11-Feb-2026"/>
        <s v="11-Jan-2018"/>
        <s v="11-Jan-2022"/>
        <s v="11-Jan-2023"/>
        <s v="11-Jan-2024"/>
        <s v="11-Jan-2025"/>
        <s v="11-Jul-2015"/>
        <s v="11-Jul-2019"/>
        <s v="11-Jul-2022"/>
        <s v="11-Jul-2025"/>
        <s v="11-Jun-2015"/>
        <s v="11-Jun-2019"/>
        <s v="11-Jun-2022"/>
        <s v="11-Mar-2016"/>
        <s v="11-Mar-2018"/>
        <s v="11-Mar-2022"/>
        <s v="11-Mar-2025"/>
        <s v="11-May-2015"/>
        <s v="11-May-2016"/>
        <s v="11-May-2022"/>
        <s v="11-May-2023"/>
        <s v="11-Nov-2020"/>
        <s v="11-Nov-2022"/>
        <s v="11-Oct-2020"/>
        <s v="11-Oct-2021"/>
        <s v="12-Apr-2016"/>
        <s v="12-Apr-2018"/>
        <s v="12-Apr-2023"/>
        <s v="12-Dec-2018"/>
        <s v="12-Dec-2019"/>
        <s v="12-Dec-2020"/>
        <s v="12-Feb-2015"/>
        <s v="12-Feb-2019"/>
        <s v="12-Jan-2017"/>
        <s v="12-Jan-2018"/>
        <s v="12-Jul-2016"/>
        <s v="12-Jul-2021"/>
        <s v="12-Jun-2015"/>
        <s v="12-Jun-2018"/>
        <s v="12-Mar-2022"/>
        <s v="12-May-2020"/>
        <s v="12-Nov-2021"/>
        <s v="12-Nov-2022"/>
        <s v="12-Oct-2019"/>
        <s v="12-Oct-2023"/>
        <s v="12-Oct-2024"/>
        <s v="12-Sep-2016"/>
        <s v="12-Sep-2023"/>
        <s v="13-Apr-2015"/>
        <s v="13-Apr-2020"/>
        <s v="13-Apr-2024"/>
        <s v="13-Apr-2025"/>
        <s v="13-Aug-2018"/>
        <s v="13-Aug-2025"/>
        <s v="13-Dec-2015"/>
        <s v="13-Dec-2016"/>
        <s v="13-Dec-2023"/>
        <s v="13-Dec-2024"/>
        <s v="13-Feb-2026"/>
        <s v="13-Jan-2016"/>
        <s v="13-Jan-2019"/>
        <s v="13-Jan-2021"/>
        <s v="13-Jan-2023"/>
        <s v="13-Jan-2024"/>
        <s v="13-Jul-2018"/>
        <s v="13-Jul-2019"/>
        <s v="13-Jul-2020"/>
        <s v="13-Jul-2024"/>
        <s v="13-May-2016"/>
        <s v="13-May-2023"/>
        <s v="13-May-2025"/>
        <s v="13-May-2026"/>
        <s v="13-Nov-2017"/>
        <s v="13-Nov-2019"/>
        <s v="13-Nov-2022"/>
        <s v="13-Nov-2023"/>
        <s v="13-Nov-2025"/>
        <s v="13-Oct-2017"/>
        <s v="13-Oct-2018"/>
        <s v="13-Oct-2019"/>
        <s v="13-Oct-2024"/>
        <s v="13-Sep-2018"/>
        <s v="13-Sep-2025"/>
        <s v="14-Apr-2017"/>
        <s v="14-Apr-2022"/>
        <s v="14-Apr-2024"/>
        <s v="14-Aug-2019"/>
        <s v="14-Aug-2020"/>
        <s v="14-Aug-2022"/>
        <s v="14-Aug-2023"/>
        <s v="14-Dec-2015"/>
        <s v="14-Dec-2020"/>
        <s v="14-Feb-2024"/>
        <s v="14-Jan-2015"/>
        <s v="14-Jan-2017"/>
        <s v="14-Jan-2020"/>
        <s v="14-Jan-2023"/>
        <s v="14-Jul-2022"/>
        <s v="14-Jul-2023"/>
        <s v="14-Jun-2015"/>
        <s v="14-Jun-2016"/>
        <s v="14-Mar-2017"/>
        <s v="14-Mar-2018"/>
        <s v="14-May-2016"/>
        <s v="14-May-2017"/>
        <s v="14-May-2020"/>
        <s v="14-May-2023"/>
        <s v="14-May-2025"/>
        <s v="14-Nov-2020"/>
        <s v="14-Nov-2025"/>
        <s v="14-Oct-2021"/>
        <s v="14-Oct-2025"/>
        <s v="14-Sep-2016"/>
        <s v="14-Sep-2017"/>
        <s v="15-Apr-2019"/>
        <s v="15-Apr-2022"/>
        <s v="15-Apr-2026"/>
        <s v="15-Aug-2016"/>
        <s v="15-Aug-2017"/>
        <s v="15-Aug-2020"/>
        <s v="15-Aug-2024"/>
        <s v="15-Dec-2020"/>
        <s v="15-Dec-2023"/>
        <s v="15-Feb-2017"/>
        <s v="15-Feb-2019"/>
        <s v="15-Feb-2020"/>
        <s v="15-Feb-2023"/>
        <s v="15-Jan-2018"/>
        <s v="15-Jan-2021"/>
        <s v="15-Jan-2022"/>
        <s v="15-Jul-2016"/>
        <s v="15-Jul-2022"/>
        <s v="15-Jul-2023"/>
        <s v="15-Jun-2020"/>
        <s v="15-Jun-2021"/>
        <s v="15-Mar-2016"/>
        <s v="15-Mar-2022"/>
        <s v="15-Nov-2019"/>
        <s v="15-Nov-2021"/>
        <s v="15-Nov-2022"/>
        <s v="15-Oct-2016"/>
        <s v="15-Oct-2019"/>
        <s v="15-Oct-2023"/>
        <s v="15-Sep-2015"/>
        <s v="15-Sep-2022"/>
        <s v="15-Sep-2024"/>
        <s v="16-Aug-2021"/>
        <s v="16-Dec-2025"/>
        <s v="16-Jan-2020"/>
        <s v="16-Jul-2025"/>
        <s v="16-Jun-2018"/>
        <s v="16-Jun-2019"/>
        <s v="16-Jun-2023"/>
        <s v="16-Jun-2024"/>
        <s v="16-Jun-2026"/>
        <s v="16-Mar-2016"/>
        <s v="16-Mar-2018"/>
        <s v="16-Mar-2021"/>
        <s v="16-Mar-2023"/>
        <s v="16-Mar-2025"/>
        <s v="16-May-2023"/>
        <s v="16-Nov-2018"/>
        <s v="16-Oct-2017"/>
        <s v="16-Oct-2023"/>
        <s v="17-Apr-2016"/>
        <s v="17-Apr-2021"/>
        <s v="17-Apr-2023"/>
        <s v="17-Apr-2026"/>
        <s v="17-Aug-2023"/>
        <s v="17-Aug-2025"/>
        <s v="17-Dec-2017"/>
        <s v="17-Dec-2020"/>
        <s v="17-Dec-2024"/>
        <s v="17-Feb-2018"/>
        <s v="17-Feb-2019"/>
        <s v="17-Feb-2020"/>
        <s v="17-Feb-2024"/>
        <s v="17-Jan-2018"/>
        <s v="17-Jan-2020"/>
        <s v="17-Jan-2023"/>
        <s v="17-Jan-2026"/>
        <s v="17-Jun-2018"/>
        <s v="17-Mar-2023"/>
        <s v="17-Mar-2026"/>
        <s v="17-May-2017"/>
        <s v="17-May-2020"/>
        <s v="17-May-2023"/>
        <s v="17-May-2026"/>
        <s v="17-Nov-2015"/>
        <s v="17-Oct-2015"/>
        <s v="17-Oct-2017"/>
        <s v="17-Sep-2015"/>
        <s v="17-Sep-2016"/>
        <s v="17-Sep-2017"/>
        <s v="17-Sep-2021"/>
        <s v="17-Sep-2025"/>
        <s v="18-Apr-2017"/>
        <s v="18-Apr-2018"/>
        <s v="18-Apr-2020"/>
        <s v="18-Apr-2023"/>
        <s v="18-Apr-2024"/>
        <s v="18-Aug-2021"/>
        <s v="18-Aug-2022"/>
        <s v="18-Aug-2024"/>
        <s v="18-Aug-2025"/>
        <s v="18-Dec-2022"/>
        <s v="18-Dec-2024"/>
        <s v="18-Dec-2025"/>
        <s v="18-Feb-2015"/>
        <s v="18-Feb-2022"/>
        <s v="18-Jan-2015"/>
        <s v="18-Jan-2019"/>
        <s v="18-Jan-2020"/>
        <s v="18-Jan-2021"/>
        <s v="18-Jul-2018"/>
        <s v="18-Jul-2021"/>
        <s v="18-Jul-2023"/>
        <s v="18-Jun-2019"/>
        <s v="18-Mar-2016"/>
        <s v="18-Mar-2021"/>
        <s v="18-May-2019"/>
        <s v="18-Nov-2022"/>
        <s v="18-Nov-2024"/>
        <s v="18-Nov-2025"/>
        <s v="18-Oct-2016"/>
        <s v="18-Oct-2021"/>
        <s v="18-Oct-2024"/>
        <s v="18-Sep-2016"/>
        <s v="18-Sep-2025"/>
        <s v="19-Apr-2018"/>
        <s v="19-Aug-2023"/>
        <s v="19-Dec-2016"/>
        <s v="19-Dec-2020"/>
        <s v="19-Dec-2023"/>
        <s v="19-Dec-2025"/>
        <s v="19-Feb-2015"/>
        <s v="19-Jan-2016"/>
        <s v="19-Jan-2018"/>
        <s v="19-Jul-2015"/>
        <s v="19-Jul-2017"/>
        <s v="19-Jul-2018"/>
        <s v="19-Jul-2024"/>
        <s v="19-Jun-2017"/>
        <s v="19-Jun-2022"/>
        <s v="19-Jun-2024"/>
        <s v="19-Jun-2025"/>
        <s v="19-Mar-2020"/>
        <s v="19-Mar-2024"/>
        <s v="19-Mar-2025"/>
        <s v="19-Mar-2026"/>
        <s v="19-Nov-2016"/>
        <s v="19-Nov-2021"/>
        <s v="19-Nov-2022"/>
        <s v="19-Nov-2024"/>
        <s v="19-Oct-2017"/>
        <s v="19-Oct-2020"/>
        <s v="20-Apr-2019"/>
        <s v="20-Apr-2020"/>
        <s v="20-Apr-2026"/>
        <s v="20-Aug-2017"/>
        <s v="20-Aug-2018"/>
        <s v="20-Dec-2016"/>
        <s v="20-Dec-2021"/>
        <s v="20-Dec-2025"/>
        <s v="20-Feb-2017"/>
        <s v="20-Feb-2018"/>
        <s v="20-Feb-2023"/>
        <s v="20-Jan-2016"/>
        <s v="20-Jan-2018"/>
        <s v="20-Jan-2019"/>
        <s v="20-Jul-2015"/>
        <s v="20-Jul-2017"/>
        <s v="20-Jul-2019"/>
        <s v="20-Jul-2020"/>
        <s v="20-Jun-2015"/>
        <s v="20-Jun-2018"/>
        <s v="20-Jun-2019"/>
        <s v="20-Jun-2020"/>
        <s v="20-Mar-2019"/>
        <s v="20-Mar-2020"/>
        <s v="20-Mar-2021"/>
        <s v="20-May-2025"/>
        <s v="20-May-2026"/>
        <s v="20-Nov-2020"/>
        <s v="20-Nov-2024"/>
        <s v="20-Oct-2018"/>
        <s v="20-Oct-2022"/>
        <s v="20-Oct-2024"/>
        <s v="21-Apr-2019"/>
        <s v="21-Dec-2017"/>
        <s v="21-Dec-2023"/>
        <s v="21-Feb-2016"/>
        <s v="21-Feb-2024"/>
        <s v="21-Jan-2016"/>
        <s v="21-Jan-2022"/>
        <s v="21-Jan-2023"/>
        <s v="21-Jul-2018"/>
        <s v="21-Jul-2024"/>
        <s v="21-Jun-2018"/>
        <s v="21-Jun-2025"/>
        <s v="21-Mar-2016"/>
        <s v="21-Mar-2020"/>
        <s v="21-Mar-2021"/>
        <s v="21-Mar-2024"/>
        <s v="21-May-2017"/>
        <s v="21-May-2018"/>
        <s v="21-May-2022"/>
        <s v="21-Nov-2015"/>
        <s v="21-Oct-2020"/>
        <s v="21-Sep-2017"/>
        <s v="22-Apr-2018"/>
        <s v="22-Apr-2019"/>
        <s v="22-Apr-2025"/>
        <s v="22-Aug-2018"/>
        <s v="22-Dec-2016"/>
        <s v="22-Dec-2019"/>
        <s v="22-Dec-2020"/>
        <s v="22-Dec-2023"/>
        <s v="22-Dec-2024"/>
        <s v="22-Feb-2015"/>
        <s v="22-Feb-2022"/>
        <s v="22-Jan-2020"/>
        <s v="22-Jan-2023"/>
        <s v="22-Jan-2026"/>
        <s v="22-Jul-2015"/>
        <s v="22-Jul-2021"/>
        <s v="22-Jul-2023"/>
        <s v="22-Jun-2015"/>
        <s v="22-Jun-2023"/>
        <s v="22-Jun-2024"/>
        <s v="22-Jun-2026"/>
        <s v="22-Mar-2017"/>
        <s v="22-Mar-2021"/>
        <s v="22-Mar-2023"/>
        <s v="22-Mar-2026"/>
        <s v="22-May-2023"/>
        <s v="22-Nov-2021"/>
        <s v="22-Nov-2023"/>
        <s v="22-Nov-2025"/>
        <s v="22-Oct-2018"/>
        <s v="22-Oct-2021"/>
        <s v="22-Oct-2023"/>
        <s v="22-Sep-2016"/>
        <s v="22-Sep-2018"/>
        <s v="22-Sep-2022"/>
        <s v="22-Sep-2024"/>
        <s v="23-Apr-2017"/>
        <s v="23-Apr-2020"/>
        <s v="23-Apr-2024"/>
        <s v="23-Apr-2026"/>
        <s v="23-Aug-2016"/>
        <s v="23-Aug-2017"/>
        <s v="23-Aug-2020"/>
        <s v="23-Dec-2017"/>
        <s v="23-Dec-2020"/>
        <s v="23-Dec-2021"/>
        <s v="23-Dec-2024"/>
        <s v="23-Feb-2019"/>
        <s v="23-Jan-2018"/>
        <s v="23-Jul-2019"/>
        <s v="23-Jul-2020"/>
        <s v="23-Jul-2025"/>
        <s v="23-Jun-2017"/>
        <s v="23-Mar-2026"/>
        <s v="23-May-2016"/>
        <s v="23-May-2020"/>
        <s v="23-May-2021"/>
        <s v="23-Nov-2017"/>
        <s v="23-Nov-2018"/>
        <s v="23-Oct-2024"/>
        <s v="23-Sep-2017"/>
        <s v="23-Sep-2021"/>
        <s v="23-Sep-2022"/>
        <s v="23-Sep-2024"/>
        <s v="23-Sep-2025"/>
        <s v="24-Apr-2024"/>
        <s v="24-Apr-2026"/>
        <s v="24-Aug-2018"/>
        <s v="24-Aug-2020"/>
        <s v="24-Dec-2019"/>
        <s v="24-Feb-2015"/>
        <s v="24-Feb-2016"/>
        <s v="24-Feb-2017"/>
        <s v="24-Feb-2018"/>
        <s v="24-Feb-2026"/>
        <s v="24-Jul-2016"/>
        <s v="24-Jul-2017"/>
        <s v="24-Jul-2018"/>
        <s v="24-Jun-2015"/>
        <s v="24-Jun-2024"/>
        <s v="24-Mar-2016"/>
        <s v="24-Mar-2019"/>
        <s v="24-Mar-2020"/>
        <s v="24-May-2021"/>
        <s v="24-Nov-2015"/>
        <s v="24-Nov-2016"/>
        <s v="24-Nov-2021"/>
        <s v="24-Oct-2022"/>
        <s v="24-Oct-2023"/>
        <s v="24-Sep-2018"/>
        <s v="24-Sep-2025"/>
        <s v="25-Apr-2015"/>
        <s v="25-Apr-2019"/>
        <s v="25-Apr-2026"/>
        <s v="25-Aug-2016"/>
        <s v="25-Aug-2017"/>
        <s v="25-Dec-2015"/>
        <s v="25-Dec-2016"/>
        <s v="25-Dec-2019"/>
        <s v="25-Dec-2020"/>
        <s v="25-Dec-2021"/>
        <s v="25-Dec-2023"/>
        <s v="25-Dec-2025"/>
        <s v="25-Feb-2015"/>
        <s v="25-Feb-2019"/>
        <s v="25-Feb-2022"/>
        <s v="25-Feb-2023"/>
        <s v="25-Feb-2024"/>
        <s v="25-Jan-2018"/>
        <s v="25-Jan-2019"/>
        <s v="25-Jan-2020"/>
        <s v="25-Jan-2026"/>
        <s v="25-Jul-2019"/>
        <s v="25-Mar-2018"/>
        <s v="25-Mar-2026"/>
        <s v="25-May-2016"/>
        <s v="25-Nov-2022"/>
        <s v="25-Nov-2024"/>
        <s v="25-Oct-2016"/>
        <s v="25-Oct-2019"/>
        <s v="25-Oct-2020"/>
        <s v="25-Oct-2023"/>
        <s v="25-Oct-2024"/>
        <s v="25-Sep-2015"/>
        <s v="25-Sep-2021"/>
        <s v="25-Sep-2024"/>
        <s v="26-Apr-2017"/>
        <s v="26-Apr-2021"/>
        <s v="26-Apr-2023"/>
        <s v="26-Apr-2024"/>
        <s v="26-Apr-2026"/>
        <s v="26-Aug-2019"/>
        <s v="26-Dec-2018"/>
        <s v="26-Feb-2016"/>
        <s v="26-Feb-2020"/>
        <s v="26-Feb-2021"/>
        <s v="26-Jan-2016"/>
        <s v="26-Jan-2019"/>
        <s v="26-Jan-2026"/>
        <s v="26-Jul-2016"/>
        <s v="26-Jul-2017"/>
        <s v="26-Jul-2020"/>
        <s v="26-Jul-2022"/>
        <s v="26-Jun-2019"/>
        <s v="26-Jun-2024"/>
        <s v="26-Mar-2019"/>
        <s v="26-Mar-2024"/>
        <s v="26-May-2017"/>
        <s v="26-May-2019"/>
        <s v="26-May-2021"/>
        <s v="26-May-2023"/>
        <s v="26-May-2024"/>
        <s v="26-Nov-2020"/>
        <s v="26-Nov-2022"/>
        <s v="26-Sep-2015"/>
        <s v="26-Sep-2021"/>
        <s v="27-Apr-2015"/>
        <s v="27-Apr-2017"/>
        <s v="27-Apr-2021"/>
        <s v="27-Apr-2023"/>
        <s v="27-Apr-2025"/>
        <s v="27-Apr-2026"/>
        <s v="27-Aug-2016"/>
        <s v="27-Aug-2018"/>
        <s v="27-Dec-2020"/>
        <s v="27-Dec-2024"/>
        <s v="27-Dec-2025"/>
        <s v="27-Feb-2020"/>
        <s v="27-Feb-2021"/>
        <s v="27-Feb-2024"/>
        <s v="27-Feb-2025"/>
        <s v="27-Feb-2026"/>
        <s v="27-Jan-2016"/>
        <s v="27-Jan-2024"/>
        <s v="27-Jul-2017"/>
        <s v="27-Jun-2018"/>
        <s v="27-Jun-2024"/>
        <s v="27-Jun-2025"/>
        <s v="27-Mar-2017"/>
        <s v="27-Mar-2022"/>
        <s v="27-May-2021"/>
        <s v="27-May-2024"/>
        <s v="27-Nov-2015"/>
        <s v="27-Nov-2016"/>
        <s v="27-Nov-2017"/>
        <s v="27-Nov-2020"/>
        <s v="27-Nov-2023"/>
        <s v="27-Nov-2025"/>
        <s v="27-Oct-2022"/>
        <s v="27-Oct-2025"/>
        <s v="27-Sep-2015"/>
        <s v="27-Sep-2017"/>
        <s v="27-Sep-2020"/>
        <s v="28-Apr-2024"/>
        <s v="28-Aug-2018"/>
        <s v="28-Aug-2022"/>
        <s v="28-Aug-2024"/>
        <s v="28-Feb-2020"/>
        <s v="28-Feb-2022"/>
        <s v="28-Feb-2024"/>
        <s v="28-Feb-2026"/>
        <s v="28-Jan-2020"/>
        <s v="28-Jan-2022"/>
        <s v="28-Jan-2023"/>
        <s v="28-Jan-2025"/>
        <s v="28-Jul-2019"/>
        <s v="28-Jul-2022"/>
        <s v="28-Jul-2025"/>
        <s v="28-Jun-2015"/>
        <s v="28-Mar-2024"/>
        <s v="28-May-2023"/>
        <s v="28-May-2025"/>
        <s v="28-Nov-2016"/>
        <s v="28-Nov-2022"/>
        <s v="28-Oct-2015"/>
        <s v="28-Oct-2019"/>
        <s v="28-Oct-2021"/>
        <s v="28-Sep-2015"/>
        <s v="28-Sep-2022"/>
        <s v="29-Aug-2025"/>
        <s v="29-Dec-2016"/>
        <s v="29-Feb-2016"/>
        <s v="29-Jan-2018"/>
        <s v="29-Jan-2020"/>
        <s v="29-Jan-2025"/>
        <s v="29-Jul-2019"/>
        <s v="29-Jun-2019"/>
        <s v="29-Jun-2020"/>
        <s v="29-Jun-2021"/>
        <s v="29-Jun-2023"/>
        <s v="29-Mar-2020"/>
        <s v="29-Mar-2022"/>
        <s v="29-May-2016"/>
        <s v="29-May-2018"/>
        <s v="29-May-2021"/>
        <s v="29-May-2022"/>
        <s v="29-Nov-2015"/>
        <s v="29-Nov-2019"/>
        <s v="29-Nov-2021"/>
        <s v="29-Oct-2015"/>
        <s v="29-Oct-2017"/>
        <s v="29-Oct-2020"/>
        <s v="29-Oct-2021"/>
        <s v="29-Oct-2022"/>
        <s v="29-Oct-2024"/>
        <s v="29-Sep-2016"/>
        <s v="29-Sep-2019"/>
        <s v="29-Sep-2024"/>
        <s v="29-Sep-2025"/>
        <s v="30-Apr-2015"/>
        <s v="30-Aug-2015"/>
        <s v="30-Aug-2017"/>
        <s v="30-Dec-2020"/>
        <s v="30-Jan-2022"/>
        <s v="30-Jul-2023"/>
        <s v="30-Jun-2020"/>
        <s v="30-Jun-2021"/>
        <s v="30-Jun-2023"/>
        <s v="30-Mar-2015"/>
        <s v="30-Mar-2025"/>
        <s v="30-May-2024"/>
        <s v="30-May-2026"/>
        <s v="30-Nov-2019"/>
        <s v="30-Nov-2023"/>
        <s v="30-Oct-2015"/>
        <s v="30-Oct-2016"/>
        <s v="30-Oct-2017"/>
        <s v="30-Sep-2023"/>
        <s v="31-Aug-2017"/>
        <s v="31-Aug-2022"/>
        <s v="31-Dec-2017"/>
        <s v="31-Dec-2020"/>
        <s v="31-Dec-2021"/>
        <s v="31-Dec-2024"/>
        <s v="31-Dec-2025"/>
        <s v="31-Jan-2017"/>
        <s v="31-Jan-2019"/>
        <s v="31-Jan-2026"/>
        <s v="31-Jul-2017"/>
        <s v="31-Jul-2021"/>
        <s v="31-Jul-2022"/>
        <s v="31-Mar-2021"/>
        <s v="31-Mar-2024"/>
        <s v="31-May-2021"/>
        <s v="31-Oct-2017"/>
        <s v="31-Oct-2021"/>
        <s v="31-Oct-2023"/>
        <s v="31-Oct-2025"/>
      </sharedItems>
    </cacheField>
    <cacheField name="City" numFmtId="0">
      <sharedItems count="10">
        <s v="Ahmedabad"/>
        <s v="Bengaluru"/>
        <s v="Chennai"/>
        <s v="Delhi"/>
        <s v="Hyderabad"/>
        <s v="Jaipur"/>
        <s v="Kolkata"/>
        <s v="Lucknow"/>
        <s v="Mumbai"/>
        <s v="Pune"/>
      </sharedItems>
    </cacheField>
    <cacheField name="Performance Rating" numFmtId="0">
      <sharedItems count="5">
        <s v="Average"/>
        <s v="Excellent"/>
        <s v="Good"/>
        <s v="Poor"/>
        <s v="Very Good"/>
      </sharedItems>
    </cacheField>
    <cacheField name="Attrition" numFmtId="0">
      <sharedItems count="2">
        <s v="No"/>
        <s v="Yes"/>
      </sharedItems>
    </cacheField>
    <cacheField name="Experience Group" numFmtId="0">
      <sharedItems count="4">
        <s v="0-2 Years"/>
        <s v="10+ Years"/>
        <s v="2-5 Years"/>
        <s v="5-10 Years"/>
      </sharedItems>
    </cacheField>
    <cacheField name="Salary Band" numFmtId="0">
      <sharedItems count="4">
        <s v="High"/>
        <s v="Low"/>
        <s v="Medium"/>
        <s v="Very High"/>
      </sharedItems>
    </cacheField>
    <cacheField name="Age Group" numFmtId="0">
      <sharedItems count="4">
        <s v="18-24"/>
        <s v="25-34"/>
        <s v="35-44"/>
        <s v="45+"/>
      </sharedItems>
    </cacheField>
    <cacheField name="Join Year" numFmtId="0">
      <sharedItems containsSemiMixedTypes="0" containsString="0" containsNumber="1" containsInteger="1" minValue="2015" maxValue="2026" count="12"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Join Month" numFmtId="0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Bonus %" numFmtId="0">
      <sharedItems containsSemiMixedTypes="0" containsString="0" containsNumber="1" minValue="0" maxValue="0.2" count="5">
        <n v="0"/>
        <n v="0.05"/>
        <n v="0.1"/>
        <n v="0.15"/>
        <n v="0.2"/>
      </sharedItems>
    </cacheField>
    <cacheField name="Bonus Amount" numFmtId="0">
      <sharedItems containsSemiMixedTypes="0" containsString="0" containsNumber="1" minValue="0" maxValue="29791" count="913">
        <n v="0"/>
        <n v="1250"/>
        <n v="1257.8499999999999"/>
        <n v="1288.9000000000001"/>
        <n v="1299.45"/>
        <n v="1337.6"/>
        <n v="1339.2"/>
        <n v="1346.6"/>
        <n v="1405.35"/>
        <n v="1506.8"/>
        <n v="1527.95"/>
        <n v="1649.7"/>
        <n v="1738.95"/>
        <n v="1741.8"/>
        <n v="1808.2"/>
        <n v="1881.5"/>
        <n v="1910"/>
        <n v="1940.85"/>
        <n v="1971.1"/>
        <n v="1976.75"/>
        <n v="2009.65"/>
        <n v="2052.3000000000002"/>
        <n v="2096.9"/>
        <n v="2293.15"/>
        <n v="2294.6"/>
        <n v="2313.85"/>
        <n v="2323.1999999999998"/>
        <n v="2385.9499999999998"/>
        <n v="2469.9"/>
        <n v="2500"/>
        <n v="2504.5"/>
        <n v="2527"/>
        <n v="2534.5500000000002"/>
        <n v="2536.5"/>
        <n v="2547.8000000000002"/>
        <n v="2558.5500000000002"/>
        <n v="2574.6"/>
        <n v="2608.6"/>
        <n v="2610.25"/>
        <n v="2625.7"/>
        <n v="2637.5"/>
        <n v="2678.9"/>
        <n v="2686.1"/>
        <n v="2689.4"/>
        <n v="2691.85"/>
        <n v="2735.85"/>
        <n v="2736.4"/>
        <n v="2736.75"/>
        <n v="2748.15"/>
        <n v="2767.45"/>
        <n v="2771.25"/>
        <n v="2817.7"/>
        <n v="2839.5"/>
        <n v="2843.6"/>
        <n v="2877.8"/>
        <n v="2910.7"/>
        <n v="2911.7"/>
        <n v="2915.3"/>
        <n v="2915.6"/>
        <n v="2920.4"/>
        <n v="2926.3"/>
        <n v="2928.6"/>
        <n v="2933.1"/>
        <n v="2956.5"/>
        <n v="2969.7"/>
        <n v="2970.8"/>
        <n v="2982.4"/>
        <n v="2982.9"/>
        <n v="2997.55"/>
        <n v="3007.3"/>
        <n v="3015"/>
        <n v="3021.75"/>
        <n v="3021.85"/>
        <n v="3028.1"/>
        <n v="3058.15"/>
        <n v="3058.45"/>
        <n v="3068.6"/>
        <n v="3070.6"/>
        <n v="3127.6"/>
        <n v="3192.3"/>
        <n v="3196.7"/>
        <n v="3218.85"/>
        <n v="3257.45"/>
        <n v="3263.4"/>
        <n v="3267.9"/>
        <n v="3273.9"/>
        <n v="3279.25"/>
        <n v="3281.45"/>
        <n v="3285"/>
        <n v="3296"/>
        <n v="3298.75"/>
        <n v="3301.7"/>
        <n v="3308.5"/>
        <n v="3369.95"/>
        <n v="3384.9"/>
        <n v="3389.7"/>
        <n v="3422.1"/>
        <n v="3430.6"/>
        <n v="3444.9"/>
        <n v="3452"/>
        <n v="3495.9"/>
        <n v="3508.2"/>
        <n v="3512.3"/>
        <n v="3512.5"/>
        <n v="3518.85"/>
        <n v="3520.6"/>
        <n v="3552.5"/>
        <n v="3554.1"/>
        <n v="3581.6"/>
        <n v="3593.1"/>
        <n v="3602.7"/>
        <n v="3628.9"/>
        <n v="3694.25"/>
        <n v="3702.45"/>
        <n v="3750"/>
        <n v="3778.3"/>
        <n v="3785.5"/>
        <n v="3805.9"/>
        <n v="3853.5"/>
        <n v="3898.2"/>
        <n v="3907.05"/>
        <n v="3922.8"/>
        <n v="3965.9"/>
        <n v="3997.9"/>
        <n v="4005.7"/>
        <n v="4012.9"/>
        <n v="4032.8"/>
        <n v="4039.2"/>
        <n v="4062.7"/>
        <n v="4084.7"/>
        <n v="4085.6"/>
        <n v="4133.6000000000004"/>
        <n v="4161.3"/>
        <n v="4174.75"/>
        <n v="4175.1000000000004"/>
        <n v="4177.95"/>
        <n v="4219.1499999999996"/>
        <n v="4230.3999999999996"/>
        <n v="4238.1499999999996"/>
        <n v="4240.8999999999996"/>
        <n v="4275.3"/>
        <n v="4283"/>
        <n v="4283.45"/>
        <n v="4286.8999999999996"/>
        <n v="4291.1000000000004"/>
        <n v="4294.7"/>
        <n v="4298.8999999999996"/>
        <n v="4311.3999999999996"/>
        <n v="4339.5"/>
        <n v="4354"/>
        <n v="4358.8"/>
        <n v="4363.05"/>
        <n v="4369.55"/>
        <n v="4408"/>
        <n v="4413.1000000000004"/>
        <n v="4435.95"/>
        <n v="4465.6499999999996"/>
        <n v="4469.25"/>
        <n v="4552"/>
        <n v="4555.3500000000004"/>
        <n v="4562.3500000000004"/>
        <n v="4590.7"/>
        <n v="4598.7"/>
        <n v="4610.3999999999996"/>
        <n v="4621.6000000000004"/>
        <n v="4632.45"/>
        <n v="4637"/>
        <n v="4650.2"/>
        <n v="4654.2"/>
        <n v="4657.6000000000004"/>
        <n v="4660.8"/>
        <n v="4661.55"/>
        <n v="4665.1499999999996"/>
        <n v="4673.7"/>
        <n v="4686.6000000000004"/>
        <n v="4701.3"/>
        <n v="4721.1000000000004"/>
        <n v="4737"/>
        <n v="4745.3"/>
        <n v="4776.6000000000004"/>
        <n v="4814.1000000000004"/>
        <n v="4842.6000000000004"/>
        <n v="4863.25"/>
        <n v="4864.5"/>
        <n v="4874.3999999999996"/>
        <n v="4903.6000000000004"/>
        <n v="4910.1000000000004"/>
        <n v="4934.3999999999996"/>
        <n v="4967.8500000000004"/>
        <n v="4970.3"/>
        <n v="4981.2"/>
        <n v="5000"/>
        <n v="5018.3999999999996"/>
        <n v="5022.3"/>
        <n v="5030.3999999999996"/>
        <n v="5035.8"/>
        <n v="5038.6000000000004"/>
        <n v="5047.6000000000004"/>
        <n v="5052.3999999999996"/>
        <n v="5059.6000000000004"/>
        <n v="5069.5"/>
        <n v="5084.55"/>
        <n v="5085.8"/>
        <n v="5095.6000000000004"/>
        <n v="5107.1000000000004"/>
        <n v="5107.7"/>
        <n v="5199.3999999999996"/>
        <n v="5201.3999999999996"/>
        <n v="5242.8"/>
        <n v="5261.5"/>
        <n v="5271.2"/>
        <n v="5282.6"/>
        <n v="5290.8"/>
        <n v="5300.5"/>
        <n v="5332.8"/>
        <n v="5348.8"/>
        <n v="5352.1"/>
        <n v="5356"/>
        <n v="5359.1"/>
        <n v="5364.6"/>
        <n v="5371.8"/>
        <n v="5415.35"/>
        <n v="5421.15"/>
        <n v="5458.95"/>
        <n v="5470.4"/>
        <n v="5474.55"/>
        <n v="5482.35"/>
        <n v="5482.85"/>
        <n v="5507.7"/>
        <n v="5509.3"/>
        <n v="5548.8"/>
        <n v="5563.8"/>
        <n v="5570.55"/>
        <n v="5603.6"/>
        <n v="5603.85"/>
        <n v="5624.1"/>
        <n v="5634.2"/>
        <n v="5638.3"/>
        <n v="5639.1"/>
        <n v="5639.4"/>
        <n v="5649.75"/>
        <n v="5663.45"/>
        <n v="5680.95"/>
        <n v="5682.35"/>
        <n v="5691.3"/>
        <n v="5692.9"/>
        <n v="5696.9"/>
        <n v="5700.4"/>
        <n v="5730.1"/>
        <n v="5738.6"/>
        <n v="5746.6"/>
        <n v="5749.9"/>
        <n v="5778.55"/>
        <n v="5804.8"/>
        <n v="5820.7"/>
        <n v="5820.85"/>
        <n v="5827.3"/>
        <n v="5830.45"/>
        <n v="5834.45"/>
        <n v="5857.5"/>
        <n v="5864.25"/>
        <n v="5876.4"/>
        <n v="5882.1"/>
        <n v="5884.7"/>
        <n v="5905.15"/>
        <n v="5916"/>
        <n v="5919.45"/>
        <n v="5958.35"/>
        <n v="5968.7"/>
        <n v="5972.4"/>
        <n v="5984.2"/>
        <n v="5984.8"/>
        <n v="5986"/>
        <n v="5987.7"/>
        <n v="5991.45"/>
        <n v="6013.95"/>
        <n v="6028.1"/>
        <n v="6028.4"/>
        <n v="6042.3"/>
        <n v="6044.05"/>
        <n v="6044.55"/>
        <n v="6059.25"/>
        <n v="6069"/>
        <n v="6071.55"/>
        <n v="6115.3"/>
        <n v="6131.1"/>
        <n v="6132.05"/>
        <n v="6153"/>
        <n v="6170.1"/>
        <n v="6175.2"/>
        <n v="6212.25"/>
        <n v="6218.5"/>
        <n v="6232.9"/>
        <n v="6238.7"/>
        <n v="6244.75"/>
        <n v="6255.85"/>
        <n v="6259.2"/>
        <n v="6262.4"/>
        <n v="6281.6"/>
        <n v="6300.8"/>
        <n v="6302.4"/>
        <n v="6306.65"/>
        <n v="6348.9"/>
        <n v="6357.5"/>
        <n v="6359.2"/>
        <n v="6361.2"/>
        <n v="6369.3"/>
        <n v="6441.25"/>
        <n v="6450.25"/>
        <n v="6458"/>
        <n v="6459.6"/>
        <n v="6465.15"/>
        <n v="6508.1"/>
        <n v="6517.2"/>
        <n v="6519.15"/>
        <n v="6536.7"/>
        <n v="6569.8"/>
        <n v="6589.95"/>
        <n v="6591.65"/>
        <n v="6592.4"/>
        <n v="6606.3"/>
        <n v="6623.5"/>
        <n v="6625.45"/>
        <n v="6651.2"/>
        <n v="6659.1"/>
        <n v="6702.1"/>
        <n v="6707.25"/>
        <n v="6709.65"/>
        <n v="6719.55"/>
        <n v="6733.4"/>
        <n v="6747.8"/>
        <n v="6753.35"/>
        <n v="6808.8"/>
        <n v="6816.85"/>
        <n v="6867.6"/>
        <n v="6868.7"/>
        <n v="6870.1"/>
        <n v="6878.4"/>
        <n v="6880"/>
        <n v="6893.2"/>
        <n v="6909.6"/>
        <n v="6940.8"/>
        <n v="6956.7"/>
        <n v="6960.75"/>
        <n v="6963.3"/>
        <n v="6966.9"/>
        <n v="6986.7"/>
        <n v="6988.2"/>
        <n v="6990.7"/>
        <n v="6999.9"/>
        <n v="7029.45"/>
        <n v="7041.75"/>
        <n v="7048.9"/>
        <n v="7059"/>
        <n v="7060.7"/>
        <n v="7093.2"/>
        <n v="7117.8"/>
        <n v="7131.45"/>
        <n v="7133.5"/>
        <n v="7148.1"/>
        <n v="7161.5"/>
        <n v="7161.6"/>
        <n v="7189.35"/>
        <n v="7195.5"/>
        <n v="7208.2"/>
        <n v="7248.8"/>
        <n v="7252.35"/>
        <n v="7261.8"/>
        <n v="7280.6"/>
        <n v="7287.8"/>
        <n v="7309"/>
        <n v="7323.45"/>
        <n v="7329.4"/>
        <n v="7410.5"/>
        <n v="7413.2"/>
        <n v="7415.5"/>
        <n v="7418.8"/>
        <n v="7451.8"/>
        <n v="7455.75"/>
        <n v="7460.5"/>
        <n v="7548.15"/>
        <n v="7571.8"/>
        <n v="7585.2"/>
        <n v="7587.3"/>
        <n v="7594.5"/>
        <n v="7633.4"/>
        <n v="7647.15"/>
        <n v="7684"/>
        <n v="7728"/>
        <n v="7757.8"/>
        <n v="7764.4"/>
        <n v="7771.2"/>
        <n v="7826.6"/>
        <n v="7827.75"/>
        <n v="7833.8"/>
        <n v="7862.85"/>
        <n v="7867.4"/>
        <n v="7903.95"/>
        <n v="7936"/>
        <n v="7978.6"/>
        <n v="8007.45"/>
        <n v="8008.8"/>
        <n v="8011.4"/>
        <n v="8039.85"/>
        <n v="8059.3"/>
        <n v="8082.15"/>
        <n v="8095.6"/>
        <n v="8095.8"/>
        <n v="8143.65"/>
        <n v="8187.8"/>
        <n v="8241.6"/>
        <n v="8251.2999999999993"/>
        <n v="8275.9500000000007"/>
        <n v="8282.4"/>
        <n v="8284.35"/>
        <n v="8342"/>
        <n v="8349.2000000000007"/>
        <n v="8350.1"/>
        <n v="8354.7000000000007"/>
        <n v="8361.4500000000007"/>
        <n v="8380.7000000000007"/>
        <n v="8425.65"/>
        <n v="8446.1"/>
        <n v="8484.6"/>
        <n v="8491.35"/>
        <n v="8499.9"/>
        <n v="8507.85"/>
        <n v="8508.7000000000007"/>
        <n v="8559.7999999999993"/>
        <n v="8565.2000000000007"/>
        <n v="8578.2000000000007"/>
        <n v="8601.75"/>
        <n v="8645"/>
        <n v="8671.65"/>
        <n v="8693.6"/>
        <n v="8777.9"/>
        <n v="8785.4"/>
        <n v="8793"/>
        <n v="8820.7000000000007"/>
        <n v="8827"/>
        <n v="8845.2000000000007"/>
        <n v="8869.7000000000007"/>
        <n v="8897.7000000000007"/>
        <n v="8911.9"/>
        <n v="8937.2000000000007"/>
        <n v="8944.5"/>
        <n v="8958.2999999999993"/>
        <n v="8967.9"/>
        <n v="9081.4500000000007"/>
        <n v="9097.9500000000007"/>
        <n v="9113.6"/>
        <n v="9123.15"/>
        <n v="9128.4"/>
        <n v="9135.9"/>
        <n v="9184"/>
        <n v="9189.6"/>
        <n v="9201.75"/>
        <n v="9205.1"/>
        <n v="9207.4500000000007"/>
        <n v="9208.0499999999993"/>
        <n v="9217.6"/>
        <n v="9229.7999999999993"/>
        <n v="9264.75"/>
        <n v="9293.25"/>
        <n v="9311.6"/>
        <n v="9325.1"/>
        <n v="9392.4"/>
        <n v="9411.7999999999993"/>
        <n v="9428.1"/>
        <n v="9437.2000000000007"/>
        <n v="9448.6"/>
        <n v="9496.4"/>
        <n v="9499.35"/>
        <n v="9500.1"/>
        <n v="9534.2000000000007"/>
        <n v="9534.4"/>
        <n v="9627.4"/>
        <n v="9646"/>
        <n v="9656.7999999999993"/>
        <n v="9659.6"/>
        <n v="9675.6"/>
        <n v="9729"/>
        <n v="9747.15"/>
        <n v="9755.85"/>
        <n v="9773.5499999999993"/>
        <n v="9778.7999999999993"/>
        <n v="9793.4"/>
        <n v="9806.1"/>
        <n v="9832.1"/>
        <n v="9834.2999999999993"/>
        <n v="9838.2999999999993"/>
        <n v="9842.4"/>
        <n v="9852.75"/>
        <n v="9898.2999999999993"/>
        <n v="9913"/>
        <n v="9915.1"/>
        <n v="9933.9"/>
        <n v="9966.4"/>
        <n v="9968.4"/>
        <n v="10001.299999999999"/>
        <n v="10028.700000000001"/>
        <n v="10029.799999999999"/>
        <n v="10034.799999999999"/>
        <n v="10049.4"/>
        <n v="10069.5"/>
        <n v="10072.5"/>
        <n v="10188.200000000001"/>
        <n v="10197.299999999999"/>
        <n v="10205"/>
        <n v="10209.75"/>
        <n v="10233.9"/>
        <n v="10249.700000000001"/>
        <n v="10323.9"/>
        <n v="10348.799999999999"/>
        <n v="10368.799999999999"/>
        <n v="10372.6"/>
        <n v="10392.200000000001"/>
        <n v="10397.1"/>
        <n v="10408.950000000001"/>
        <n v="10409.200000000001"/>
        <n v="10435.6"/>
        <n v="10558.35"/>
        <n v="10559.25"/>
        <n v="10565.85"/>
        <n v="10592.85"/>
        <n v="10607.4"/>
        <n v="10629.6"/>
        <n v="10671.8"/>
        <n v="10723.1"/>
        <n v="10724.3"/>
        <n v="10735.6"/>
        <n v="10762.8"/>
        <n v="10783.4"/>
        <n v="10784.85"/>
        <n v="10799.8"/>
        <n v="10826.4"/>
        <n v="10830.1"/>
        <n v="10863.4"/>
        <n v="10866"/>
        <n v="10877.4"/>
        <n v="10935.2"/>
        <n v="10939.7"/>
        <n v="10947.1"/>
        <n v="10955"/>
        <n v="10974.6"/>
        <n v="11001.6"/>
        <n v="11031.75"/>
        <n v="11054.1"/>
        <n v="11074.2"/>
        <n v="11127"/>
        <n v="11176.3"/>
        <n v="11180"/>
        <n v="11180.1"/>
        <n v="11193"/>
        <n v="11196.3"/>
        <n v="11232.1"/>
        <n v="11246.85"/>
        <n v="11273.9"/>
        <n v="11305.7"/>
        <n v="11323.7"/>
        <n v="11332.1"/>
        <n v="11369.5"/>
        <n v="11370.8"/>
        <n v="11391.2"/>
        <n v="11416.5"/>
        <n v="11437.2"/>
        <n v="11491.95"/>
        <n v="11494.65"/>
        <n v="11498.2"/>
        <n v="11503.65"/>
        <n v="11510.2"/>
        <n v="11514"/>
        <n v="11520"/>
        <n v="11533.05"/>
        <n v="11551.2"/>
        <n v="11567.9"/>
        <n v="11572.1"/>
        <n v="11627"/>
        <n v="11646.6"/>
        <n v="11651.2"/>
        <n v="11691.8"/>
        <n v="11751.75"/>
        <n v="11779.2"/>
        <n v="11786.4"/>
        <n v="11841.2"/>
        <n v="11846.4"/>
        <n v="11870.1"/>
        <n v="11880.6"/>
        <n v="11893.1"/>
        <n v="11913.5"/>
        <n v="11918.7"/>
        <n v="11924.8"/>
        <n v="11941.2"/>
        <n v="11964.6"/>
        <n v="11987"/>
        <n v="11990.4"/>
        <n v="12008.7"/>
        <n v="12012.4"/>
        <n v="12015.6"/>
        <n v="12022.05"/>
        <n v="12033.6"/>
        <n v="12059.2"/>
        <n v="12061.95"/>
        <n v="12082"/>
        <n v="12094.6"/>
        <n v="12098.9"/>
        <n v="12134.7"/>
        <n v="12141.3"/>
        <n v="12155"/>
        <n v="12172.1"/>
        <n v="12199.4"/>
        <n v="12273.8"/>
        <n v="12282"/>
        <n v="12318.45"/>
        <n v="12359.2"/>
        <n v="12387"/>
        <n v="12396.3"/>
        <n v="12462.6"/>
        <n v="12505.3"/>
        <n v="12518"/>
        <n v="12529.6"/>
        <n v="12548.9"/>
        <n v="12564.15"/>
        <n v="12572"/>
        <n v="12583.2"/>
        <n v="12600.5"/>
        <n v="12648.2"/>
        <n v="12694.8"/>
        <n v="12699.1"/>
        <n v="12785.7"/>
        <n v="12807.45"/>
        <n v="12815.85"/>
        <n v="12826.4"/>
        <n v="12862.2"/>
        <n v="12865.65"/>
        <n v="12956.7"/>
        <n v="12957.1"/>
        <n v="12960.5"/>
        <n v="12990.2"/>
        <n v="13009.6"/>
        <n v="13043.9"/>
        <n v="13049.1"/>
        <n v="13096.35"/>
        <n v="13113.5"/>
        <n v="13162"/>
        <n v="13162.9"/>
        <n v="13195.5"/>
        <n v="13211.2"/>
        <n v="13212.2"/>
        <n v="13224.15"/>
        <n v="13258.7"/>
        <n v="13267.6"/>
        <n v="13323.75"/>
        <n v="13325.6"/>
        <n v="13345.8"/>
        <n v="13353.2"/>
        <n v="13406.6"/>
        <n v="13425.75"/>
        <n v="13477.6"/>
        <n v="13479.75"/>
        <n v="13485.3"/>
        <n v="13508.1"/>
        <n v="13528.6"/>
        <n v="13552.35"/>
        <n v="13588.3"/>
        <n v="13599.8"/>
        <n v="13650.3"/>
        <n v="13660.6"/>
        <n v="13689.2"/>
        <n v="13735"/>
        <n v="13735.8"/>
        <n v="13770.6"/>
        <n v="13792.4"/>
        <n v="13817.85"/>
        <n v="13844.8"/>
        <n v="13849.65"/>
        <n v="13857.9"/>
        <n v="14005.6"/>
        <n v="14047.65"/>
        <n v="14058.3"/>
        <n v="14070.2"/>
        <n v="14111.2"/>
        <n v="14111.25"/>
        <n v="14141.1"/>
        <n v="14155.6"/>
        <n v="14158.65"/>
        <n v="14175.8"/>
        <n v="14198.4"/>
        <n v="14206.8"/>
        <n v="14214.75"/>
        <n v="14221.35"/>
        <n v="14268.7"/>
        <n v="14291.4"/>
        <n v="14322"/>
        <n v="14326"/>
        <n v="14346.4"/>
        <n v="14384.85"/>
        <n v="14403.45"/>
        <n v="14428.65"/>
        <n v="14433"/>
        <n v="14519.7"/>
        <n v="14521.9"/>
        <n v="14541"/>
        <n v="14563.35"/>
        <n v="14636.25"/>
        <n v="14656.35"/>
        <n v="14671.4"/>
        <n v="14679.2"/>
        <n v="14714.6"/>
        <n v="14783.85"/>
        <n v="14825.1"/>
        <n v="14830.4"/>
        <n v="14891.9"/>
        <n v="14904.9"/>
        <n v="14932.2"/>
        <n v="14938.8"/>
        <n v="14985.6"/>
        <n v="15047.85"/>
        <n v="15081.9"/>
        <n v="15088.8"/>
        <n v="15106.2"/>
        <n v="15158.85"/>
        <n v="15216.2"/>
        <n v="15226.8"/>
        <n v="15229.65"/>
        <n v="15243.45"/>
        <n v="15250.65"/>
        <n v="15410.7"/>
        <n v="15422.4"/>
        <n v="15541.6"/>
        <n v="15546.8"/>
        <n v="15598"/>
        <n v="15613.65"/>
        <n v="15663.9"/>
        <n v="15699.2"/>
        <n v="15773.1"/>
        <n v="15781.05"/>
        <n v="15806.55"/>
        <n v="15999.3"/>
        <n v="16003.95"/>
        <n v="16004.7"/>
        <n v="16065.45"/>
        <n v="16287.6"/>
        <n v="16298.55"/>
        <n v="16357.2"/>
        <n v="16379.6"/>
        <n v="16447.349999999999"/>
        <n v="16503.400000000001"/>
        <n v="16508.400000000001"/>
        <n v="16640.599999999999"/>
        <n v="16648.8"/>
        <n v="16663.400000000001"/>
        <n v="16687.349999999999"/>
        <n v="16692.900000000001"/>
        <n v="16705.5"/>
        <n v="16710.400000000001"/>
        <n v="16798"/>
        <n v="16859.099999999999"/>
        <n v="16903.05"/>
        <n v="16951.95"/>
        <n v="16957.650000000001"/>
        <n v="16974.8"/>
        <n v="17051.599999999999"/>
        <n v="17063.25"/>
        <n v="17119.8"/>
        <n v="17120.400000000001"/>
        <n v="17172"/>
        <n v="17177.099999999999"/>
        <n v="17215.349999999999"/>
        <n v="17249.8"/>
        <n v="17266.5"/>
        <n v="17276.8"/>
        <n v="17339.599999999999"/>
        <n v="17402.400000000001"/>
        <n v="17413.400000000001"/>
        <n v="17421.3"/>
        <n v="17442.900000000001"/>
        <n v="17549.7"/>
        <n v="17634.900000000001"/>
        <n v="17665.2"/>
        <n v="17713.599999999999"/>
        <n v="17739.75"/>
        <n v="17763.400000000001"/>
        <n v="17771.849999999999"/>
        <n v="17772.400000000001"/>
        <n v="17888.599999999999"/>
        <n v="17948.7"/>
        <n v="17970"/>
        <n v="18063.599999999999"/>
        <n v="18081"/>
        <n v="18108.150000000001"/>
        <n v="18194.849999999999"/>
        <n v="18204.599999999999"/>
        <n v="18241.5"/>
        <n v="18256.8"/>
        <n v="18343.05"/>
        <n v="18418.650000000001"/>
        <n v="18422.099999999999"/>
        <n v="18431.55"/>
        <n v="18463.400000000001"/>
        <n v="18487.8"/>
        <n v="18520.2"/>
        <n v="18533.25"/>
        <n v="18563.099999999999"/>
        <n v="18565.8"/>
        <n v="18660.8"/>
        <n v="18851.55"/>
        <n v="18865.650000000001"/>
        <n v="18887.55"/>
        <n v="18918.45"/>
        <n v="18928.400000000001"/>
        <n v="19001.55"/>
        <n v="19099"/>
        <n v="19250.099999999999"/>
        <n v="19272"/>
        <n v="19274.7"/>
        <n v="19290.900000000001"/>
        <n v="19328.400000000001"/>
        <n v="19358.849999999999"/>
        <n v="19406.25"/>
        <n v="19470.2"/>
        <n v="19521.900000000001"/>
        <n v="19572.3"/>
        <n v="19605.75"/>
        <n v="19640.849999999999"/>
        <n v="19677.2"/>
        <n v="19819.2"/>
        <n v="19862.400000000001"/>
        <n v="19931.849999999999"/>
        <n v="19959.45"/>
        <n v="20009.2"/>
        <n v="20010.150000000001"/>
        <n v="20029.5"/>
        <n v="20042.7"/>
        <n v="20065.349999999999"/>
        <n v="20106.75"/>
        <n v="20164.349999999999"/>
        <n v="20270.8"/>
        <n v="20340.599999999999"/>
        <n v="20424.3"/>
        <n v="20429.7"/>
        <n v="20481.3"/>
        <n v="20519.400000000001"/>
        <n v="20581.8"/>
        <n v="20601"/>
        <n v="20724.900000000001"/>
        <n v="20743.2"/>
        <n v="20802"/>
        <n v="20834.400000000001"/>
        <n v="20839.95"/>
        <n v="20843.55"/>
        <n v="20889.599999999999"/>
        <n v="20913.599999999999"/>
        <n v="20926.8"/>
        <n v="20962.349999999999"/>
        <n v="21060.400000000001"/>
        <n v="21091.95"/>
        <n v="21139.4"/>
        <n v="21289.8"/>
        <n v="21305"/>
        <n v="21421"/>
        <n v="21546.2"/>
        <n v="21585.45"/>
        <n v="21747.4"/>
        <n v="21840.45"/>
        <n v="22089.4"/>
        <n v="22091"/>
        <n v="22221.4"/>
        <n v="22384.799999999999"/>
        <n v="22502.400000000001"/>
        <n v="22561.599999999999"/>
        <n v="22731.599999999999"/>
        <n v="22751.599999999999"/>
        <n v="22870.799999999999"/>
        <n v="22876"/>
        <n v="22914.799999999999"/>
        <n v="22969.200000000001"/>
        <n v="23153"/>
        <n v="23191.4"/>
        <n v="23327.599999999999"/>
        <n v="23388.799999999999"/>
        <n v="23662"/>
        <n v="24245.8"/>
        <n v="24335"/>
        <n v="24454.799999999999"/>
        <n v="24593.200000000001"/>
        <n v="24634"/>
        <n v="25257.4"/>
        <n v="25307.4"/>
        <n v="25350.400000000001"/>
        <n v="25470.2"/>
        <n v="25542"/>
        <n v="25648.400000000001"/>
        <n v="25935.200000000001"/>
        <n v="26096.6"/>
        <n v="26120.400000000001"/>
        <n v="26146.6"/>
        <n v="26580.6"/>
        <n v="26627.4"/>
        <n v="26817.4"/>
        <n v="26848.799999999999"/>
        <n v="27130.2"/>
        <n v="27619.8"/>
        <n v="27630.400000000001"/>
        <n v="27742.2"/>
        <n v="27855.599999999999"/>
        <n v="27912.799999999999"/>
        <n v="28475.200000000001"/>
        <n v="28616.6"/>
        <n v="28754.799999999999"/>
        <n v="28907.200000000001"/>
        <n v="29158.2"/>
        <n v="29791"/>
      </sharedItems>
    </cacheField>
    <cacheField name="Total Salary" numFmtId="0">
      <sharedItems containsSemiMixedTypes="0" containsString="0" containsNumber="1" minValue="25000" maxValue="178746" count="982">
        <n v="25000"/>
        <n v="26250"/>
        <n v="26414.85"/>
        <n v="27066.9"/>
        <n v="27288.45"/>
        <n v="27500"/>
        <n v="27549.5"/>
        <n v="27797"/>
        <n v="28025.8"/>
        <n v="28089.599999999999"/>
        <n v="28123.200000000001"/>
        <n v="28278.6"/>
        <n v="28320.6"/>
        <n v="28694.6"/>
        <n v="28750"/>
        <n v="29283"/>
        <n v="29512.35"/>
        <n v="29543.5"/>
        <n v="29954.05"/>
        <n v="30000"/>
        <n v="30100.400000000001"/>
        <n v="30231.599999999999"/>
        <n v="31234.5"/>
        <n v="31279.599999999999"/>
        <n v="31642.799999999999"/>
        <n v="31655.8"/>
        <n v="32017.7"/>
        <n v="32071.599999999999"/>
        <n v="32086.95"/>
        <n v="32189.3"/>
        <n v="32521.5"/>
        <n v="32666.7"/>
        <n v="32678.799999999999"/>
        <n v="32806.400000000001"/>
        <n v="33080.300000000003"/>
        <n v="33407"/>
        <n v="33450.050000000003"/>
        <n v="34236.65"/>
        <n v="34264.25"/>
        <n v="34643.699999999997"/>
        <n v="34924.35"/>
        <n v="35115.300000000003"/>
        <n v="35163.699999999997"/>
        <n v="35515.449999999997"/>
        <n v="35591"/>
        <n v="35682.199999999997"/>
        <n v="35732.800000000003"/>
        <n v="35766.15"/>
        <n v="35834.400000000001"/>
        <n v="35897.4"/>
        <n v="36012.9"/>
        <n v="36135"/>
        <n v="36170.400000000001"/>
        <n v="36318.699999999997"/>
        <n v="36393.5"/>
        <n v="36517.949999999997"/>
        <n v="36564"/>
        <n v="36568"/>
        <n v="36577.800000000003"/>
        <n v="36620.6"/>
        <n v="36758"/>
        <n v="36908.1"/>
        <n v="37192"/>
        <n v="37233.9"/>
        <n v="37286.699999999997"/>
        <n v="37644.1"/>
        <n v="37736.6"/>
        <n v="37830.400000000001"/>
        <n v="37875"/>
        <n v="37972"/>
        <n v="37972.199999999997"/>
        <n v="38086.85"/>
        <n v="38247"/>
        <n v="38504.300000000003"/>
        <n v="38566.400000000001"/>
        <n v="38590.199999999997"/>
        <n v="38635.300000000003"/>
        <n v="38637.5"/>
        <n v="39077.5"/>
        <n v="39095.1"/>
        <n v="39511.5"/>
        <n v="40110"/>
        <n v="40194.800000000003"/>
        <n v="40757.85"/>
        <n v="41280"/>
        <n v="41359.199999999997"/>
        <n v="41393.1"/>
        <n v="41511.75"/>
        <n v="41561.300000000003"/>
        <n v="41562.15"/>
        <n v="41864.9"/>
        <n v="41929.199999999997"/>
        <n v="41971.55"/>
        <n v="42202.65"/>
        <n v="42706.8"/>
        <n v="42707.55"/>
        <n v="42939"/>
        <n v="42969.599999999999"/>
        <n v="43098.3"/>
        <n v="43233.1"/>
        <n v="43314.75"/>
        <n v="43481"/>
        <n v="43633.3"/>
        <n v="43819"/>
        <n v="43854"/>
        <n v="43976.9"/>
        <n v="44034.9"/>
        <n v="44431.199999999997"/>
        <n v="44479.199999999997"/>
        <n v="44689.7"/>
        <n v="44710.8"/>
        <n v="44907.5"/>
        <n v="44931.7"/>
        <n v="44941.599999999999"/>
        <n v="45382.45"/>
        <n v="45524"/>
        <n v="45774.3"/>
        <n v="45800.4"/>
        <n v="45926.1"/>
        <n v="45934.45"/>
        <n v="46104"/>
        <n v="46106.95"/>
        <n v="46183"/>
        <n v="46534.400000000001"/>
        <n v="46586.400000000001"/>
        <n v="47002.8"/>
        <n v="47028.3"/>
        <n v="47113"/>
        <n v="47155.9"/>
        <n v="47173"/>
        <n v="47202.1"/>
        <n v="47241.7"/>
        <n v="47304.1"/>
        <n v="47425.4"/>
        <n v="47465"/>
        <n v="47616"/>
        <n v="47688"/>
        <n v="47871.6"/>
        <n v="47894"/>
        <n v="47946.8"/>
        <n v="47987.199999999997"/>
        <n v="48068.4"/>
        <n v="48156.15"/>
        <n v="48186.6"/>
        <n v="48488"/>
        <n v="48544.1"/>
        <n v="48574.8"/>
        <n v="48590.85"/>
        <n v="48674.9"/>
        <n v="48787.199999999997"/>
        <n v="49126.8"/>
        <n v="49566.15"/>
        <n v="49821"/>
        <n v="50052"/>
        <n v="50072"/>
        <n v="50104.95"/>
        <n v="50585.7"/>
        <n v="50648.3"/>
        <n v="50714.400000000001"/>
        <n v="50837.599999999999"/>
        <n v="51007"/>
        <n v="51152.2"/>
        <n v="51358.8"/>
        <n v="51410.7"/>
        <n v="51422.25"/>
        <n v="51440.65"/>
        <n v="51516.55"/>
        <n v="51552.6"/>
        <n v="51714.3"/>
        <n v="51867.9"/>
        <n v="51932.1"/>
        <n v="52161.599999999999"/>
        <n v="52831"/>
        <n v="52962"/>
        <n v="53225.55"/>
        <n v="53266.5"/>
        <n v="53268.6"/>
        <n v="53365.75"/>
        <n v="53385.3"/>
        <n v="53618.400000000001"/>
        <n v="53623.199999999997"/>
        <n v="53665.9"/>
        <n v="53729.55"/>
        <n v="53892.45"/>
        <n v="53939.6"/>
        <n v="53986.75"/>
        <n v="54381.2"/>
        <n v="54793.2"/>
        <n v="54802.1"/>
        <n v="54815.25"/>
        <n v="55118.35"/>
        <n v="55137.599999999999"/>
        <n v="55139.7"/>
        <n v="55202.400000000001"/>
        <n v="55305.599999999999"/>
        <n v="55387.5"/>
        <n v="55523.6"/>
        <n v="55601.35"/>
        <n v="55673.8"/>
        <n v="55756"/>
        <n v="55869.599999999999"/>
        <n v="55943.8"/>
        <n v="56051.6"/>
        <n v="56146.45"/>
        <n v="56178.1"/>
        <n v="56184.7"/>
        <n v="56256.9"/>
        <n v="56354.400000000001"/>
        <n v="56374"/>
        <n v="56408.1"/>
        <n v="56477.4"/>
        <n v="56528.85"/>
        <n v="56623.199999999997"/>
        <n v="57160.75"/>
        <n v="57193.4"/>
        <n v="57215.4"/>
        <n v="57452.85"/>
        <n v="57471.75"/>
        <n v="57711.15"/>
        <n v="57869.15"/>
        <n v="57876.5"/>
        <n v="57957.599999999999"/>
        <n v="57983.199999999997"/>
        <n v="58116.45"/>
        <n v="58153.2"/>
        <n v="58169.3"/>
        <n v="58196.25"/>
        <n v="58198.8"/>
        <n v="58224.5"/>
        <n v="58305.5"/>
        <n v="58628.15"/>
        <n v="58660.800000000003"/>
        <n v="58836.800000000003"/>
        <n v="58916"/>
        <n v="59010.6"/>
        <n v="59089.8"/>
        <n v="59171.7"/>
        <n v="59478"/>
        <n v="60012.75"/>
        <n v="60174.400000000001"/>
        <n v="60281.85"/>
        <n v="60584.7"/>
        <n v="60596.95"/>
        <n v="60602.3"/>
        <n v="61036.800000000003"/>
        <n v="61145.7"/>
        <n v="61201.8"/>
        <n v="61221.3"/>
        <n v="61230"/>
        <n v="61328.4"/>
        <n v="61390.45"/>
        <n v="61500.6"/>
        <n v="61595.1"/>
        <n v="61638.85"/>
        <n v="61639.6"/>
        <n v="61963.15"/>
        <n v="62021.3"/>
        <n v="62033.4"/>
        <n v="62353.2"/>
        <n v="62434.65"/>
        <n v="62640.9"/>
        <n v="62704.4"/>
        <n v="62948.55"/>
        <n v="63185.599999999999"/>
        <n v="63212.6"/>
        <n v="63315"/>
        <n v="63448.95"/>
        <n v="63456.75"/>
        <n v="63458.85"/>
        <n v="63498.400000000001"/>
        <n v="63513.35"/>
        <n v="63590.1"/>
        <n v="63852.800000000003"/>
        <n v="64027.7"/>
        <n v="64052.7"/>
        <n v="64104.45"/>
        <n v="64221.15"/>
        <n v="64227.45"/>
        <n v="64413.599999999999"/>
        <n v="64440.6"/>
        <n v="64482.6"/>
        <n v="64596.65"/>
        <n v="64640.4"/>
        <n v="64703.1"/>
        <n v="64958.400000000001"/>
        <n v="65076"/>
        <n v="65100.35"/>
        <n v="65180.4"/>
        <n v="65226.85"/>
        <n v="65264.4"/>
        <n v="65614"/>
        <n v="65679.600000000006"/>
        <n v="65730"/>
        <n v="65766.2"/>
        <n v="65832.800000000003"/>
        <n v="65846"/>
        <n v="65946.75"/>
        <n v="66465.3"/>
        <n v="66482.649999999994"/>
        <n v="66759"/>
        <n v="66762"/>
        <n v="67158"/>
        <n v="67268.3"/>
        <n v="67413"/>
        <n v="67595.850000000006"/>
        <n v="67683"/>
        <n v="67813.2"/>
        <n v="68215.7"/>
        <n v="68224.800000000003"/>
        <n v="68320"/>
        <n v="68347.199999999997"/>
        <n v="68403.5"/>
        <n v="68406.45"/>
        <n v="68561.899999999994"/>
        <n v="68625.899999999994"/>
        <n v="68680.3"/>
        <n v="68864.25"/>
        <n v="68886.399999999994"/>
        <n v="68910.45"/>
        <n v="69061.2"/>
        <n v="69216"/>
        <n v="69273.75"/>
        <n v="69308.800000000003"/>
        <n v="69326.399999999994"/>
        <n v="69505"/>
        <n v="69624.45"/>
        <n v="69750.95"/>
        <n v="69762"/>
        <n v="69932.5"/>
        <n v="69944.149999999994"/>
        <n v="69951.199999999997"/>
        <n v="69973.2"/>
        <n v="70062.3"/>
        <n v="70546.75"/>
        <n v="70590.45"/>
        <n v="70595.05"/>
        <n v="70675.199999999997"/>
        <n v="70718.399999999994"/>
        <n v="70768.95"/>
        <n v="71029.75"/>
        <n v="71248.25"/>
        <n v="71350"/>
        <n v="71548.800000000003"/>
        <n v="71589.100000000006"/>
        <n v="71864.100000000006"/>
        <n v="71922"/>
        <n v="72074.399999999994"/>
        <n v="72282.100000000006"/>
        <n v="72342.899999999994"/>
        <n v="72355.199999999997"/>
        <n v="72516.399999999994"/>
        <n v="72567.600000000006"/>
        <n v="72828.350000000006"/>
        <n v="72858.5"/>
        <n v="73163.199999999997"/>
        <n v="73250.100000000006"/>
        <n v="73413.899999999994"/>
        <n v="73692"/>
        <n v="73723.100000000006"/>
        <n v="73895.850000000006"/>
        <n v="73932.600000000006"/>
        <n v="74067.399999999994"/>
        <n v="74179.600000000006"/>
        <n v="74225.8"/>
        <n v="74520"/>
        <n v="74728.149999999994"/>
        <n v="74775.600000000006"/>
        <n v="74794.850000000006"/>
        <n v="74930.55"/>
        <n v="74970.8"/>
        <n v="75108"/>
        <n v="75145"/>
        <n v="75177.600000000006"/>
        <n v="75213.600000000006"/>
        <n v="75455.100000000006"/>
        <n v="75537.75"/>
        <n v="75555.7"/>
        <n v="75571.100000000006"/>
        <n v="75656.7"/>
        <n v="75662.399999999994"/>
        <n v="75774"/>
        <n v="76206.899999999994"/>
        <n v="76348.800000000003"/>
        <n v="76424.399999999994"/>
        <n v="76635.899999999994"/>
        <n v="76853.7"/>
        <n v="76897.7"/>
        <n v="77222.5"/>
        <n v="77537.899999999994"/>
        <n v="77579.25"/>
        <n v="77667.7"/>
        <n v="77751.45"/>
        <n v="78179.3"/>
        <n v="78274.75"/>
        <n v="78468.5"/>
        <n v="79149.899999999994"/>
        <n v="79150.5"/>
        <n v="79267.199999999997"/>
        <n v="79290.2"/>
        <n v="79340.800000000003"/>
        <n v="79495.5"/>
        <n v="79736.800000000003"/>
        <n v="79801.95"/>
        <n v="79953.600000000006"/>
        <n v="80074.8"/>
        <n v="80086.600000000006"/>
        <n v="80165.8"/>
        <n v="80439.600000000006"/>
        <n v="80623.399999999994"/>
        <n v="80682"/>
        <n v="80947.350000000006"/>
        <n v="80954.25"/>
        <n v="81004.850000000006"/>
        <n v="81181"/>
        <n v="81211.850000000006"/>
        <n v="81323.399999999994"/>
        <n v="81515.5"/>
        <n v="81570.5"/>
        <n v="81606.8"/>
        <n v="81836"/>
        <n v="81862.2"/>
        <n v="81963.600000000006"/>
        <n v="82065.5"/>
        <n v="82135.199999999997"/>
        <n v="82378.8"/>
        <n v="82514.8"/>
        <n v="82623.600000000006"/>
        <n v="82683.850000000006"/>
        <n v="83246"/>
        <n v="83283.899999999994"/>
        <n v="83289.8"/>
        <n v="84119.7"/>
        <n v="84138.6"/>
        <n v="84270.9"/>
        <n v="84345.600000000006"/>
        <n v="84576.75"/>
        <n v="84688.8"/>
        <n v="84748.1"/>
        <n v="84933.6"/>
        <n v="84956"/>
        <n v="85008"/>
        <n v="85054.8"/>
        <n v="85240.8"/>
        <n v="85335.8"/>
        <n v="85483.199999999997"/>
        <n v="85714.1"/>
        <n v="85932"/>
        <n v="86078.399999999994"/>
        <n v="86092.6"/>
        <n v="86225.85"/>
        <n v="86541.4"/>
        <n v="86805.6"/>
        <n v="87117"/>
        <n v="87669.75"/>
        <n v="87736.95"/>
        <n v="87872"/>
        <n v="88028.4"/>
        <n v="88075.199999999997"/>
        <n v="88096.8"/>
        <n v="88104.95"/>
        <n v="88125.65"/>
        <n v="88194.65"/>
        <n v="88287.6"/>
        <n v="88420.05"/>
        <n v="88559.2"/>
        <n v="88602.15"/>
        <n v="88652.3"/>
        <n v="88982.399999999994"/>
        <n v="89001.15"/>
        <n v="89051.6"/>
        <n v="89058.9"/>
        <n v="89593.2"/>
        <n v="89952.45"/>
        <n v="90096.75"/>
        <n v="90132"/>
        <n v="90276.9"/>
        <n v="90764.3"/>
        <n v="91129.5"/>
        <n v="91192"/>
        <n v="91297.2"/>
        <n v="91549.2"/>
        <n v="91760.55"/>
        <n v="91841.2"/>
        <n v="91851.1"/>
        <n v="92066.7"/>
        <n v="92169.05"/>
        <n v="92187.7"/>
        <n v="92474.95"/>
        <n v="92849"/>
        <n v="92907.1"/>
        <n v="93032.7"/>
        <n v="93083.3"/>
        <n v="93154.95"/>
        <n v="93249.600000000006"/>
        <n v="93280.8"/>
        <n v="93330.6"/>
        <n v="93417"/>
        <n v="93498.9"/>
        <n v="93588"/>
        <n v="93595.7"/>
        <n v="93815"/>
        <n v="94195.199999999997"/>
        <n v="94217.2"/>
        <n v="94441.45"/>
        <n v="95038.3"/>
        <n v="95095"/>
        <n v="95275"/>
        <n v="95809.35"/>
        <n v="96325.15"/>
        <n v="96404.7"/>
        <n v="96556.9"/>
        <n v="96639.4"/>
        <n v="97027.7"/>
        <n v="97566.7"/>
        <n v="97725.6"/>
        <n v="97809.600000000006"/>
        <n v="97892.55"/>
        <n v="98030.9"/>
        <n v="98190.45"/>
        <n v="98254.85"/>
        <n v="98277.6"/>
        <n v="98389.5"/>
        <n v="98610.2"/>
        <n v="98636.65"/>
        <n v="98646.9"/>
        <n v="99020.4"/>
        <n v="99477"/>
        <n v="99651.3"/>
        <n v="99843.6"/>
        <n v="99980.4"/>
        <n v="100249.60000000001"/>
        <n v="100262.39999999999"/>
        <n v="100405.35"/>
        <n v="100412.4"/>
        <n v="100494.9"/>
        <n v="100788"/>
        <n v="101024"/>
        <n v="101256.1"/>
        <n v="101385.15"/>
        <n v="101527.8"/>
        <n v="101681"/>
        <n v="101848.8"/>
        <n v="102128.25"/>
        <n v="102148.75"/>
        <n v="102154.5"/>
        <n v="102309.6"/>
        <n v="102576.1"/>
        <n v="102718.8"/>
        <n v="102722.4"/>
        <n v="102930.75"/>
        <n v="103219"/>
        <n v="103344.75"/>
        <n v="103498.8"/>
        <n v="103529.8"/>
        <n v="103660.8"/>
        <n v="103901.35"/>
        <n v="103934.6"/>
        <n v="104037.6"/>
        <n v="104376.3"/>
        <n v="104460.4"/>
        <n v="104480.4"/>
        <n v="104501.1"/>
        <n v="104876.2"/>
        <n v="104878.39999999999"/>
        <n v="105307.8"/>
        <n v="105489"/>
        <n v="105640"/>
        <n v="105751.8"/>
        <n v="105901.4"/>
        <n v="105936.85"/>
        <n v="105991.2"/>
        <n v="106100.4"/>
        <n v="106106"/>
        <n v="106180.65"/>
        <n v="106224.8"/>
        <n v="106251.6"/>
        <n v="106281.60000000001"/>
        <n v="106459.5"/>
        <n v="106580.4"/>
        <n v="106632"/>
        <n v="106634.4"/>
        <n v="106775.55"/>
        <n v="106859"/>
        <n v="107019"/>
        <n v="107331.6"/>
        <n v="107698.65"/>
        <n v="107727.4"/>
        <n v="107867.1"/>
        <n v="108153.1"/>
        <n v="108177.3"/>
        <n v="108186.25"/>
        <n v="108221.3"/>
        <n v="108266.4"/>
        <n v="108415.1"/>
        <n v="108486"/>
        <n v="108549.65"/>
        <n v="108854.39999999999"/>
        <n v="108881.3"/>
        <n v="108979.75"/>
        <n v="109030.35"/>
        <n v="109066.1"/>
        <n v="109272.9"/>
        <n v="109567.4"/>
        <n v="109630.39999999999"/>
        <n v="110014.3"/>
        <n v="110283.85"/>
        <n v="110315.7"/>
        <n v="110327.8"/>
        <n v="110382.8"/>
        <n v="110426.45"/>
        <n v="110543.4"/>
        <n v="110619.65"/>
        <n v="110653"/>
        <n v="110764.5"/>
        <n v="110780.4"/>
        <n v="110934.6"/>
        <n v="111317.7"/>
        <n v="111481"/>
        <n v="111652.35"/>
        <n v="111964.8"/>
        <n v="112070.2"/>
        <n v="112211.25"/>
        <n v="112365.35"/>
        <n v="112394.1"/>
        <n v="112541.1"/>
        <n v="112572.9"/>
        <n v="112746.7"/>
        <n v="113303"/>
        <n v="113342.85"/>
        <n v="113570.4"/>
        <n v="113659.1"/>
        <n v="113722.35"/>
        <n v="114056.8"/>
        <n v="114058"/>
        <n v="114098.6"/>
        <n v="114270.9"/>
        <n v="114368.1"/>
        <n v="114501.2"/>
        <n v="114530.8"/>
        <n v="114594"/>
        <n v="114637.95"/>
        <n v="114791.6"/>
        <n v="114889.60000000001"/>
        <n v="115129.35"/>
        <n v="115139.85"/>
        <n v="115232"/>
        <n v="115366.85"/>
        <n v="115627.9"/>
        <n v="115632"/>
        <n v="115680.8"/>
        <n v="115814.2"/>
        <n v="116217.85"/>
        <n v="116738.8"/>
        <n v="116760.65"/>
        <n v="116821.2"/>
        <n v="116866.45"/>
        <n v="116921.65"/>
        <n v="116925.6"/>
        <n v="117389.8"/>
        <n v="117680.85"/>
        <n v="117954.1"/>
        <n v="117967.3"/>
        <n v="118063.2"/>
        <n v="118106.1"/>
        <n v="118148.7"/>
        <n v="118238.39999999999"/>
        <n v="118318.2"/>
        <n v="118617.4"/>
        <n v="118797.8"/>
        <n v="118932.45"/>
        <n v="119131.1"/>
        <n v="119174.39999999999"/>
        <n v="119299.95"/>
        <n v="119329.35"/>
        <n v="119526"/>
        <n v="119550.9"/>
        <n v="119634.9"/>
        <n v="119704.65"/>
        <n v="120055.2"/>
        <n v="120089.9"/>
        <n v="120178"/>
        <n v="120287.2"/>
        <n v="120332.1"/>
        <n v="120336.7"/>
        <n v="120418.1"/>
        <n v="120510.6"/>
        <n v="120747.9"/>
        <n v="120927.1"/>
        <n v="120988.05"/>
        <n v="121183.55"/>
        <n v="121349.55"/>
        <n v="121624.8"/>
        <n v="121786"/>
        <n v="121816.2"/>
        <n v="122237.85"/>
        <n v="122373.3"/>
        <n v="122439.45"/>
        <n v="122523.45"/>
        <n v="122661.3"/>
        <n v="122696.95"/>
        <n v="122702.7"/>
        <n v="122939.3"/>
        <n v="122980"/>
        <n v="123063"/>
        <n v="123116.4"/>
        <n v="123149.25"/>
        <n v="123159.3"/>
        <n v="123168.45"/>
        <n v="123553.1"/>
        <n v="123578.7"/>
        <n v="123606"/>
        <n v="124008.15"/>
        <n v="124012.9"/>
        <n v="124362.7"/>
        <n v="124459.2"/>
        <n v="124560.7"/>
        <n v="124653.1"/>
        <n v="124833"/>
        <n v="124955.55"/>
        <n v="125006.39999999999"/>
        <n v="125064.5"/>
        <n v="125125.35"/>
        <n v="125323"/>
        <n v="125337"/>
        <n v="125342.7"/>
        <n v="125405.2"/>
        <n v="125560.8"/>
        <n v="125581.5"/>
        <n v="125668.2"/>
        <n v="125741.7"/>
        <n v="125809.2"/>
        <n v="126096.35"/>
        <n v="126362.4"/>
        <n v="126480.2"/>
        <n v="126556"/>
        <n v="126564.4"/>
        <n v="126590.1"/>
        <n v="126654"/>
        <n v="126720"/>
        <n v="126836.4"/>
        <n v="126848"/>
        <n v="126925.05"/>
        <n v="126935.55"/>
        <n v="127244.25"/>
        <n v="127246.9"/>
        <n v="127256"/>
        <n v="127293.1"/>
        <n v="127484"/>
        <n v="127502.55"/>
        <n v="127640.8"/>
        <n v="127738.8"/>
        <n v="127830"/>
        <n v="127936.35"/>
        <n v="127978.9"/>
        <n v="128075.5"/>
        <n v="128112.6"/>
        <n v="128163.2"/>
        <n v="128526"/>
        <n v="128609.8"/>
        <n v="128753.1"/>
        <n v="128773.05"/>
        <n v="129253.1"/>
        <n v="129277.2"/>
        <n v="129590.05"/>
        <n v="129679.2"/>
        <n v="129964.95"/>
        <n v="130007"/>
        <n v="130008.65"/>
        <n v="130136"/>
        <n v="130147"/>
        <n v="130253.2"/>
        <n v="130310.39999999999"/>
        <n v="130457.25"/>
        <n v="130484.4"/>
        <n v="130571.1"/>
        <n v="130627"/>
        <n v="130686.6"/>
        <n v="130707"/>
        <n v="130818.25"/>
        <n v="130824.1"/>
        <n v="131012.7"/>
        <n v="131048.5"/>
        <n v="131105.70000000001"/>
        <n v="131139.75"/>
        <n v="131372.85"/>
        <n v="131610.6"/>
        <n v="131652"/>
        <n v="131691.1"/>
        <n v="131894.39999999999"/>
        <n v="131913.60000000001"/>
        <n v="131984.35"/>
        <n v="132171.6"/>
        <n v="132369.60000000001"/>
        <n v="132376.5"/>
        <n v="132439.65"/>
        <n v="132536.4"/>
        <n v="132546"/>
        <n v="132902"/>
        <n v="133087.9"/>
        <n v="133328.4"/>
        <n v="133418.4"/>
        <n v="133563.29999999999"/>
        <n v="133705"/>
        <n v="133728.9"/>
        <n v="133893.1"/>
        <n v="134193.4"/>
        <n v="134308.79999999999"/>
        <n v="134547.70000000001"/>
        <n v="134805"/>
        <n v="135011.79999999999"/>
        <n v="135014.39999999999"/>
        <n v="135200.9"/>
        <n v="135266.25"/>
        <n v="135369.60000000001"/>
        <n v="135455.25"/>
        <n v="135618"/>
        <n v="135651.6"/>
        <n v="135951.20000000001"/>
        <n v="136004.75"/>
        <n v="136250.85"/>
        <n v="136257"/>
        <n v="136389.6"/>
        <n v="136509.6"/>
        <n v="136861.20000000001"/>
        <n v="136902.15"/>
        <n v="137224.79999999999"/>
        <n v="137256"/>
        <n v="137270.70000000001"/>
        <n v="137325"/>
        <n v="137488.79999999999"/>
        <n v="137558.29999999999"/>
        <n v="137606.70000000001"/>
        <n v="137770"/>
        <n v="137815.20000000001"/>
        <n v="137965.79999999999"/>
        <n v="138037.9"/>
        <n v="138292"/>
        <n v="138388.95000000001"/>
        <n v="138415.20000000001"/>
        <n v="138424.65"/>
        <n v="138487.6"/>
        <n v="138605.5"/>
        <n v="138829.15"/>
        <n v="138918"/>
        <n v="139130.20000000001"/>
        <n v="139134.45000000001"/>
        <n v="139148.4"/>
        <n v="139493.85"/>
        <n v="139568.6"/>
        <n v="139642.79999999999"/>
        <n v="139655"/>
        <n v="139690.1"/>
        <n v="139851.5"/>
        <n v="139965.6"/>
        <n v="139968.79999999999"/>
        <n v="140332.79999999999"/>
        <n v="140630.04999999999"/>
        <n v="140642.70000000001"/>
        <n v="141090.4"/>
        <n v="141209.65"/>
        <n v="141236.1"/>
        <n v="141308.54999999999"/>
        <n v="141739.79999999999"/>
        <n v="141820.35"/>
        <n v="141972"/>
        <n v="141988.20000000001"/>
        <n v="142088.25"/>
        <n v="142317.1"/>
        <n v="142337.79999999999"/>
        <n v="142523.70000000001"/>
        <n v="142528.1"/>
        <n v="142565.5"/>
        <n v="142892.20000000001"/>
        <n v="142984.79999999999"/>
        <n v="143105.60000000001"/>
        <n v="143153.85"/>
        <n v="143482.9"/>
        <n v="143540.1"/>
        <n v="143825"/>
        <n v="144219.6"/>
        <n v="144248.5"/>
        <n v="144528.54999999999"/>
        <n v="144636.65"/>
        <n v="144782"/>
        <n v="144791.9"/>
        <n v="144804.54999999999"/>
        <n v="145041.45000000001"/>
        <n v="145101.6"/>
        <n v="145150.5"/>
        <n v="145334.20000000001"/>
        <n v="145474.79999999999"/>
        <n v="145678.54999999999"/>
        <n v="145845.70000000001"/>
        <n v="145943.6"/>
        <n v="146010"/>
        <n v="146090.70000000001"/>
        <n v="146728.79999999999"/>
        <n v="146885.20000000001"/>
        <n v="147559.20000000001"/>
        <n v="147584.1"/>
        <n v="147772.70000000001"/>
        <n v="147804"/>
        <n v="147896.9"/>
        <n v="148184.4"/>
        <n v="148239"/>
        <n v="148253.6"/>
        <n v="148338.29999999999"/>
        <n v="148417.85"/>
        <n v="148589.1"/>
        <n v="148781.25"/>
        <n v="148814.6"/>
        <n v="149471.29999999999"/>
        <n v="149597.79999999999"/>
        <n v="149667.9"/>
        <n v="149760.45000000001"/>
        <n v="150054.29999999999"/>
        <n v="150153.29999999999"/>
        <n v="150310.75"/>
        <n v="150391.5"/>
        <n v="150579.85"/>
        <n v="151085"/>
        <n v="151544.4"/>
        <n v="151716.4"/>
        <n v="151844.4"/>
        <n v="151947.20000000001"/>
        <n v="152102.39999999999"/>
        <n v="152292.79999999999"/>
        <n v="152436.9"/>
        <n v="152810.85"/>
        <n v="152821.20000000001"/>
        <n v="153022.45000000001"/>
        <n v="153252"/>
        <n v="153411.15"/>
        <n v="153559.5"/>
        <n v="153660.70000000001"/>
        <n v="153834.35"/>
        <n v="153890.4"/>
        <n v="154061.6"/>
        <n v="154151.75"/>
        <n v="154593.35"/>
        <n v="154641.29999999999"/>
        <n v="154772.20000000001"/>
        <n v="155223.20000000001"/>
        <n v="155611.20000000001"/>
        <n v="155944.6"/>
        <n v="156579.6"/>
        <n v="156586.29999999999"/>
        <n v="156627.70000000001"/>
        <n v="156722.4"/>
        <n v="156879.6"/>
        <n v="156955.70000000001"/>
        <n v="157023.29999999999"/>
        <n v="157586"/>
        <n v="157793.79999999999"/>
        <n v="158890.9"/>
        <n v="159482"/>
        <n v="159483.6"/>
        <n v="159740.9"/>
        <n v="159764.4"/>
        <n v="159772.95000000001"/>
        <n v="159800.54999999999"/>
        <n v="160153.60000000001"/>
        <n v="160337.60000000001"/>
        <n v="160711.35"/>
        <n v="160904.4"/>
        <n v="161092.79999999999"/>
        <n v="161704.95000000001"/>
        <n v="162781.20000000001"/>
        <n v="163810.9"/>
        <n v="165488.45000000001"/>
        <n v="165718.79999999999"/>
        <n v="165782.39999999999"/>
        <n v="166453.20000000001"/>
        <n v="167133.6"/>
        <n v="167443.45000000001"/>
        <n v="167476.79999999999"/>
        <n v="170851.20000000001"/>
        <n v="171699.6"/>
        <n v="172528.8"/>
        <n v="173443.20000000001"/>
        <n v="174949.2"/>
        <n v="178746"/>
      </sharedItems>
    </cacheField>
    <cacheField name="Employee Status" numFmtId="0">
      <sharedItems count="2">
        <s v="Active"/>
        <s v="Inactive"/>
      </sharedItems>
    </cacheField>
    <cacheField name="Salary Grade" numFmtId="0">
      <sharedItems count="4">
        <s v="A"/>
        <s v="B"/>
        <s v="C"/>
        <s v="D"/>
      </sharedItems>
    </cacheField>
    <cacheField name="Experience Level" numFmtId="0">
      <sharedItems count="4">
        <s v="Expert"/>
        <s v="Junior"/>
        <s v="Mid-Level"/>
        <s v="Seni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188"/>
    <x v="8"/>
    <x v="0"/>
    <x v="5"/>
    <x v="183"/>
    <x v="7"/>
    <x v="843"/>
    <x v="3"/>
    <x v="4"/>
    <x v="0"/>
    <x v="3"/>
    <x v="2"/>
    <x v="1"/>
    <x v="5"/>
    <x v="6"/>
    <x v="3"/>
    <x v="367"/>
    <x v="198"/>
    <x v="0"/>
    <x v="3"/>
    <x v="2"/>
  </r>
  <r>
    <x v="1"/>
    <x v="21"/>
    <x v="0"/>
    <x v="1"/>
    <x v="0"/>
    <x v="15"/>
    <x v="1"/>
    <x v="585"/>
    <x v="7"/>
    <x v="2"/>
    <x v="1"/>
    <x v="0"/>
    <x v="1"/>
    <x v="0"/>
    <x v="5"/>
    <x v="7"/>
    <x v="2"/>
    <x v="46"/>
    <x v="20"/>
    <x v="1"/>
    <x v="3"/>
    <x v="1"/>
  </r>
  <r>
    <x v="2"/>
    <x v="198"/>
    <x v="4"/>
    <x v="0"/>
    <x v="15"/>
    <x v="438"/>
    <x v="17"/>
    <x v="695"/>
    <x v="8"/>
    <x v="4"/>
    <x v="0"/>
    <x v="1"/>
    <x v="0"/>
    <x v="2"/>
    <x v="9"/>
    <x v="6"/>
    <x v="3"/>
    <x v="567"/>
    <x v="460"/>
    <x v="0"/>
    <x v="1"/>
    <x v="0"/>
  </r>
  <r>
    <x v="3"/>
    <x v="188"/>
    <x v="0"/>
    <x v="1"/>
    <x v="25"/>
    <x v="671"/>
    <x v="22"/>
    <x v="157"/>
    <x v="6"/>
    <x v="0"/>
    <x v="0"/>
    <x v="1"/>
    <x v="3"/>
    <x v="3"/>
    <x v="5"/>
    <x v="2"/>
    <x v="1"/>
    <x v="218"/>
    <x v="624"/>
    <x v="0"/>
    <x v="0"/>
    <x v="0"/>
  </r>
  <r>
    <x v="4"/>
    <x v="115"/>
    <x v="4"/>
    <x v="1"/>
    <x v="26"/>
    <x v="509"/>
    <x v="18"/>
    <x v="708"/>
    <x v="8"/>
    <x v="2"/>
    <x v="1"/>
    <x v="1"/>
    <x v="0"/>
    <x v="3"/>
    <x v="4"/>
    <x v="0"/>
    <x v="2"/>
    <x v="432"/>
    <x v="505"/>
    <x v="1"/>
    <x v="1"/>
    <x v="0"/>
  </r>
  <r>
    <x v="5"/>
    <x v="138"/>
    <x v="8"/>
    <x v="1"/>
    <x v="26"/>
    <x v="679"/>
    <x v="24"/>
    <x v="222"/>
    <x v="6"/>
    <x v="4"/>
    <x v="0"/>
    <x v="1"/>
    <x v="3"/>
    <x v="3"/>
    <x v="8"/>
    <x v="7"/>
    <x v="3"/>
    <x v="743"/>
    <x v="718"/>
    <x v="0"/>
    <x v="0"/>
    <x v="0"/>
  </r>
  <r>
    <x v="6"/>
    <x v="180"/>
    <x v="7"/>
    <x v="1"/>
    <x v="15"/>
    <x v="459"/>
    <x v="15"/>
    <x v="163"/>
    <x v="9"/>
    <x v="4"/>
    <x v="0"/>
    <x v="1"/>
    <x v="0"/>
    <x v="2"/>
    <x v="8"/>
    <x v="5"/>
    <x v="3"/>
    <x v="599"/>
    <x v="485"/>
    <x v="0"/>
    <x v="1"/>
    <x v="0"/>
  </r>
  <r>
    <x v="7"/>
    <x v="89"/>
    <x v="9"/>
    <x v="0"/>
    <x v="5"/>
    <x v="78"/>
    <x v="2"/>
    <x v="44"/>
    <x v="5"/>
    <x v="1"/>
    <x v="0"/>
    <x v="2"/>
    <x v="1"/>
    <x v="1"/>
    <x v="6"/>
    <x v="4"/>
    <x v="4"/>
    <x v="370"/>
    <x v="104"/>
    <x v="0"/>
    <x v="3"/>
    <x v="1"/>
  </r>
  <r>
    <x v="8"/>
    <x v="133"/>
    <x v="0"/>
    <x v="0"/>
    <x v="29"/>
    <x v="771"/>
    <x v="29"/>
    <x v="479"/>
    <x v="2"/>
    <x v="4"/>
    <x v="0"/>
    <x v="1"/>
    <x v="3"/>
    <x v="3"/>
    <x v="3"/>
    <x v="3"/>
    <x v="3"/>
    <x v="783"/>
    <x v="819"/>
    <x v="0"/>
    <x v="0"/>
    <x v="0"/>
  </r>
  <r>
    <x v="9"/>
    <x v="97"/>
    <x v="2"/>
    <x v="0"/>
    <x v="14"/>
    <x v="452"/>
    <x v="14"/>
    <x v="727"/>
    <x v="0"/>
    <x v="1"/>
    <x v="1"/>
    <x v="1"/>
    <x v="0"/>
    <x v="2"/>
    <x v="11"/>
    <x v="4"/>
    <x v="4"/>
    <x v="734"/>
    <x v="501"/>
    <x v="1"/>
    <x v="1"/>
    <x v="3"/>
  </r>
  <r>
    <x v="10"/>
    <x v="8"/>
    <x v="5"/>
    <x v="0"/>
    <x v="8"/>
    <x v="125"/>
    <x v="4"/>
    <x v="21"/>
    <x v="2"/>
    <x v="2"/>
    <x v="0"/>
    <x v="2"/>
    <x v="2"/>
    <x v="1"/>
    <x v="10"/>
    <x v="5"/>
    <x v="2"/>
    <x v="137"/>
    <x v="123"/>
    <x v="0"/>
    <x v="3"/>
    <x v="2"/>
  </r>
  <r>
    <x v="11"/>
    <x v="131"/>
    <x v="2"/>
    <x v="1"/>
    <x v="9"/>
    <x v="228"/>
    <x v="7"/>
    <x v="546"/>
    <x v="4"/>
    <x v="2"/>
    <x v="0"/>
    <x v="3"/>
    <x v="2"/>
    <x v="1"/>
    <x v="3"/>
    <x v="5"/>
    <x v="2"/>
    <x v="219"/>
    <x v="234"/>
    <x v="0"/>
    <x v="2"/>
    <x v="2"/>
  </r>
  <r>
    <x v="12"/>
    <x v="46"/>
    <x v="8"/>
    <x v="0"/>
    <x v="39"/>
    <x v="840"/>
    <x v="32"/>
    <x v="165"/>
    <x v="7"/>
    <x v="4"/>
    <x v="0"/>
    <x v="1"/>
    <x v="3"/>
    <x v="3"/>
    <x v="3"/>
    <x v="6"/>
    <x v="3"/>
    <x v="808"/>
    <x v="885"/>
    <x v="0"/>
    <x v="0"/>
    <x v="0"/>
  </r>
  <r>
    <x v="13"/>
    <x v="88"/>
    <x v="4"/>
    <x v="0"/>
    <x v="0"/>
    <x v="44"/>
    <x v="1"/>
    <x v="702"/>
    <x v="8"/>
    <x v="4"/>
    <x v="0"/>
    <x v="0"/>
    <x v="1"/>
    <x v="0"/>
    <x v="6"/>
    <x v="9"/>
    <x v="3"/>
    <x v="180"/>
    <x v="61"/>
    <x v="0"/>
    <x v="3"/>
    <x v="1"/>
  </r>
  <r>
    <x v="14"/>
    <x v="43"/>
    <x v="0"/>
    <x v="1"/>
    <x v="34"/>
    <x v="875"/>
    <x v="34"/>
    <x v="835"/>
    <x v="6"/>
    <x v="3"/>
    <x v="0"/>
    <x v="1"/>
    <x v="3"/>
    <x v="3"/>
    <x v="10"/>
    <x v="1"/>
    <x v="0"/>
    <x v="0"/>
    <x v="766"/>
    <x v="0"/>
    <x v="0"/>
    <x v="0"/>
  </r>
  <r>
    <x v="15"/>
    <x v="31"/>
    <x v="1"/>
    <x v="1"/>
    <x v="21"/>
    <x v="347"/>
    <x v="12"/>
    <x v="362"/>
    <x v="9"/>
    <x v="3"/>
    <x v="0"/>
    <x v="1"/>
    <x v="2"/>
    <x v="2"/>
    <x v="8"/>
    <x v="2"/>
    <x v="0"/>
    <x v="0"/>
    <x v="290"/>
    <x v="0"/>
    <x v="2"/>
    <x v="3"/>
  </r>
  <r>
    <x v="16"/>
    <x v="116"/>
    <x v="4"/>
    <x v="1"/>
    <x v="13"/>
    <x v="412"/>
    <x v="14"/>
    <x v="633"/>
    <x v="9"/>
    <x v="2"/>
    <x v="0"/>
    <x v="1"/>
    <x v="0"/>
    <x v="1"/>
    <x v="0"/>
    <x v="6"/>
    <x v="2"/>
    <x v="369"/>
    <x v="406"/>
    <x v="0"/>
    <x v="1"/>
    <x v="3"/>
  </r>
  <r>
    <x v="17"/>
    <x v="60"/>
    <x v="5"/>
    <x v="1"/>
    <x v="2"/>
    <x v="113"/>
    <x v="4"/>
    <x v="66"/>
    <x v="0"/>
    <x v="2"/>
    <x v="0"/>
    <x v="2"/>
    <x v="2"/>
    <x v="0"/>
    <x v="1"/>
    <x v="1"/>
    <x v="2"/>
    <x v="128"/>
    <x v="109"/>
    <x v="0"/>
    <x v="3"/>
    <x v="2"/>
  </r>
  <r>
    <x v="18"/>
    <x v="149"/>
    <x v="0"/>
    <x v="0"/>
    <x v="31"/>
    <x v="861"/>
    <x v="30"/>
    <x v="482"/>
    <x v="7"/>
    <x v="4"/>
    <x v="1"/>
    <x v="1"/>
    <x v="3"/>
    <x v="3"/>
    <x v="9"/>
    <x v="3"/>
    <x v="3"/>
    <x v="815"/>
    <x v="900"/>
    <x v="1"/>
    <x v="0"/>
    <x v="0"/>
  </r>
  <r>
    <x v="19"/>
    <x v="90"/>
    <x v="9"/>
    <x v="1"/>
    <x v="11"/>
    <x v="30"/>
    <x v="3"/>
    <x v="324"/>
    <x v="6"/>
    <x v="2"/>
    <x v="0"/>
    <x v="2"/>
    <x v="1"/>
    <x v="1"/>
    <x v="1"/>
    <x v="8"/>
    <x v="2"/>
    <x v="66"/>
    <x v="33"/>
    <x v="0"/>
    <x v="3"/>
    <x v="2"/>
  </r>
  <r>
    <x v="20"/>
    <x v="152"/>
    <x v="5"/>
    <x v="1"/>
    <x v="28"/>
    <x v="788"/>
    <x v="28"/>
    <x v="338"/>
    <x v="3"/>
    <x v="4"/>
    <x v="0"/>
    <x v="1"/>
    <x v="3"/>
    <x v="3"/>
    <x v="4"/>
    <x v="3"/>
    <x v="3"/>
    <x v="788"/>
    <x v="840"/>
    <x v="0"/>
    <x v="0"/>
    <x v="0"/>
  </r>
  <r>
    <x v="21"/>
    <x v="24"/>
    <x v="3"/>
    <x v="1"/>
    <x v="32"/>
    <x v="864"/>
    <x v="34"/>
    <x v="563"/>
    <x v="5"/>
    <x v="4"/>
    <x v="0"/>
    <x v="1"/>
    <x v="3"/>
    <x v="3"/>
    <x v="5"/>
    <x v="0"/>
    <x v="3"/>
    <x v="817"/>
    <x v="903"/>
    <x v="0"/>
    <x v="0"/>
    <x v="0"/>
  </r>
  <r>
    <x v="22"/>
    <x v="182"/>
    <x v="2"/>
    <x v="1"/>
    <x v="4"/>
    <x v="6"/>
    <x v="0"/>
    <x v="465"/>
    <x v="4"/>
    <x v="4"/>
    <x v="0"/>
    <x v="0"/>
    <x v="1"/>
    <x v="1"/>
    <x v="10"/>
    <x v="7"/>
    <x v="3"/>
    <x v="118"/>
    <x v="17"/>
    <x v="0"/>
    <x v="3"/>
    <x v="1"/>
  </r>
  <r>
    <x v="23"/>
    <x v="82"/>
    <x v="5"/>
    <x v="1"/>
    <x v="11"/>
    <x v="443"/>
    <x v="13"/>
    <x v="409"/>
    <x v="3"/>
    <x v="2"/>
    <x v="1"/>
    <x v="1"/>
    <x v="0"/>
    <x v="1"/>
    <x v="1"/>
    <x v="8"/>
    <x v="2"/>
    <x v="389"/>
    <x v="443"/>
    <x v="1"/>
    <x v="1"/>
    <x v="3"/>
  </r>
  <r>
    <x v="24"/>
    <x v="114"/>
    <x v="4"/>
    <x v="1"/>
    <x v="31"/>
    <x v="834"/>
    <x v="32"/>
    <x v="436"/>
    <x v="0"/>
    <x v="2"/>
    <x v="0"/>
    <x v="1"/>
    <x v="3"/>
    <x v="3"/>
    <x v="1"/>
    <x v="5"/>
    <x v="2"/>
    <x v="621"/>
    <x v="835"/>
    <x v="0"/>
    <x v="0"/>
    <x v="0"/>
  </r>
  <r>
    <x v="25"/>
    <x v="195"/>
    <x v="9"/>
    <x v="0"/>
    <x v="9"/>
    <x v="11"/>
    <x v="2"/>
    <x v="797"/>
    <x v="9"/>
    <x v="2"/>
    <x v="0"/>
    <x v="2"/>
    <x v="1"/>
    <x v="1"/>
    <x v="9"/>
    <x v="8"/>
    <x v="2"/>
    <x v="37"/>
    <x v="13"/>
    <x v="0"/>
    <x v="3"/>
    <x v="1"/>
  </r>
  <r>
    <x v="26"/>
    <x v="156"/>
    <x v="1"/>
    <x v="1"/>
    <x v="20"/>
    <x v="409"/>
    <x v="16"/>
    <x v="677"/>
    <x v="8"/>
    <x v="2"/>
    <x v="0"/>
    <x v="1"/>
    <x v="0"/>
    <x v="2"/>
    <x v="6"/>
    <x v="11"/>
    <x v="2"/>
    <x v="365"/>
    <x v="401"/>
    <x v="0"/>
    <x v="1"/>
    <x v="0"/>
  </r>
  <r>
    <x v="27"/>
    <x v="150"/>
    <x v="7"/>
    <x v="0"/>
    <x v="35"/>
    <x v="962"/>
    <x v="34"/>
    <x v="336"/>
    <x v="1"/>
    <x v="1"/>
    <x v="0"/>
    <x v="1"/>
    <x v="3"/>
    <x v="3"/>
    <x v="5"/>
    <x v="2"/>
    <x v="4"/>
    <x v="907"/>
    <x v="976"/>
    <x v="0"/>
    <x v="0"/>
    <x v="0"/>
  </r>
  <r>
    <x v="28"/>
    <x v="97"/>
    <x v="6"/>
    <x v="1"/>
    <x v="34"/>
    <x v="755"/>
    <x v="28"/>
    <x v="169"/>
    <x v="8"/>
    <x v="2"/>
    <x v="0"/>
    <x v="1"/>
    <x v="3"/>
    <x v="3"/>
    <x v="0"/>
    <x v="7"/>
    <x v="2"/>
    <x v="579"/>
    <x v="756"/>
    <x v="0"/>
    <x v="0"/>
    <x v="0"/>
  </r>
  <r>
    <x v="29"/>
    <x v="25"/>
    <x v="5"/>
    <x v="0"/>
    <x v="35"/>
    <x v="938"/>
    <x v="35"/>
    <x v="774"/>
    <x v="4"/>
    <x v="2"/>
    <x v="0"/>
    <x v="1"/>
    <x v="3"/>
    <x v="3"/>
    <x v="6"/>
    <x v="0"/>
    <x v="2"/>
    <x v="672"/>
    <x v="922"/>
    <x v="0"/>
    <x v="0"/>
    <x v="0"/>
  </r>
  <r>
    <x v="30"/>
    <x v="55"/>
    <x v="2"/>
    <x v="0"/>
    <x v="2"/>
    <x v="112"/>
    <x v="3"/>
    <x v="463"/>
    <x v="6"/>
    <x v="1"/>
    <x v="0"/>
    <x v="2"/>
    <x v="2"/>
    <x v="0"/>
    <x v="6"/>
    <x v="7"/>
    <x v="4"/>
    <x v="407"/>
    <x v="146"/>
    <x v="0"/>
    <x v="3"/>
    <x v="2"/>
  </r>
  <r>
    <x v="31"/>
    <x v="51"/>
    <x v="3"/>
    <x v="0"/>
    <x v="33"/>
    <x v="642"/>
    <x v="27"/>
    <x v="135"/>
    <x v="0"/>
    <x v="1"/>
    <x v="0"/>
    <x v="1"/>
    <x v="3"/>
    <x v="3"/>
    <x v="2"/>
    <x v="5"/>
    <x v="4"/>
    <x v="846"/>
    <x v="714"/>
    <x v="0"/>
    <x v="0"/>
    <x v="0"/>
  </r>
  <r>
    <x v="32"/>
    <x v="129"/>
    <x v="9"/>
    <x v="1"/>
    <x v="35"/>
    <x v="965"/>
    <x v="35"/>
    <x v="286"/>
    <x v="8"/>
    <x v="1"/>
    <x v="0"/>
    <x v="1"/>
    <x v="3"/>
    <x v="3"/>
    <x v="2"/>
    <x v="9"/>
    <x v="4"/>
    <x v="908"/>
    <x v="977"/>
    <x v="0"/>
    <x v="0"/>
    <x v="0"/>
  </r>
  <r>
    <x v="33"/>
    <x v="167"/>
    <x v="0"/>
    <x v="1"/>
    <x v="28"/>
    <x v="621"/>
    <x v="22"/>
    <x v="581"/>
    <x v="1"/>
    <x v="0"/>
    <x v="0"/>
    <x v="1"/>
    <x v="3"/>
    <x v="3"/>
    <x v="3"/>
    <x v="6"/>
    <x v="1"/>
    <x v="195"/>
    <x v="567"/>
    <x v="0"/>
    <x v="0"/>
    <x v="0"/>
  </r>
  <r>
    <x v="34"/>
    <x v="106"/>
    <x v="1"/>
    <x v="1"/>
    <x v="25"/>
    <x v="549"/>
    <x v="21"/>
    <x v="715"/>
    <x v="9"/>
    <x v="4"/>
    <x v="0"/>
    <x v="1"/>
    <x v="0"/>
    <x v="3"/>
    <x v="5"/>
    <x v="2"/>
    <x v="3"/>
    <x v="675"/>
    <x v="573"/>
    <x v="0"/>
    <x v="1"/>
    <x v="0"/>
  </r>
  <r>
    <x v="35"/>
    <x v="109"/>
    <x v="6"/>
    <x v="1"/>
    <x v="32"/>
    <x v="783"/>
    <x v="29"/>
    <x v="214"/>
    <x v="4"/>
    <x v="4"/>
    <x v="0"/>
    <x v="1"/>
    <x v="3"/>
    <x v="3"/>
    <x v="5"/>
    <x v="3"/>
    <x v="3"/>
    <x v="787"/>
    <x v="832"/>
    <x v="0"/>
    <x v="0"/>
    <x v="0"/>
  </r>
  <r>
    <x v="36"/>
    <x v="196"/>
    <x v="4"/>
    <x v="0"/>
    <x v="30"/>
    <x v="646"/>
    <x v="22"/>
    <x v="539"/>
    <x v="1"/>
    <x v="2"/>
    <x v="0"/>
    <x v="1"/>
    <x v="3"/>
    <x v="3"/>
    <x v="8"/>
    <x v="2"/>
    <x v="2"/>
    <x v="519"/>
    <x v="637"/>
    <x v="0"/>
    <x v="0"/>
    <x v="0"/>
  </r>
  <r>
    <x v="37"/>
    <x v="143"/>
    <x v="5"/>
    <x v="1"/>
    <x v="14"/>
    <x v="403"/>
    <x v="16"/>
    <x v="863"/>
    <x v="5"/>
    <x v="4"/>
    <x v="0"/>
    <x v="1"/>
    <x v="0"/>
    <x v="2"/>
    <x v="9"/>
    <x v="11"/>
    <x v="3"/>
    <x v="531"/>
    <x v="425"/>
    <x v="0"/>
    <x v="1"/>
    <x v="0"/>
  </r>
  <r>
    <x v="38"/>
    <x v="180"/>
    <x v="7"/>
    <x v="0"/>
    <x v="14"/>
    <x v="267"/>
    <x v="12"/>
    <x v="351"/>
    <x v="8"/>
    <x v="1"/>
    <x v="0"/>
    <x v="1"/>
    <x v="2"/>
    <x v="2"/>
    <x v="9"/>
    <x v="10"/>
    <x v="4"/>
    <x v="562"/>
    <x v="308"/>
    <x v="0"/>
    <x v="2"/>
    <x v="3"/>
  </r>
  <r>
    <x v="39"/>
    <x v="174"/>
    <x v="7"/>
    <x v="0"/>
    <x v="28"/>
    <x v="562"/>
    <x v="21"/>
    <x v="496"/>
    <x v="4"/>
    <x v="2"/>
    <x v="0"/>
    <x v="1"/>
    <x v="0"/>
    <x v="3"/>
    <x v="2"/>
    <x v="10"/>
    <x v="2"/>
    <x v="470"/>
    <x v="556"/>
    <x v="0"/>
    <x v="1"/>
    <x v="0"/>
  </r>
  <r>
    <x v="40"/>
    <x v="163"/>
    <x v="8"/>
    <x v="0"/>
    <x v="35"/>
    <x v="923"/>
    <x v="35"/>
    <x v="167"/>
    <x v="5"/>
    <x v="2"/>
    <x v="0"/>
    <x v="1"/>
    <x v="3"/>
    <x v="3"/>
    <x v="9"/>
    <x v="6"/>
    <x v="2"/>
    <x v="662"/>
    <x v="910"/>
    <x v="0"/>
    <x v="0"/>
    <x v="0"/>
  </r>
  <r>
    <x v="41"/>
    <x v="79"/>
    <x v="1"/>
    <x v="0"/>
    <x v="33"/>
    <x v="948"/>
    <x v="35"/>
    <x v="220"/>
    <x v="7"/>
    <x v="4"/>
    <x v="0"/>
    <x v="1"/>
    <x v="3"/>
    <x v="3"/>
    <x v="6"/>
    <x v="6"/>
    <x v="3"/>
    <x v="850"/>
    <x v="960"/>
    <x v="0"/>
    <x v="0"/>
    <x v="0"/>
  </r>
  <r>
    <x v="42"/>
    <x v="79"/>
    <x v="4"/>
    <x v="1"/>
    <x v="19"/>
    <x v="423"/>
    <x v="13"/>
    <x v="645"/>
    <x v="4"/>
    <x v="2"/>
    <x v="0"/>
    <x v="1"/>
    <x v="0"/>
    <x v="2"/>
    <x v="3"/>
    <x v="10"/>
    <x v="2"/>
    <x v="373"/>
    <x v="416"/>
    <x v="0"/>
    <x v="1"/>
    <x v="3"/>
  </r>
  <r>
    <x v="43"/>
    <x v="78"/>
    <x v="1"/>
    <x v="0"/>
    <x v="15"/>
    <x v="358"/>
    <x v="14"/>
    <x v="576"/>
    <x v="0"/>
    <x v="1"/>
    <x v="0"/>
    <x v="1"/>
    <x v="2"/>
    <x v="2"/>
    <x v="0"/>
    <x v="5"/>
    <x v="4"/>
    <x v="653"/>
    <x v="403"/>
    <x v="0"/>
    <x v="2"/>
    <x v="3"/>
  </r>
  <r>
    <x v="44"/>
    <x v="8"/>
    <x v="0"/>
    <x v="1"/>
    <x v="21"/>
    <x v="366"/>
    <x v="12"/>
    <x v="14"/>
    <x v="1"/>
    <x v="4"/>
    <x v="0"/>
    <x v="1"/>
    <x v="2"/>
    <x v="2"/>
    <x v="11"/>
    <x v="3"/>
    <x v="3"/>
    <x v="507"/>
    <x v="392"/>
    <x v="0"/>
    <x v="2"/>
    <x v="3"/>
  </r>
  <r>
    <x v="45"/>
    <x v="52"/>
    <x v="5"/>
    <x v="0"/>
    <x v="38"/>
    <x v="826"/>
    <x v="33"/>
    <x v="68"/>
    <x v="7"/>
    <x v="0"/>
    <x v="0"/>
    <x v="1"/>
    <x v="3"/>
    <x v="3"/>
    <x v="5"/>
    <x v="1"/>
    <x v="1"/>
    <x v="290"/>
    <x v="772"/>
    <x v="0"/>
    <x v="0"/>
    <x v="0"/>
  </r>
  <r>
    <x v="46"/>
    <x v="62"/>
    <x v="6"/>
    <x v="1"/>
    <x v="36"/>
    <x v="937"/>
    <x v="32"/>
    <x v="889"/>
    <x v="4"/>
    <x v="0"/>
    <x v="0"/>
    <x v="1"/>
    <x v="3"/>
    <x v="3"/>
    <x v="9"/>
    <x v="2"/>
    <x v="1"/>
    <x v="334"/>
    <x v="879"/>
    <x v="0"/>
    <x v="0"/>
    <x v="0"/>
  </r>
  <r>
    <x v="47"/>
    <x v="115"/>
    <x v="7"/>
    <x v="0"/>
    <x v="38"/>
    <x v="882"/>
    <x v="33"/>
    <x v="784"/>
    <x v="6"/>
    <x v="2"/>
    <x v="0"/>
    <x v="1"/>
    <x v="3"/>
    <x v="3"/>
    <x v="6"/>
    <x v="3"/>
    <x v="2"/>
    <x v="640"/>
    <x v="876"/>
    <x v="0"/>
    <x v="0"/>
    <x v="0"/>
  </r>
  <r>
    <x v="48"/>
    <x v="28"/>
    <x v="0"/>
    <x v="0"/>
    <x v="5"/>
    <x v="91"/>
    <x v="5"/>
    <x v="252"/>
    <x v="2"/>
    <x v="4"/>
    <x v="0"/>
    <x v="3"/>
    <x v="1"/>
    <x v="1"/>
    <x v="5"/>
    <x v="7"/>
    <x v="3"/>
    <x v="244"/>
    <x v="102"/>
    <x v="0"/>
    <x v="3"/>
    <x v="2"/>
  </r>
  <r>
    <x v="49"/>
    <x v="86"/>
    <x v="8"/>
    <x v="0"/>
    <x v="39"/>
    <x v="952"/>
    <x v="34"/>
    <x v="731"/>
    <x v="7"/>
    <x v="4"/>
    <x v="0"/>
    <x v="1"/>
    <x v="3"/>
    <x v="3"/>
    <x v="1"/>
    <x v="8"/>
    <x v="3"/>
    <x v="852"/>
    <x v="962"/>
    <x v="0"/>
    <x v="0"/>
    <x v="0"/>
  </r>
  <r>
    <x v="50"/>
    <x v="141"/>
    <x v="5"/>
    <x v="1"/>
    <x v="3"/>
    <x v="13"/>
    <x v="0"/>
    <x v="883"/>
    <x v="7"/>
    <x v="0"/>
    <x v="0"/>
    <x v="0"/>
    <x v="1"/>
    <x v="0"/>
    <x v="8"/>
    <x v="11"/>
    <x v="1"/>
    <x v="6"/>
    <x v="10"/>
    <x v="0"/>
    <x v="3"/>
    <x v="1"/>
  </r>
  <r>
    <x v="51"/>
    <x v="107"/>
    <x v="1"/>
    <x v="1"/>
    <x v="16"/>
    <x v="436"/>
    <x v="14"/>
    <x v="644"/>
    <x v="0"/>
    <x v="1"/>
    <x v="0"/>
    <x v="1"/>
    <x v="0"/>
    <x v="2"/>
    <x v="10"/>
    <x v="9"/>
    <x v="4"/>
    <x v="722"/>
    <x v="479"/>
    <x v="0"/>
    <x v="1"/>
    <x v="3"/>
  </r>
  <r>
    <x v="52"/>
    <x v="37"/>
    <x v="3"/>
    <x v="0"/>
    <x v="32"/>
    <x v="946"/>
    <x v="34"/>
    <x v="295"/>
    <x v="5"/>
    <x v="1"/>
    <x v="0"/>
    <x v="1"/>
    <x v="3"/>
    <x v="3"/>
    <x v="0"/>
    <x v="1"/>
    <x v="4"/>
    <x v="904"/>
    <x v="972"/>
    <x v="0"/>
    <x v="0"/>
    <x v="0"/>
  </r>
  <r>
    <x v="53"/>
    <x v="134"/>
    <x v="6"/>
    <x v="1"/>
    <x v="21"/>
    <x v="576"/>
    <x v="20"/>
    <x v="26"/>
    <x v="7"/>
    <x v="4"/>
    <x v="0"/>
    <x v="1"/>
    <x v="0"/>
    <x v="2"/>
    <x v="7"/>
    <x v="8"/>
    <x v="3"/>
    <x v="696"/>
    <x v="605"/>
    <x v="0"/>
    <x v="1"/>
    <x v="0"/>
  </r>
  <r>
    <x v="54"/>
    <x v="156"/>
    <x v="3"/>
    <x v="1"/>
    <x v="10"/>
    <x v="90"/>
    <x v="1"/>
    <x v="53"/>
    <x v="9"/>
    <x v="3"/>
    <x v="0"/>
    <x v="0"/>
    <x v="1"/>
    <x v="1"/>
    <x v="1"/>
    <x v="7"/>
    <x v="0"/>
    <x v="0"/>
    <x v="68"/>
    <x v="0"/>
    <x v="3"/>
    <x v="1"/>
  </r>
  <r>
    <x v="55"/>
    <x v="80"/>
    <x v="1"/>
    <x v="0"/>
    <x v="8"/>
    <x v="3"/>
    <x v="1"/>
    <x v="224"/>
    <x v="2"/>
    <x v="1"/>
    <x v="0"/>
    <x v="0"/>
    <x v="1"/>
    <x v="1"/>
    <x v="5"/>
    <x v="8"/>
    <x v="4"/>
    <x v="196"/>
    <x v="21"/>
    <x v="0"/>
    <x v="3"/>
    <x v="1"/>
  </r>
  <r>
    <x v="56"/>
    <x v="178"/>
    <x v="8"/>
    <x v="1"/>
    <x v="17"/>
    <x v="377"/>
    <x v="10"/>
    <x v="790"/>
    <x v="4"/>
    <x v="0"/>
    <x v="0"/>
    <x v="1"/>
    <x v="2"/>
    <x v="2"/>
    <x v="2"/>
    <x v="5"/>
    <x v="1"/>
    <x v="98"/>
    <x v="348"/>
    <x v="0"/>
    <x v="2"/>
    <x v="3"/>
  </r>
  <r>
    <x v="57"/>
    <x v="118"/>
    <x v="6"/>
    <x v="1"/>
    <x v="28"/>
    <x v="613"/>
    <x v="24"/>
    <x v="418"/>
    <x v="0"/>
    <x v="2"/>
    <x v="0"/>
    <x v="1"/>
    <x v="3"/>
    <x v="3"/>
    <x v="1"/>
    <x v="11"/>
    <x v="2"/>
    <x v="501"/>
    <x v="607"/>
    <x v="0"/>
    <x v="0"/>
    <x v="0"/>
  </r>
  <r>
    <x v="58"/>
    <x v="196"/>
    <x v="0"/>
    <x v="0"/>
    <x v="5"/>
    <x v="115"/>
    <x v="2"/>
    <x v="271"/>
    <x v="8"/>
    <x v="2"/>
    <x v="1"/>
    <x v="2"/>
    <x v="2"/>
    <x v="1"/>
    <x v="9"/>
    <x v="1"/>
    <x v="2"/>
    <x v="130"/>
    <x v="113"/>
    <x v="1"/>
    <x v="3"/>
    <x v="1"/>
  </r>
  <r>
    <x v="59"/>
    <x v="133"/>
    <x v="5"/>
    <x v="0"/>
    <x v="30"/>
    <x v="770"/>
    <x v="27"/>
    <x v="195"/>
    <x v="7"/>
    <x v="2"/>
    <x v="0"/>
    <x v="1"/>
    <x v="3"/>
    <x v="3"/>
    <x v="3"/>
    <x v="6"/>
    <x v="2"/>
    <x v="585"/>
    <x v="771"/>
    <x v="0"/>
    <x v="0"/>
    <x v="0"/>
  </r>
  <r>
    <x v="60"/>
    <x v="155"/>
    <x v="1"/>
    <x v="1"/>
    <x v="36"/>
    <x v="813"/>
    <x v="27"/>
    <x v="192"/>
    <x v="7"/>
    <x v="4"/>
    <x v="0"/>
    <x v="1"/>
    <x v="3"/>
    <x v="3"/>
    <x v="6"/>
    <x v="4"/>
    <x v="3"/>
    <x v="797"/>
    <x v="860"/>
    <x v="0"/>
    <x v="0"/>
    <x v="0"/>
  </r>
  <r>
    <x v="61"/>
    <x v="29"/>
    <x v="6"/>
    <x v="0"/>
    <x v="27"/>
    <x v="565"/>
    <x v="24"/>
    <x v="14"/>
    <x v="4"/>
    <x v="0"/>
    <x v="0"/>
    <x v="1"/>
    <x v="0"/>
    <x v="3"/>
    <x v="11"/>
    <x v="3"/>
    <x v="1"/>
    <x v="177"/>
    <x v="526"/>
    <x v="0"/>
    <x v="1"/>
    <x v="0"/>
  </r>
  <r>
    <x v="62"/>
    <x v="61"/>
    <x v="9"/>
    <x v="0"/>
    <x v="23"/>
    <x v="402"/>
    <x v="17"/>
    <x v="420"/>
    <x v="7"/>
    <x v="1"/>
    <x v="0"/>
    <x v="1"/>
    <x v="0"/>
    <x v="2"/>
    <x v="4"/>
    <x v="0"/>
    <x v="4"/>
    <x v="695"/>
    <x v="447"/>
    <x v="0"/>
    <x v="1"/>
    <x v="0"/>
  </r>
  <r>
    <x v="63"/>
    <x v="173"/>
    <x v="7"/>
    <x v="0"/>
    <x v="26"/>
    <x v="688"/>
    <x v="28"/>
    <x v="184"/>
    <x v="6"/>
    <x v="4"/>
    <x v="0"/>
    <x v="1"/>
    <x v="3"/>
    <x v="3"/>
    <x v="6"/>
    <x v="1"/>
    <x v="3"/>
    <x v="746"/>
    <x v="731"/>
    <x v="0"/>
    <x v="0"/>
    <x v="0"/>
  </r>
  <r>
    <x v="64"/>
    <x v="175"/>
    <x v="9"/>
    <x v="1"/>
    <x v="36"/>
    <x v="933"/>
    <x v="33"/>
    <x v="51"/>
    <x v="9"/>
    <x v="4"/>
    <x v="0"/>
    <x v="1"/>
    <x v="3"/>
    <x v="3"/>
    <x v="7"/>
    <x v="6"/>
    <x v="3"/>
    <x v="841"/>
    <x v="951"/>
    <x v="0"/>
    <x v="0"/>
    <x v="0"/>
  </r>
  <r>
    <x v="65"/>
    <x v="133"/>
    <x v="5"/>
    <x v="0"/>
    <x v="19"/>
    <x v="599"/>
    <x v="20"/>
    <x v="720"/>
    <x v="8"/>
    <x v="4"/>
    <x v="0"/>
    <x v="1"/>
    <x v="0"/>
    <x v="2"/>
    <x v="4"/>
    <x v="3"/>
    <x v="3"/>
    <x v="709"/>
    <x v="628"/>
    <x v="0"/>
    <x v="1"/>
    <x v="0"/>
  </r>
  <r>
    <x v="66"/>
    <x v="187"/>
    <x v="6"/>
    <x v="1"/>
    <x v="14"/>
    <x v="329"/>
    <x v="12"/>
    <x v="105"/>
    <x v="3"/>
    <x v="4"/>
    <x v="1"/>
    <x v="1"/>
    <x v="2"/>
    <x v="2"/>
    <x v="8"/>
    <x v="3"/>
    <x v="3"/>
    <x v="468"/>
    <x v="347"/>
    <x v="1"/>
    <x v="2"/>
    <x v="3"/>
  </r>
  <r>
    <x v="67"/>
    <x v="172"/>
    <x v="1"/>
    <x v="0"/>
    <x v="37"/>
    <x v="908"/>
    <x v="35"/>
    <x v="109"/>
    <x v="2"/>
    <x v="1"/>
    <x v="1"/>
    <x v="1"/>
    <x v="3"/>
    <x v="3"/>
    <x v="11"/>
    <x v="4"/>
    <x v="4"/>
    <x v="898"/>
    <x v="958"/>
    <x v="1"/>
    <x v="0"/>
    <x v="0"/>
  </r>
  <r>
    <x v="68"/>
    <x v="68"/>
    <x v="8"/>
    <x v="1"/>
    <x v="9"/>
    <x v="304"/>
    <x v="11"/>
    <x v="534"/>
    <x v="1"/>
    <x v="1"/>
    <x v="1"/>
    <x v="1"/>
    <x v="2"/>
    <x v="1"/>
    <x v="10"/>
    <x v="11"/>
    <x v="4"/>
    <x v="604"/>
    <x v="351"/>
    <x v="1"/>
    <x v="2"/>
    <x v="3"/>
  </r>
  <r>
    <x v="69"/>
    <x v="143"/>
    <x v="8"/>
    <x v="1"/>
    <x v="16"/>
    <x v="257"/>
    <x v="9"/>
    <x v="828"/>
    <x v="6"/>
    <x v="3"/>
    <x v="1"/>
    <x v="3"/>
    <x v="2"/>
    <x v="2"/>
    <x v="1"/>
    <x v="9"/>
    <x v="0"/>
    <x v="0"/>
    <x v="199"/>
    <x v="1"/>
    <x v="2"/>
    <x v="3"/>
  </r>
  <r>
    <x v="70"/>
    <x v="173"/>
    <x v="8"/>
    <x v="1"/>
    <x v="29"/>
    <x v="678"/>
    <x v="24"/>
    <x v="31"/>
    <x v="0"/>
    <x v="0"/>
    <x v="0"/>
    <x v="1"/>
    <x v="3"/>
    <x v="3"/>
    <x v="6"/>
    <x v="11"/>
    <x v="1"/>
    <x v="221"/>
    <x v="631"/>
    <x v="0"/>
    <x v="0"/>
    <x v="0"/>
  </r>
  <r>
    <x v="71"/>
    <x v="161"/>
    <x v="4"/>
    <x v="1"/>
    <x v="7"/>
    <x v="135"/>
    <x v="6"/>
    <x v="187"/>
    <x v="3"/>
    <x v="2"/>
    <x v="0"/>
    <x v="3"/>
    <x v="2"/>
    <x v="1"/>
    <x v="5"/>
    <x v="2"/>
    <x v="2"/>
    <x v="147"/>
    <x v="133"/>
    <x v="0"/>
    <x v="3"/>
    <x v="2"/>
  </r>
  <r>
    <x v="72"/>
    <x v="172"/>
    <x v="4"/>
    <x v="1"/>
    <x v="31"/>
    <x v="780"/>
    <x v="26"/>
    <x v="455"/>
    <x v="4"/>
    <x v="4"/>
    <x v="0"/>
    <x v="1"/>
    <x v="3"/>
    <x v="3"/>
    <x v="10"/>
    <x v="5"/>
    <x v="3"/>
    <x v="786"/>
    <x v="831"/>
    <x v="0"/>
    <x v="0"/>
    <x v="0"/>
  </r>
  <r>
    <x v="73"/>
    <x v="58"/>
    <x v="3"/>
    <x v="1"/>
    <x v="16"/>
    <x v="289"/>
    <x v="12"/>
    <x v="454"/>
    <x v="4"/>
    <x v="2"/>
    <x v="0"/>
    <x v="1"/>
    <x v="2"/>
    <x v="2"/>
    <x v="5"/>
    <x v="4"/>
    <x v="2"/>
    <x v="265"/>
    <x v="285"/>
    <x v="0"/>
    <x v="2"/>
    <x v="3"/>
  </r>
  <r>
    <x v="74"/>
    <x v="131"/>
    <x v="5"/>
    <x v="0"/>
    <x v="23"/>
    <x v="453"/>
    <x v="18"/>
    <x v="164"/>
    <x v="7"/>
    <x v="2"/>
    <x v="0"/>
    <x v="1"/>
    <x v="0"/>
    <x v="2"/>
    <x v="10"/>
    <x v="5"/>
    <x v="2"/>
    <x v="396"/>
    <x v="450"/>
    <x v="0"/>
    <x v="1"/>
    <x v="0"/>
  </r>
  <r>
    <x v="75"/>
    <x v="8"/>
    <x v="9"/>
    <x v="1"/>
    <x v="12"/>
    <x v="59"/>
    <x v="5"/>
    <x v="263"/>
    <x v="4"/>
    <x v="2"/>
    <x v="0"/>
    <x v="3"/>
    <x v="1"/>
    <x v="1"/>
    <x v="9"/>
    <x v="11"/>
    <x v="2"/>
    <x v="97"/>
    <x v="66"/>
    <x v="0"/>
    <x v="3"/>
    <x v="2"/>
  </r>
  <r>
    <x v="76"/>
    <x v="84"/>
    <x v="1"/>
    <x v="1"/>
    <x v="2"/>
    <x v="97"/>
    <x v="2"/>
    <x v="10"/>
    <x v="7"/>
    <x v="0"/>
    <x v="0"/>
    <x v="2"/>
    <x v="1"/>
    <x v="0"/>
    <x v="9"/>
    <x v="2"/>
    <x v="1"/>
    <x v="17"/>
    <x v="83"/>
    <x v="0"/>
    <x v="3"/>
    <x v="1"/>
  </r>
  <r>
    <x v="77"/>
    <x v="194"/>
    <x v="1"/>
    <x v="0"/>
    <x v="26"/>
    <x v="594"/>
    <x v="22"/>
    <x v="442"/>
    <x v="5"/>
    <x v="2"/>
    <x v="0"/>
    <x v="1"/>
    <x v="0"/>
    <x v="3"/>
    <x v="7"/>
    <x v="7"/>
    <x v="2"/>
    <x v="488"/>
    <x v="588"/>
    <x v="0"/>
    <x v="1"/>
    <x v="0"/>
  </r>
  <r>
    <x v="78"/>
    <x v="101"/>
    <x v="3"/>
    <x v="0"/>
    <x v="33"/>
    <x v="970"/>
    <x v="35"/>
    <x v="620"/>
    <x v="5"/>
    <x v="4"/>
    <x v="0"/>
    <x v="1"/>
    <x v="3"/>
    <x v="3"/>
    <x v="1"/>
    <x v="2"/>
    <x v="3"/>
    <x v="862"/>
    <x v="969"/>
    <x v="0"/>
    <x v="0"/>
    <x v="0"/>
  </r>
  <r>
    <x v="79"/>
    <x v="36"/>
    <x v="9"/>
    <x v="0"/>
    <x v="4"/>
    <x v="139"/>
    <x v="3"/>
    <x v="304"/>
    <x v="6"/>
    <x v="2"/>
    <x v="0"/>
    <x v="2"/>
    <x v="2"/>
    <x v="1"/>
    <x v="8"/>
    <x v="3"/>
    <x v="2"/>
    <x v="150"/>
    <x v="139"/>
    <x v="0"/>
    <x v="3"/>
    <x v="2"/>
  </r>
  <r>
    <x v="80"/>
    <x v="70"/>
    <x v="2"/>
    <x v="0"/>
    <x v="10"/>
    <x v="268"/>
    <x v="8"/>
    <x v="415"/>
    <x v="6"/>
    <x v="1"/>
    <x v="0"/>
    <x v="3"/>
    <x v="2"/>
    <x v="1"/>
    <x v="10"/>
    <x v="9"/>
    <x v="4"/>
    <x v="563"/>
    <x v="310"/>
    <x v="0"/>
    <x v="2"/>
    <x v="3"/>
  </r>
  <r>
    <x v="81"/>
    <x v="92"/>
    <x v="4"/>
    <x v="1"/>
    <x v="6"/>
    <x v="35"/>
    <x v="0"/>
    <x v="42"/>
    <x v="7"/>
    <x v="4"/>
    <x v="0"/>
    <x v="0"/>
    <x v="1"/>
    <x v="1"/>
    <x v="2"/>
    <x v="3"/>
    <x v="3"/>
    <x v="159"/>
    <x v="40"/>
    <x v="0"/>
    <x v="3"/>
    <x v="1"/>
  </r>
  <r>
    <x v="82"/>
    <x v="112"/>
    <x v="5"/>
    <x v="1"/>
    <x v="24"/>
    <x v="484"/>
    <x v="18"/>
    <x v="745"/>
    <x v="5"/>
    <x v="0"/>
    <x v="0"/>
    <x v="1"/>
    <x v="0"/>
    <x v="3"/>
    <x v="9"/>
    <x v="0"/>
    <x v="1"/>
    <x v="135"/>
    <x v="454"/>
    <x v="0"/>
    <x v="1"/>
    <x v="0"/>
  </r>
  <r>
    <x v="83"/>
    <x v="149"/>
    <x v="5"/>
    <x v="0"/>
    <x v="19"/>
    <x v="407"/>
    <x v="12"/>
    <x v="664"/>
    <x v="3"/>
    <x v="0"/>
    <x v="0"/>
    <x v="1"/>
    <x v="0"/>
    <x v="2"/>
    <x v="3"/>
    <x v="4"/>
    <x v="1"/>
    <x v="110"/>
    <x v="378"/>
    <x v="0"/>
    <x v="1"/>
    <x v="3"/>
  </r>
  <r>
    <x v="84"/>
    <x v="69"/>
    <x v="7"/>
    <x v="0"/>
    <x v="27"/>
    <x v="488"/>
    <x v="18"/>
    <x v="718"/>
    <x v="7"/>
    <x v="0"/>
    <x v="0"/>
    <x v="1"/>
    <x v="0"/>
    <x v="3"/>
    <x v="10"/>
    <x v="2"/>
    <x v="1"/>
    <x v="136"/>
    <x v="465"/>
    <x v="0"/>
    <x v="1"/>
    <x v="0"/>
  </r>
  <r>
    <x v="85"/>
    <x v="129"/>
    <x v="1"/>
    <x v="0"/>
    <x v="21"/>
    <x v="526"/>
    <x v="20"/>
    <x v="98"/>
    <x v="5"/>
    <x v="4"/>
    <x v="0"/>
    <x v="1"/>
    <x v="0"/>
    <x v="2"/>
    <x v="8"/>
    <x v="1"/>
    <x v="3"/>
    <x v="652"/>
    <x v="543"/>
    <x v="0"/>
    <x v="1"/>
    <x v="0"/>
  </r>
  <r>
    <x v="86"/>
    <x v="92"/>
    <x v="4"/>
    <x v="0"/>
    <x v="14"/>
    <x v="172"/>
    <x v="9"/>
    <x v="900"/>
    <x v="3"/>
    <x v="2"/>
    <x v="0"/>
    <x v="3"/>
    <x v="2"/>
    <x v="2"/>
    <x v="2"/>
    <x v="10"/>
    <x v="2"/>
    <x v="175"/>
    <x v="168"/>
    <x v="0"/>
    <x v="3"/>
    <x v="3"/>
  </r>
  <r>
    <x v="87"/>
    <x v="193"/>
    <x v="0"/>
    <x v="1"/>
    <x v="13"/>
    <x v="201"/>
    <x v="9"/>
    <x v="125"/>
    <x v="2"/>
    <x v="2"/>
    <x v="0"/>
    <x v="3"/>
    <x v="2"/>
    <x v="1"/>
    <x v="1"/>
    <x v="11"/>
    <x v="2"/>
    <x v="202"/>
    <x v="201"/>
    <x v="0"/>
    <x v="2"/>
    <x v="3"/>
  </r>
  <r>
    <x v="88"/>
    <x v="150"/>
    <x v="6"/>
    <x v="1"/>
    <x v="38"/>
    <x v="929"/>
    <x v="34"/>
    <x v="301"/>
    <x v="8"/>
    <x v="0"/>
    <x v="1"/>
    <x v="1"/>
    <x v="3"/>
    <x v="3"/>
    <x v="10"/>
    <x v="2"/>
    <x v="1"/>
    <x v="332"/>
    <x v="873"/>
    <x v="1"/>
    <x v="0"/>
    <x v="0"/>
  </r>
  <r>
    <x v="89"/>
    <x v="6"/>
    <x v="7"/>
    <x v="1"/>
    <x v="26"/>
    <x v="664"/>
    <x v="27"/>
    <x v="363"/>
    <x v="4"/>
    <x v="4"/>
    <x v="0"/>
    <x v="1"/>
    <x v="3"/>
    <x v="3"/>
    <x v="9"/>
    <x v="2"/>
    <x v="3"/>
    <x v="739"/>
    <x v="699"/>
    <x v="0"/>
    <x v="0"/>
    <x v="0"/>
  </r>
  <r>
    <x v="90"/>
    <x v="167"/>
    <x v="2"/>
    <x v="1"/>
    <x v="25"/>
    <x v="627"/>
    <x v="22"/>
    <x v="182"/>
    <x v="0"/>
    <x v="4"/>
    <x v="0"/>
    <x v="1"/>
    <x v="3"/>
    <x v="3"/>
    <x v="3"/>
    <x v="0"/>
    <x v="3"/>
    <x v="723"/>
    <x v="652"/>
    <x v="0"/>
    <x v="0"/>
    <x v="0"/>
  </r>
  <r>
    <x v="91"/>
    <x v="35"/>
    <x v="1"/>
    <x v="0"/>
    <x v="31"/>
    <x v="632"/>
    <x v="24"/>
    <x v="816"/>
    <x v="3"/>
    <x v="0"/>
    <x v="0"/>
    <x v="1"/>
    <x v="3"/>
    <x v="3"/>
    <x v="11"/>
    <x v="3"/>
    <x v="1"/>
    <x v="201"/>
    <x v="581"/>
    <x v="0"/>
    <x v="0"/>
    <x v="0"/>
  </r>
  <r>
    <x v="92"/>
    <x v="85"/>
    <x v="0"/>
    <x v="0"/>
    <x v="31"/>
    <x v="856"/>
    <x v="29"/>
    <x v="520"/>
    <x v="7"/>
    <x v="1"/>
    <x v="0"/>
    <x v="1"/>
    <x v="3"/>
    <x v="3"/>
    <x v="3"/>
    <x v="5"/>
    <x v="4"/>
    <x v="891"/>
    <x v="931"/>
    <x v="0"/>
    <x v="0"/>
    <x v="0"/>
  </r>
  <r>
    <x v="93"/>
    <x v="13"/>
    <x v="6"/>
    <x v="0"/>
    <x v="20"/>
    <x v="536"/>
    <x v="19"/>
    <x v="55"/>
    <x v="3"/>
    <x v="1"/>
    <x v="0"/>
    <x v="1"/>
    <x v="0"/>
    <x v="2"/>
    <x v="10"/>
    <x v="9"/>
    <x v="4"/>
    <x v="789"/>
    <x v="594"/>
    <x v="0"/>
    <x v="1"/>
    <x v="0"/>
  </r>
  <r>
    <x v="94"/>
    <x v="170"/>
    <x v="8"/>
    <x v="0"/>
    <x v="27"/>
    <x v="587"/>
    <x v="25"/>
    <x v="159"/>
    <x v="9"/>
    <x v="0"/>
    <x v="0"/>
    <x v="1"/>
    <x v="0"/>
    <x v="3"/>
    <x v="1"/>
    <x v="3"/>
    <x v="1"/>
    <x v="182"/>
    <x v="542"/>
    <x v="0"/>
    <x v="1"/>
    <x v="0"/>
  </r>
  <r>
    <x v="95"/>
    <x v="125"/>
    <x v="1"/>
    <x v="1"/>
    <x v="19"/>
    <x v="335"/>
    <x v="12"/>
    <x v="724"/>
    <x v="0"/>
    <x v="2"/>
    <x v="0"/>
    <x v="1"/>
    <x v="2"/>
    <x v="2"/>
    <x v="3"/>
    <x v="4"/>
    <x v="2"/>
    <x v="305"/>
    <x v="331"/>
    <x v="0"/>
    <x v="2"/>
    <x v="3"/>
  </r>
  <r>
    <x v="96"/>
    <x v="147"/>
    <x v="9"/>
    <x v="1"/>
    <x v="32"/>
    <x v="568"/>
    <x v="23"/>
    <x v="215"/>
    <x v="6"/>
    <x v="0"/>
    <x v="0"/>
    <x v="1"/>
    <x v="0"/>
    <x v="3"/>
    <x v="2"/>
    <x v="4"/>
    <x v="1"/>
    <x v="178"/>
    <x v="527"/>
    <x v="0"/>
    <x v="1"/>
    <x v="0"/>
  </r>
  <r>
    <x v="97"/>
    <x v="65"/>
    <x v="7"/>
    <x v="1"/>
    <x v="29"/>
    <x v="668"/>
    <x v="23"/>
    <x v="275"/>
    <x v="7"/>
    <x v="0"/>
    <x v="0"/>
    <x v="1"/>
    <x v="3"/>
    <x v="3"/>
    <x v="6"/>
    <x v="3"/>
    <x v="1"/>
    <x v="216"/>
    <x v="623"/>
    <x v="0"/>
    <x v="0"/>
    <x v="0"/>
  </r>
  <r>
    <x v="98"/>
    <x v="18"/>
    <x v="0"/>
    <x v="1"/>
    <x v="4"/>
    <x v="84"/>
    <x v="4"/>
    <x v="879"/>
    <x v="4"/>
    <x v="3"/>
    <x v="0"/>
    <x v="2"/>
    <x v="1"/>
    <x v="1"/>
    <x v="8"/>
    <x v="9"/>
    <x v="0"/>
    <x v="0"/>
    <x v="62"/>
    <x v="0"/>
    <x v="3"/>
    <x v="2"/>
  </r>
  <r>
    <x v="99"/>
    <x v="84"/>
    <x v="7"/>
    <x v="1"/>
    <x v="33"/>
    <x v="959"/>
    <x v="34"/>
    <x v="209"/>
    <x v="9"/>
    <x v="2"/>
    <x v="0"/>
    <x v="1"/>
    <x v="3"/>
    <x v="3"/>
    <x v="8"/>
    <x v="0"/>
    <x v="2"/>
    <x v="680"/>
    <x v="941"/>
    <x v="0"/>
    <x v="0"/>
    <x v="0"/>
  </r>
  <r>
    <x v="100"/>
    <x v="152"/>
    <x v="6"/>
    <x v="0"/>
    <x v="28"/>
    <x v="894"/>
    <x v="30"/>
    <x v="325"/>
    <x v="8"/>
    <x v="0"/>
    <x v="0"/>
    <x v="1"/>
    <x v="3"/>
    <x v="3"/>
    <x v="7"/>
    <x v="8"/>
    <x v="1"/>
    <x v="316"/>
    <x v="834"/>
    <x v="0"/>
    <x v="0"/>
    <x v="0"/>
  </r>
  <r>
    <x v="101"/>
    <x v="111"/>
    <x v="2"/>
    <x v="0"/>
    <x v="6"/>
    <x v="140"/>
    <x v="8"/>
    <x v="858"/>
    <x v="7"/>
    <x v="3"/>
    <x v="1"/>
    <x v="3"/>
    <x v="2"/>
    <x v="1"/>
    <x v="6"/>
    <x v="10"/>
    <x v="0"/>
    <x v="0"/>
    <x v="103"/>
    <x v="1"/>
    <x v="3"/>
    <x v="3"/>
  </r>
  <r>
    <x v="102"/>
    <x v="148"/>
    <x v="1"/>
    <x v="0"/>
    <x v="31"/>
    <x v="677"/>
    <x v="23"/>
    <x v="767"/>
    <x v="4"/>
    <x v="2"/>
    <x v="0"/>
    <x v="1"/>
    <x v="3"/>
    <x v="3"/>
    <x v="9"/>
    <x v="8"/>
    <x v="2"/>
    <x v="536"/>
    <x v="670"/>
    <x v="0"/>
    <x v="0"/>
    <x v="0"/>
  </r>
  <r>
    <x v="103"/>
    <x v="18"/>
    <x v="7"/>
    <x v="0"/>
    <x v="11"/>
    <x v="71"/>
    <x v="2"/>
    <x v="443"/>
    <x v="3"/>
    <x v="2"/>
    <x v="0"/>
    <x v="2"/>
    <x v="1"/>
    <x v="1"/>
    <x v="4"/>
    <x v="9"/>
    <x v="2"/>
    <x v="107"/>
    <x v="79"/>
    <x v="0"/>
    <x v="3"/>
    <x v="1"/>
  </r>
  <r>
    <x v="104"/>
    <x v="150"/>
    <x v="8"/>
    <x v="1"/>
    <x v="27"/>
    <x v="640"/>
    <x v="25"/>
    <x v="807"/>
    <x v="3"/>
    <x v="3"/>
    <x v="0"/>
    <x v="1"/>
    <x v="3"/>
    <x v="3"/>
    <x v="2"/>
    <x v="11"/>
    <x v="0"/>
    <x v="0"/>
    <x v="550"/>
    <x v="0"/>
    <x v="0"/>
    <x v="0"/>
  </r>
  <r>
    <x v="105"/>
    <x v="23"/>
    <x v="9"/>
    <x v="1"/>
    <x v="22"/>
    <x v="521"/>
    <x v="21"/>
    <x v="241"/>
    <x v="2"/>
    <x v="1"/>
    <x v="0"/>
    <x v="1"/>
    <x v="0"/>
    <x v="2"/>
    <x v="4"/>
    <x v="1"/>
    <x v="4"/>
    <x v="779"/>
    <x v="570"/>
    <x v="0"/>
    <x v="1"/>
    <x v="0"/>
  </r>
  <r>
    <x v="106"/>
    <x v="51"/>
    <x v="6"/>
    <x v="1"/>
    <x v="16"/>
    <x v="152"/>
    <x v="9"/>
    <x v="608"/>
    <x v="8"/>
    <x v="0"/>
    <x v="0"/>
    <x v="3"/>
    <x v="2"/>
    <x v="2"/>
    <x v="6"/>
    <x v="7"/>
    <x v="1"/>
    <x v="24"/>
    <x v="143"/>
    <x v="0"/>
    <x v="3"/>
    <x v="3"/>
  </r>
  <r>
    <x v="107"/>
    <x v="196"/>
    <x v="2"/>
    <x v="0"/>
    <x v="1"/>
    <x v="0"/>
    <x v="1"/>
    <x v="368"/>
    <x v="3"/>
    <x v="0"/>
    <x v="0"/>
    <x v="0"/>
    <x v="1"/>
    <x v="0"/>
    <x v="8"/>
    <x v="4"/>
    <x v="1"/>
    <x v="1"/>
    <x v="1"/>
    <x v="0"/>
    <x v="3"/>
    <x v="1"/>
  </r>
  <r>
    <x v="108"/>
    <x v="11"/>
    <x v="8"/>
    <x v="1"/>
    <x v="17"/>
    <x v="264"/>
    <x v="8"/>
    <x v="577"/>
    <x v="7"/>
    <x v="2"/>
    <x v="0"/>
    <x v="3"/>
    <x v="2"/>
    <x v="2"/>
    <x v="2"/>
    <x v="5"/>
    <x v="2"/>
    <x v="239"/>
    <x v="257"/>
    <x v="0"/>
    <x v="2"/>
    <x v="3"/>
  </r>
  <r>
    <x v="109"/>
    <x v="122"/>
    <x v="0"/>
    <x v="0"/>
    <x v="33"/>
    <x v="791"/>
    <x v="32"/>
    <x v="179"/>
    <x v="8"/>
    <x v="2"/>
    <x v="0"/>
    <x v="1"/>
    <x v="3"/>
    <x v="3"/>
    <x v="6"/>
    <x v="10"/>
    <x v="2"/>
    <x v="603"/>
    <x v="797"/>
    <x v="0"/>
    <x v="0"/>
    <x v="0"/>
  </r>
  <r>
    <x v="110"/>
    <x v="58"/>
    <x v="2"/>
    <x v="0"/>
    <x v="39"/>
    <x v="891"/>
    <x v="31"/>
    <x v="710"/>
    <x v="0"/>
    <x v="0"/>
    <x v="0"/>
    <x v="1"/>
    <x v="3"/>
    <x v="3"/>
    <x v="1"/>
    <x v="1"/>
    <x v="1"/>
    <x v="315"/>
    <x v="827"/>
    <x v="0"/>
    <x v="0"/>
    <x v="0"/>
  </r>
  <r>
    <x v="111"/>
    <x v="31"/>
    <x v="8"/>
    <x v="0"/>
    <x v="39"/>
    <x v="954"/>
    <x v="35"/>
    <x v="522"/>
    <x v="8"/>
    <x v="3"/>
    <x v="0"/>
    <x v="1"/>
    <x v="3"/>
    <x v="3"/>
    <x v="8"/>
    <x v="5"/>
    <x v="0"/>
    <x v="0"/>
    <x v="850"/>
    <x v="0"/>
    <x v="0"/>
    <x v="0"/>
  </r>
  <r>
    <x v="112"/>
    <x v="149"/>
    <x v="1"/>
    <x v="0"/>
    <x v="15"/>
    <x v="272"/>
    <x v="7"/>
    <x v="831"/>
    <x v="5"/>
    <x v="2"/>
    <x v="0"/>
    <x v="3"/>
    <x v="2"/>
    <x v="2"/>
    <x v="4"/>
    <x v="10"/>
    <x v="2"/>
    <x v="250"/>
    <x v="264"/>
    <x v="0"/>
    <x v="2"/>
    <x v="2"/>
  </r>
  <r>
    <x v="113"/>
    <x v="52"/>
    <x v="4"/>
    <x v="1"/>
    <x v="9"/>
    <x v="193"/>
    <x v="6"/>
    <x v="107"/>
    <x v="8"/>
    <x v="2"/>
    <x v="0"/>
    <x v="3"/>
    <x v="2"/>
    <x v="1"/>
    <x v="7"/>
    <x v="4"/>
    <x v="2"/>
    <x v="192"/>
    <x v="193"/>
    <x v="0"/>
    <x v="2"/>
    <x v="2"/>
  </r>
  <r>
    <x v="114"/>
    <x v="81"/>
    <x v="5"/>
    <x v="0"/>
    <x v="9"/>
    <x v="76"/>
    <x v="5"/>
    <x v="326"/>
    <x v="8"/>
    <x v="0"/>
    <x v="0"/>
    <x v="3"/>
    <x v="1"/>
    <x v="1"/>
    <x v="8"/>
    <x v="8"/>
    <x v="1"/>
    <x v="14"/>
    <x v="70"/>
    <x v="0"/>
    <x v="3"/>
    <x v="2"/>
  </r>
  <r>
    <x v="115"/>
    <x v="18"/>
    <x v="8"/>
    <x v="1"/>
    <x v="29"/>
    <x v="727"/>
    <x v="26"/>
    <x v="749"/>
    <x v="1"/>
    <x v="3"/>
    <x v="0"/>
    <x v="1"/>
    <x v="3"/>
    <x v="3"/>
    <x v="1"/>
    <x v="3"/>
    <x v="0"/>
    <x v="0"/>
    <x v="633"/>
    <x v="0"/>
    <x v="0"/>
    <x v="0"/>
  </r>
  <r>
    <x v="116"/>
    <x v="133"/>
    <x v="9"/>
    <x v="0"/>
    <x v="31"/>
    <x v="756"/>
    <x v="30"/>
    <x v="226"/>
    <x v="6"/>
    <x v="0"/>
    <x v="0"/>
    <x v="1"/>
    <x v="3"/>
    <x v="3"/>
    <x v="7"/>
    <x v="9"/>
    <x v="1"/>
    <x v="256"/>
    <x v="695"/>
    <x v="0"/>
    <x v="0"/>
    <x v="0"/>
  </r>
  <r>
    <x v="117"/>
    <x v="179"/>
    <x v="7"/>
    <x v="1"/>
    <x v="33"/>
    <x v="976"/>
    <x v="35"/>
    <x v="868"/>
    <x v="1"/>
    <x v="1"/>
    <x v="0"/>
    <x v="1"/>
    <x v="3"/>
    <x v="3"/>
    <x v="5"/>
    <x v="2"/>
    <x v="4"/>
    <x v="912"/>
    <x v="981"/>
    <x v="0"/>
    <x v="0"/>
    <x v="0"/>
  </r>
  <r>
    <x v="118"/>
    <x v="8"/>
    <x v="5"/>
    <x v="1"/>
    <x v="16"/>
    <x v="287"/>
    <x v="9"/>
    <x v="691"/>
    <x v="5"/>
    <x v="1"/>
    <x v="0"/>
    <x v="3"/>
    <x v="2"/>
    <x v="2"/>
    <x v="1"/>
    <x v="5"/>
    <x v="4"/>
    <x v="583"/>
    <x v="337"/>
    <x v="0"/>
    <x v="2"/>
    <x v="3"/>
  </r>
  <r>
    <x v="119"/>
    <x v="83"/>
    <x v="4"/>
    <x v="1"/>
    <x v="31"/>
    <x v="698"/>
    <x v="26"/>
    <x v="370"/>
    <x v="1"/>
    <x v="4"/>
    <x v="0"/>
    <x v="1"/>
    <x v="3"/>
    <x v="3"/>
    <x v="3"/>
    <x v="5"/>
    <x v="3"/>
    <x v="754"/>
    <x v="754"/>
    <x v="0"/>
    <x v="0"/>
    <x v="0"/>
  </r>
  <r>
    <x v="120"/>
    <x v="63"/>
    <x v="1"/>
    <x v="0"/>
    <x v="17"/>
    <x v="198"/>
    <x v="10"/>
    <x v="881"/>
    <x v="4"/>
    <x v="4"/>
    <x v="0"/>
    <x v="1"/>
    <x v="2"/>
    <x v="2"/>
    <x v="1"/>
    <x v="10"/>
    <x v="3"/>
    <x v="384"/>
    <x v="228"/>
    <x v="0"/>
    <x v="2"/>
    <x v="3"/>
  </r>
  <r>
    <x v="121"/>
    <x v="82"/>
    <x v="5"/>
    <x v="0"/>
    <x v="19"/>
    <x v="324"/>
    <x v="13"/>
    <x v="834"/>
    <x v="3"/>
    <x v="2"/>
    <x v="0"/>
    <x v="1"/>
    <x v="2"/>
    <x v="2"/>
    <x v="7"/>
    <x v="11"/>
    <x v="2"/>
    <x v="292"/>
    <x v="313"/>
    <x v="0"/>
    <x v="2"/>
    <x v="3"/>
  </r>
  <r>
    <x v="122"/>
    <x v="27"/>
    <x v="6"/>
    <x v="0"/>
    <x v="18"/>
    <x v="469"/>
    <x v="14"/>
    <x v="696"/>
    <x v="2"/>
    <x v="1"/>
    <x v="0"/>
    <x v="1"/>
    <x v="0"/>
    <x v="2"/>
    <x v="1"/>
    <x v="7"/>
    <x v="4"/>
    <x v="742"/>
    <x v="514"/>
    <x v="0"/>
    <x v="1"/>
    <x v="3"/>
  </r>
  <r>
    <x v="123"/>
    <x v="111"/>
    <x v="5"/>
    <x v="0"/>
    <x v="5"/>
    <x v="255"/>
    <x v="7"/>
    <x v="812"/>
    <x v="8"/>
    <x v="4"/>
    <x v="0"/>
    <x v="3"/>
    <x v="2"/>
    <x v="1"/>
    <x v="9"/>
    <x v="1"/>
    <x v="3"/>
    <x v="418"/>
    <x v="274"/>
    <x v="0"/>
    <x v="2"/>
    <x v="2"/>
  </r>
  <r>
    <x v="124"/>
    <x v="193"/>
    <x v="0"/>
    <x v="0"/>
    <x v="34"/>
    <x v="597"/>
    <x v="25"/>
    <x v="386"/>
    <x v="5"/>
    <x v="1"/>
    <x v="0"/>
    <x v="1"/>
    <x v="0"/>
    <x v="3"/>
    <x v="9"/>
    <x v="10"/>
    <x v="4"/>
    <x v="825"/>
    <x v="662"/>
    <x v="0"/>
    <x v="1"/>
    <x v="0"/>
  </r>
  <r>
    <x v="125"/>
    <x v="72"/>
    <x v="7"/>
    <x v="1"/>
    <x v="17"/>
    <x v="518"/>
    <x v="18"/>
    <x v="580"/>
    <x v="5"/>
    <x v="3"/>
    <x v="0"/>
    <x v="1"/>
    <x v="0"/>
    <x v="2"/>
    <x v="0"/>
    <x v="6"/>
    <x v="0"/>
    <x v="0"/>
    <x v="455"/>
    <x v="0"/>
    <x v="1"/>
    <x v="0"/>
  </r>
  <r>
    <x v="126"/>
    <x v="179"/>
    <x v="9"/>
    <x v="0"/>
    <x v="7"/>
    <x v="195"/>
    <x v="6"/>
    <x v="717"/>
    <x v="1"/>
    <x v="2"/>
    <x v="0"/>
    <x v="3"/>
    <x v="2"/>
    <x v="1"/>
    <x v="8"/>
    <x v="2"/>
    <x v="2"/>
    <x v="197"/>
    <x v="196"/>
    <x v="0"/>
    <x v="2"/>
    <x v="2"/>
  </r>
  <r>
    <x v="127"/>
    <x v="17"/>
    <x v="9"/>
    <x v="1"/>
    <x v="10"/>
    <x v="56"/>
    <x v="4"/>
    <x v="251"/>
    <x v="1"/>
    <x v="4"/>
    <x v="0"/>
    <x v="2"/>
    <x v="1"/>
    <x v="1"/>
    <x v="11"/>
    <x v="6"/>
    <x v="3"/>
    <x v="194"/>
    <x v="74"/>
    <x v="0"/>
    <x v="3"/>
    <x v="2"/>
  </r>
  <r>
    <x v="128"/>
    <x v="162"/>
    <x v="1"/>
    <x v="0"/>
    <x v="17"/>
    <x v="421"/>
    <x v="16"/>
    <x v="165"/>
    <x v="0"/>
    <x v="0"/>
    <x v="0"/>
    <x v="1"/>
    <x v="0"/>
    <x v="2"/>
    <x v="3"/>
    <x v="6"/>
    <x v="1"/>
    <x v="112"/>
    <x v="389"/>
    <x v="0"/>
    <x v="1"/>
    <x v="0"/>
  </r>
  <r>
    <x v="129"/>
    <x v="175"/>
    <x v="8"/>
    <x v="1"/>
    <x v="28"/>
    <x v="541"/>
    <x v="20"/>
    <x v="611"/>
    <x v="2"/>
    <x v="2"/>
    <x v="0"/>
    <x v="1"/>
    <x v="0"/>
    <x v="3"/>
    <x v="3"/>
    <x v="8"/>
    <x v="2"/>
    <x v="453"/>
    <x v="534"/>
    <x v="0"/>
    <x v="1"/>
    <x v="0"/>
  </r>
  <r>
    <x v="130"/>
    <x v="178"/>
    <x v="4"/>
    <x v="0"/>
    <x v="31"/>
    <x v="871"/>
    <x v="32"/>
    <x v="284"/>
    <x v="7"/>
    <x v="2"/>
    <x v="1"/>
    <x v="1"/>
    <x v="3"/>
    <x v="3"/>
    <x v="10"/>
    <x v="8"/>
    <x v="2"/>
    <x v="636"/>
    <x v="870"/>
    <x v="1"/>
    <x v="0"/>
    <x v="0"/>
  </r>
  <r>
    <x v="131"/>
    <x v="29"/>
    <x v="8"/>
    <x v="0"/>
    <x v="39"/>
    <x v="880"/>
    <x v="35"/>
    <x v="13"/>
    <x v="6"/>
    <x v="0"/>
    <x v="0"/>
    <x v="1"/>
    <x v="3"/>
    <x v="3"/>
    <x v="10"/>
    <x v="3"/>
    <x v="1"/>
    <x v="313"/>
    <x v="823"/>
    <x v="0"/>
    <x v="0"/>
    <x v="0"/>
  </r>
  <r>
    <x v="132"/>
    <x v="151"/>
    <x v="2"/>
    <x v="1"/>
    <x v="7"/>
    <x v="306"/>
    <x v="9"/>
    <x v="773"/>
    <x v="9"/>
    <x v="0"/>
    <x v="0"/>
    <x v="3"/>
    <x v="2"/>
    <x v="1"/>
    <x v="2"/>
    <x v="0"/>
    <x v="1"/>
    <x v="73"/>
    <x v="271"/>
    <x v="0"/>
    <x v="2"/>
    <x v="3"/>
  </r>
  <r>
    <x v="133"/>
    <x v="104"/>
    <x v="7"/>
    <x v="1"/>
    <x v="33"/>
    <x v="824"/>
    <x v="28"/>
    <x v="693"/>
    <x v="2"/>
    <x v="4"/>
    <x v="0"/>
    <x v="1"/>
    <x v="3"/>
    <x v="3"/>
    <x v="3"/>
    <x v="5"/>
    <x v="3"/>
    <x v="804"/>
    <x v="868"/>
    <x v="0"/>
    <x v="0"/>
    <x v="0"/>
  </r>
  <r>
    <x v="134"/>
    <x v="77"/>
    <x v="7"/>
    <x v="1"/>
    <x v="7"/>
    <x v="49"/>
    <x v="4"/>
    <x v="60"/>
    <x v="0"/>
    <x v="4"/>
    <x v="0"/>
    <x v="2"/>
    <x v="1"/>
    <x v="1"/>
    <x v="8"/>
    <x v="11"/>
    <x v="3"/>
    <x v="187"/>
    <x v="67"/>
    <x v="0"/>
    <x v="3"/>
    <x v="2"/>
  </r>
  <r>
    <x v="135"/>
    <x v="155"/>
    <x v="5"/>
    <x v="0"/>
    <x v="12"/>
    <x v="258"/>
    <x v="9"/>
    <x v="469"/>
    <x v="2"/>
    <x v="1"/>
    <x v="0"/>
    <x v="3"/>
    <x v="2"/>
    <x v="1"/>
    <x v="8"/>
    <x v="10"/>
    <x v="4"/>
    <x v="553"/>
    <x v="301"/>
    <x v="0"/>
    <x v="2"/>
    <x v="3"/>
  </r>
  <r>
    <x v="136"/>
    <x v="16"/>
    <x v="7"/>
    <x v="0"/>
    <x v="16"/>
    <x v="294"/>
    <x v="8"/>
    <x v="104"/>
    <x v="1"/>
    <x v="2"/>
    <x v="0"/>
    <x v="3"/>
    <x v="2"/>
    <x v="2"/>
    <x v="2"/>
    <x v="3"/>
    <x v="2"/>
    <x v="271"/>
    <x v="294"/>
    <x v="0"/>
    <x v="2"/>
    <x v="3"/>
  </r>
  <r>
    <x v="137"/>
    <x v="155"/>
    <x v="4"/>
    <x v="1"/>
    <x v="16"/>
    <x v="428"/>
    <x v="13"/>
    <x v="617"/>
    <x v="2"/>
    <x v="4"/>
    <x v="0"/>
    <x v="1"/>
    <x v="0"/>
    <x v="2"/>
    <x v="4"/>
    <x v="0"/>
    <x v="3"/>
    <x v="552"/>
    <x v="445"/>
    <x v="0"/>
    <x v="1"/>
    <x v="3"/>
  </r>
  <r>
    <x v="138"/>
    <x v="77"/>
    <x v="1"/>
    <x v="1"/>
    <x v="15"/>
    <x v="243"/>
    <x v="8"/>
    <x v="487"/>
    <x v="5"/>
    <x v="4"/>
    <x v="0"/>
    <x v="3"/>
    <x v="2"/>
    <x v="2"/>
    <x v="3"/>
    <x v="6"/>
    <x v="3"/>
    <x v="410"/>
    <x v="263"/>
    <x v="0"/>
    <x v="2"/>
    <x v="3"/>
  </r>
  <r>
    <x v="139"/>
    <x v="30"/>
    <x v="5"/>
    <x v="1"/>
    <x v="31"/>
    <x v="596"/>
    <x v="23"/>
    <x v="478"/>
    <x v="4"/>
    <x v="2"/>
    <x v="0"/>
    <x v="1"/>
    <x v="0"/>
    <x v="3"/>
    <x v="9"/>
    <x v="2"/>
    <x v="2"/>
    <x v="490"/>
    <x v="591"/>
    <x v="0"/>
    <x v="1"/>
    <x v="0"/>
  </r>
  <r>
    <x v="140"/>
    <x v="101"/>
    <x v="5"/>
    <x v="0"/>
    <x v="31"/>
    <x v="830"/>
    <x v="30"/>
    <x v="528"/>
    <x v="1"/>
    <x v="2"/>
    <x v="0"/>
    <x v="1"/>
    <x v="3"/>
    <x v="3"/>
    <x v="9"/>
    <x v="9"/>
    <x v="2"/>
    <x v="618"/>
    <x v="830"/>
    <x v="0"/>
    <x v="0"/>
    <x v="0"/>
  </r>
  <r>
    <x v="141"/>
    <x v="11"/>
    <x v="4"/>
    <x v="1"/>
    <x v="19"/>
    <x v="296"/>
    <x v="12"/>
    <x v="269"/>
    <x v="4"/>
    <x v="1"/>
    <x v="0"/>
    <x v="1"/>
    <x v="2"/>
    <x v="2"/>
    <x v="5"/>
    <x v="1"/>
    <x v="4"/>
    <x v="594"/>
    <x v="345"/>
    <x v="0"/>
    <x v="2"/>
    <x v="3"/>
  </r>
  <r>
    <x v="142"/>
    <x v="148"/>
    <x v="9"/>
    <x v="0"/>
    <x v="5"/>
    <x v="124"/>
    <x v="5"/>
    <x v="820"/>
    <x v="2"/>
    <x v="0"/>
    <x v="0"/>
    <x v="3"/>
    <x v="2"/>
    <x v="1"/>
    <x v="10"/>
    <x v="4"/>
    <x v="1"/>
    <x v="22"/>
    <x v="106"/>
    <x v="0"/>
    <x v="3"/>
    <x v="2"/>
  </r>
  <r>
    <x v="143"/>
    <x v="159"/>
    <x v="9"/>
    <x v="1"/>
    <x v="5"/>
    <x v="0"/>
    <x v="1"/>
    <x v="643"/>
    <x v="2"/>
    <x v="2"/>
    <x v="0"/>
    <x v="0"/>
    <x v="1"/>
    <x v="1"/>
    <x v="8"/>
    <x v="9"/>
    <x v="2"/>
    <x v="29"/>
    <x v="5"/>
    <x v="0"/>
    <x v="3"/>
    <x v="1"/>
  </r>
  <r>
    <x v="144"/>
    <x v="67"/>
    <x v="1"/>
    <x v="0"/>
    <x v="15"/>
    <x v="173"/>
    <x v="6"/>
    <x v="291"/>
    <x v="0"/>
    <x v="1"/>
    <x v="0"/>
    <x v="3"/>
    <x v="2"/>
    <x v="2"/>
    <x v="3"/>
    <x v="0"/>
    <x v="4"/>
    <x v="469"/>
    <x v="212"/>
    <x v="0"/>
    <x v="3"/>
    <x v="2"/>
  </r>
  <r>
    <x v="145"/>
    <x v="71"/>
    <x v="0"/>
    <x v="1"/>
    <x v="0"/>
    <x v="0"/>
    <x v="0"/>
    <x v="808"/>
    <x v="4"/>
    <x v="4"/>
    <x v="0"/>
    <x v="0"/>
    <x v="1"/>
    <x v="0"/>
    <x v="5"/>
    <x v="11"/>
    <x v="3"/>
    <x v="114"/>
    <x v="14"/>
    <x v="0"/>
    <x v="3"/>
    <x v="1"/>
  </r>
  <r>
    <x v="146"/>
    <x v="72"/>
    <x v="4"/>
    <x v="1"/>
    <x v="17"/>
    <x v="378"/>
    <x v="15"/>
    <x v="788"/>
    <x v="7"/>
    <x v="4"/>
    <x v="0"/>
    <x v="1"/>
    <x v="2"/>
    <x v="2"/>
    <x v="1"/>
    <x v="4"/>
    <x v="3"/>
    <x v="513"/>
    <x v="399"/>
    <x v="0"/>
    <x v="2"/>
    <x v="0"/>
  </r>
  <r>
    <x v="147"/>
    <x v="3"/>
    <x v="7"/>
    <x v="1"/>
    <x v="32"/>
    <x v="964"/>
    <x v="34"/>
    <x v="111"/>
    <x v="0"/>
    <x v="2"/>
    <x v="0"/>
    <x v="1"/>
    <x v="3"/>
    <x v="3"/>
    <x v="5"/>
    <x v="6"/>
    <x v="2"/>
    <x v="691"/>
    <x v="950"/>
    <x v="0"/>
    <x v="0"/>
    <x v="0"/>
  </r>
  <r>
    <x v="148"/>
    <x v="41"/>
    <x v="5"/>
    <x v="1"/>
    <x v="26"/>
    <x v="639"/>
    <x v="26"/>
    <x v="43"/>
    <x v="5"/>
    <x v="1"/>
    <x v="0"/>
    <x v="1"/>
    <x v="3"/>
    <x v="3"/>
    <x v="8"/>
    <x v="3"/>
    <x v="4"/>
    <x v="844"/>
    <x v="710"/>
    <x v="0"/>
    <x v="0"/>
    <x v="0"/>
  </r>
  <r>
    <x v="149"/>
    <x v="159"/>
    <x v="9"/>
    <x v="1"/>
    <x v="28"/>
    <x v="836"/>
    <x v="30"/>
    <x v="492"/>
    <x v="0"/>
    <x v="4"/>
    <x v="1"/>
    <x v="1"/>
    <x v="3"/>
    <x v="3"/>
    <x v="8"/>
    <x v="8"/>
    <x v="3"/>
    <x v="806"/>
    <x v="881"/>
    <x v="1"/>
    <x v="0"/>
    <x v="0"/>
  </r>
  <r>
    <x v="150"/>
    <x v="162"/>
    <x v="1"/>
    <x v="1"/>
    <x v="21"/>
    <x v="502"/>
    <x v="21"/>
    <x v="769"/>
    <x v="1"/>
    <x v="2"/>
    <x v="0"/>
    <x v="1"/>
    <x v="0"/>
    <x v="2"/>
    <x v="7"/>
    <x v="9"/>
    <x v="2"/>
    <x v="429"/>
    <x v="502"/>
    <x v="0"/>
    <x v="1"/>
    <x v="0"/>
  </r>
  <r>
    <x v="151"/>
    <x v="26"/>
    <x v="7"/>
    <x v="0"/>
    <x v="13"/>
    <x v="148"/>
    <x v="4"/>
    <x v="880"/>
    <x v="6"/>
    <x v="4"/>
    <x v="1"/>
    <x v="2"/>
    <x v="2"/>
    <x v="1"/>
    <x v="0"/>
    <x v="10"/>
    <x v="3"/>
    <x v="328"/>
    <x v="166"/>
    <x v="1"/>
    <x v="3"/>
    <x v="2"/>
  </r>
  <r>
    <x v="152"/>
    <x v="179"/>
    <x v="3"/>
    <x v="0"/>
    <x v="31"/>
    <x v="707"/>
    <x v="25"/>
    <x v="180"/>
    <x v="4"/>
    <x v="1"/>
    <x v="0"/>
    <x v="1"/>
    <x v="3"/>
    <x v="3"/>
    <x v="5"/>
    <x v="11"/>
    <x v="4"/>
    <x v="869"/>
    <x v="810"/>
    <x v="0"/>
    <x v="0"/>
    <x v="0"/>
  </r>
  <r>
    <x v="153"/>
    <x v="109"/>
    <x v="2"/>
    <x v="0"/>
    <x v="10"/>
    <x v="230"/>
    <x v="7"/>
    <x v="596"/>
    <x v="7"/>
    <x v="2"/>
    <x v="0"/>
    <x v="3"/>
    <x v="2"/>
    <x v="1"/>
    <x v="8"/>
    <x v="2"/>
    <x v="2"/>
    <x v="220"/>
    <x v="235"/>
    <x v="0"/>
    <x v="2"/>
    <x v="2"/>
  </r>
  <r>
    <x v="154"/>
    <x v="77"/>
    <x v="5"/>
    <x v="0"/>
    <x v="29"/>
    <x v="604"/>
    <x v="23"/>
    <x v="203"/>
    <x v="2"/>
    <x v="2"/>
    <x v="1"/>
    <x v="1"/>
    <x v="0"/>
    <x v="3"/>
    <x v="1"/>
    <x v="9"/>
    <x v="2"/>
    <x v="496"/>
    <x v="601"/>
    <x v="1"/>
    <x v="1"/>
    <x v="0"/>
  </r>
  <r>
    <x v="155"/>
    <x v="147"/>
    <x v="1"/>
    <x v="0"/>
    <x v="5"/>
    <x v="170"/>
    <x v="6"/>
    <x v="507"/>
    <x v="7"/>
    <x v="4"/>
    <x v="0"/>
    <x v="3"/>
    <x v="2"/>
    <x v="1"/>
    <x v="6"/>
    <x v="1"/>
    <x v="3"/>
    <x v="351"/>
    <x v="185"/>
    <x v="0"/>
    <x v="3"/>
    <x v="2"/>
  </r>
  <r>
    <x v="156"/>
    <x v="128"/>
    <x v="0"/>
    <x v="0"/>
    <x v="11"/>
    <x v="66"/>
    <x v="2"/>
    <x v="89"/>
    <x v="6"/>
    <x v="4"/>
    <x v="0"/>
    <x v="2"/>
    <x v="1"/>
    <x v="1"/>
    <x v="9"/>
    <x v="10"/>
    <x v="3"/>
    <x v="208"/>
    <x v="82"/>
    <x v="0"/>
    <x v="3"/>
    <x v="1"/>
  </r>
  <r>
    <x v="157"/>
    <x v="19"/>
    <x v="0"/>
    <x v="1"/>
    <x v="8"/>
    <x v="229"/>
    <x v="10"/>
    <x v="860"/>
    <x v="0"/>
    <x v="1"/>
    <x v="1"/>
    <x v="1"/>
    <x v="2"/>
    <x v="1"/>
    <x v="9"/>
    <x v="10"/>
    <x v="4"/>
    <x v="530"/>
    <x v="278"/>
    <x v="1"/>
    <x v="2"/>
    <x v="3"/>
  </r>
  <r>
    <x v="158"/>
    <x v="87"/>
    <x v="5"/>
    <x v="0"/>
    <x v="17"/>
    <x v="305"/>
    <x v="9"/>
    <x v="775"/>
    <x v="5"/>
    <x v="4"/>
    <x v="0"/>
    <x v="3"/>
    <x v="2"/>
    <x v="2"/>
    <x v="8"/>
    <x v="0"/>
    <x v="3"/>
    <x v="448"/>
    <x v="325"/>
    <x v="0"/>
    <x v="2"/>
    <x v="3"/>
  </r>
  <r>
    <x v="159"/>
    <x v="162"/>
    <x v="5"/>
    <x v="0"/>
    <x v="28"/>
    <x v="534"/>
    <x v="20"/>
    <x v="156"/>
    <x v="6"/>
    <x v="3"/>
    <x v="1"/>
    <x v="1"/>
    <x v="0"/>
    <x v="3"/>
    <x v="5"/>
    <x v="1"/>
    <x v="0"/>
    <x v="0"/>
    <x v="474"/>
    <x v="1"/>
    <x v="1"/>
    <x v="0"/>
  </r>
  <r>
    <x v="160"/>
    <x v="60"/>
    <x v="4"/>
    <x v="1"/>
    <x v="9"/>
    <x v="180"/>
    <x v="7"/>
    <x v="76"/>
    <x v="8"/>
    <x v="4"/>
    <x v="0"/>
    <x v="3"/>
    <x v="2"/>
    <x v="1"/>
    <x v="10"/>
    <x v="4"/>
    <x v="3"/>
    <x v="362"/>
    <x v="190"/>
    <x v="0"/>
    <x v="3"/>
    <x v="2"/>
  </r>
  <r>
    <x v="161"/>
    <x v="199"/>
    <x v="4"/>
    <x v="0"/>
    <x v="28"/>
    <x v="795"/>
    <x v="28"/>
    <x v="567"/>
    <x v="4"/>
    <x v="0"/>
    <x v="0"/>
    <x v="1"/>
    <x v="3"/>
    <x v="3"/>
    <x v="1"/>
    <x v="2"/>
    <x v="1"/>
    <x v="281"/>
    <x v="743"/>
    <x v="0"/>
    <x v="0"/>
    <x v="0"/>
  </r>
  <r>
    <x v="162"/>
    <x v="27"/>
    <x v="9"/>
    <x v="0"/>
    <x v="19"/>
    <x v="239"/>
    <x v="10"/>
    <x v="245"/>
    <x v="3"/>
    <x v="2"/>
    <x v="0"/>
    <x v="1"/>
    <x v="2"/>
    <x v="2"/>
    <x v="8"/>
    <x v="3"/>
    <x v="2"/>
    <x v="224"/>
    <x v="239"/>
    <x v="0"/>
    <x v="2"/>
    <x v="3"/>
  </r>
  <r>
    <x v="163"/>
    <x v="53"/>
    <x v="4"/>
    <x v="1"/>
    <x v="29"/>
    <x v="684"/>
    <x v="23"/>
    <x v="294"/>
    <x v="4"/>
    <x v="2"/>
    <x v="0"/>
    <x v="1"/>
    <x v="3"/>
    <x v="3"/>
    <x v="8"/>
    <x v="0"/>
    <x v="2"/>
    <x v="540"/>
    <x v="681"/>
    <x v="0"/>
    <x v="0"/>
    <x v="0"/>
  </r>
  <r>
    <x v="164"/>
    <x v="157"/>
    <x v="7"/>
    <x v="1"/>
    <x v="34"/>
    <x v="708"/>
    <x v="25"/>
    <x v="553"/>
    <x v="7"/>
    <x v="0"/>
    <x v="0"/>
    <x v="1"/>
    <x v="3"/>
    <x v="3"/>
    <x v="9"/>
    <x v="7"/>
    <x v="1"/>
    <x v="236"/>
    <x v="666"/>
    <x v="0"/>
    <x v="0"/>
    <x v="0"/>
  </r>
  <r>
    <x v="165"/>
    <x v="183"/>
    <x v="2"/>
    <x v="1"/>
    <x v="37"/>
    <x v="849"/>
    <x v="29"/>
    <x v="678"/>
    <x v="5"/>
    <x v="1"/>
    <x v="0"/>
    <x v="1"/>
    <x v="3"/>
    <x v="3"/>
    <x v="7"/>
    <x v="11"/>
    <x v="4"/>
    <x v="889"/>
    <x v="925"/>
    <x v="0"/>
    <x v="0"/>
    <x v="0"/>
  </r>
  <r>
    <x v="166"/>
    <x v="119"/>
    <x v="5"/>
    <x v="0"/>
    <x v="30"/>
    <x v="819"/>
    <x v="32"/>
    <x v="195"/>
    <x v="8"/>
    <x v="4"/>
    <x v="0"/>
    <x v="1"/>
    <x v="3"/>
    <x v="3"/>
    <x v="3"/>
    <x v="6"/>
    <x v="3"/>
    <x v="801"/>
    <x v="865"/>
    <x v="0"/>
    <x v="0"/>
    <x v="0"/>
  </r>
  <r>
    <x v="167"/>
    <x v="188"/>
    <x v="5"/>
    <x v="1"/>
    <x v="17"/>
    <x v="507"/>
    <x v="16"/>
    <x v="751"/>
    <x v="0"/>
    <x v="1"/>
    <x v="0"/>
    <x v="1"/>
    <x v="0"/>
    <x v="2"/>
    <x v="6"/>
    <x v="3"/>
    <x v="4"/>
    <x v="769"/>
    <x v="552"/>
    <x v="0"/>
    <x v="1"/>
    <x v="0"/>
  </r>
  <r>
    <x v="168"/>
    <x v="8"/>
    <x v="3"/>
    <x v="0"/>
    <x v="9"/>
    <x v="348"/>
    <x v="9"/>
    <x v="822"/>
    <x v="9"/>
    <x v="0"/>
    <x v="0"/>
    <x v="3"/>
    <x v="2"/>
    <x v="1"/>
    <x v="7"/>
    <x v="5"/>
    <x v="1"/>
    <x v="87"/>
    <x v="318"/>
    <x v="0"/>
    <x v="2"/>
    <x v="3"/>
  </r>
  <r>
    <x v="169"/>
    <x v="172"/>
    <x v="9"/>
    <x v="0"/>
    <x v="33"/>
    <x v="624"/>
    <x v="26"/>
    <x v="79"/>
    <x v="4"/>
    <x v="0"/>
    <x v="0"/>
    <x v="1"/>
    <x v="3"/>
    <x v="3"/>
    <x v="11"/>
    <x v="7"/>
    <x v="1"/>
    <x v="199"/>
    <x v="575"/>
    <x v="0"/>
    <x v="0"/>
    <x v="0"/>
  </r>
  <r>
    <x v="170"/>
    <x v="29"/>
    <x v="8"/>
    <x v="1"/>
    <x v="28"/>
    <x v="699"/>
    <x v="29"/>
    <x v="520"/>
    <x v="2"/>
    <x v="2"/>
    <x v="0"/>
    <x v="1"/>
    <x v="3"/>
    <x v="3"/>
    <x v="3"/>
    <x v="5"/>
    <x v="2"/>
    <x v="550"/>
    <x v="701"/>
    <x v="0"/>
    <x v="0"/>
    <x v="0"/>
  </r>
  <r>
    <x v="171"/>
    <x v="188"/>
    <x v="7"/>
    <x v="1"/>
    <x v="29"/>
    <x v="548"/>
    <x v="20"/>
    <x v="300"/>
    <x v="7"/>
    <x v="1"/>
    <x v="0"/>
    <x v="1"/>
    <x v="0"/>
    <x v="3"/>
    <x v="8"/>
    <x v="2"/>
    <x v="4"/>
    <x v="799"/>
    <x v="614"/>
    <x v="0"/>
    <x v="1"/>
    <x v="0"/>
  </r>
  <r>
    <x v="172"/>
    <x v="103"/>
    <x v="0"/>
    <x v="1"/>
    <x v="9"/>
    <x v="235"/>
    <x v="7"/>
    <x v="666"/>
    <x v="1"/>
    <x v="1"/>
    <x v="1"/>
    <x v="3"/>
    <x v="2"/>
    <x v="1"/>
    <x v="5"/>
    <x v="5"/>
    <x v="4"/>
    <x v="535"/>
    <x v="284"/>
    <x v="1"/>
    <x v="2"/>
    <x v="2"/>
  </r>
  <r>
    <x v="173"/>
    <x v="42"/>
    <x v="1"/>
    <x v="0"/>
    <x v="27"/>
    <x v="539"/>
    <x v="20"/>
    <x v="128"/>
    <x v="7"/>
    <x v="0"/>
    <x v="0"/>
    <x v="1"/>
    <x v="0"/>
    <x v="3"/>
    <x v="4"/>
    <x v="0"/>
    <x v="1"/>
    <x v="160"/>
    <x v="507"/>
    <x v="0"/>
    <x v="1"/>
    <x v="0"/>
  </r>
  <r>
    <x v="174"/>
    <x v="89"/>
    <x v="3"/>
    <x v="1"/>
    <x v="0"/>
    <x v="52"/>
    <x v="1"/>
    <x v="83"/>
    <x v="4"/>
    <x v="2"/>
    <x v="0"/>
    <x v="0"/>
    <x v="1"/>
    <x v="0"/>
    <x v="11"/>
    <x v="8"/>
    <x v="2"/>
    <x v="92"/>
    <x v="54"/>
    <x v="0"/>
    <x v="3"/>
    <x v="1"/>
  </r>
  <r>
    <x v="175"/>
    <x v="147"/>
    <x v="6"/>
    <x v="0"/>
    <x v="38"/>
    <x v="895"/>
    <x v="31"/>
    <x v="850"/>
    <x v="5"/>
    <x v="2"/>
    <x v="0"/>
    <x v="1"/>
    <x v="3"/>
    <x v="3"/>
    <x v="6"/>
    <x v="8"/>
    <x v="2"/>
    <x v="644"/>
    <x v="883"/>
    <x v="0"/>
    <x v="0"/>
    <x v="0"/>
  </r>
  <r>
    <x v="176"/>
    <x v="185"/>
    <x v="4"/>
    <x v="0"/>
    <x v="21"/>
    <x v="643"/>
    <x v="23"/>
    <x v="687"/>
    <x v="6"/>
    <x v="2"/>
    <x v="0"/>
    <x v="1"/>
    <x v="3"/>
    <x v="2"/>
    <x v="1"/>
    <x v="3"/>
    <x v="2"/>
    <x v="515"/>
    <x v="634"/>
    <x v="0"/>
    <x v="0"/>
    <x v="0"/>
  </r>
  <r>
    <x v="177"/>
    <x v="19"/>
    <x v="5"/>
    <x v="0"/>
    <x v="34"/>
    <x v="748"/>
    <x v="28"/>
    <x v="884"/>
    <x v="1"/>
    <x v="1"/>
    <x v="1"/>
    <x v="1"/>
    <x v="3"/>
    <x v="3"/>
    <x v="2"/>
    <x v="1"/>
    <x v="4"/>
    <x v="877"/>
    <x v="843"/>
    <x v="1"/>
    <x v="0"/>
    <x v="0"/>
  </r>
  <r>
    <x v="178"/>
    <x v="59"/>
    <x v="1"/>
    <x v="0"/>
    <x v="19"/>
    <x v="408"/>
    <x v="12"/>
    <x v="45"/>
    <x v="1"/>
    <x v="2"/>
    <x v="1"/>
    <x v="1"/>
    <x v="0"/>
    <x v="2"/>
    <x v="9"/>
    <x v="4"/>
    <x v="2"/>
    <x v="364"/>
    <x v="398"/>
    <x v="1"/>
    <x v="1"/>
    <x v="3"/>
  </r>
  <r>
    <x v="179"/>
    <x v="173"/>
    <x v="7"/>
    <x v="0"/>
    <x v="32"/>
    <x v="878"/>
    <x v="32"/>
    <x v="626"/>
    <x v="0"/>
    <x v="4"/>
    <x v="0"/>
    <x v="1"/>
    <x v="3"/>
    <x v="3"/>
    <x v="7"/>
    <x v="3"/>
    <x v="3"/>
    <x v="821"/>
    <x v="913"/>
    <x v="0"/>
    <x v="0"/>
    <x v="0"/>
  </r>
  <r>
    <x v="180"/>
    <x v="143"/>
    <x v="6"/>
    <x v="1"/>
    <x v="24"/>
    <x v="450"/>
    <x v="19"/>
    <x v="154"/>
    <x v="0"/>
    <x v="4"/>
    <x v="1"/>
    <x v="1"/>
    <x v="0"/>
    <x v="3"/>
    <x v="8"/>
    <x v="0"/>
    <x v="3"/>
    <x v="581"/>
    <x v="473"/>
    <x v="1"/>
    <x v="1"/>
    <x v="0"/>
  </r>
  <r>
    <x v="181"/>
    <x v="161"/>
    <x v="8"/>
    <x v="0"/>
    <x v="32"/>
    <x v="899"/>
    <x v="30"/>
    <x v="214"/>
    <x v="1"/>
    <x v="2"/>
    <x v="0"/>
    <x v="1"/>
    <x v="3"/>
    <x v="3"/>
    <x v="5"/>
    <x v="3"/>
    <x v="2"/>
    <x v="646"/>
    <x v="888"/>
    <x v="0"/>
    <x v="0"/>
    <x v="0"/>
  </r>
  <r>
    <x v="182"/>
    <x v="147"/>
    <x v="0"/>
    <x v="1"/>
    <x v="13"/>
    <x v="485"/>
    <x v="15"/>
    <x v="548"/>
    <x v="5"/>
    <x v="4"/>
    <x v="0"/>
    <x v="1"/>
    <x v="0"/>
    <x v="1"/>
    <x v="2"/>
    <x v="6"/>
    <x v="3"/>
    <x v="622"/>
    <x v="508"/>
    <x v="0"/>
    <x v="1"/>
    <x v="0"/>
  </r>
  <r>
    <x v="183"/>
    <x v="189"/>
    <x v="1"/>
    <x v="0"/>
    <x v="39"/>
    <x v="920"/>
    <x v="32"/>
    <x v="731"/>
    <x v="2"/>
    <x v="2"/>
    <x v="0"/>
    <x v="1"/>
    <x v="3"/>
    <x v="3"/>
    <x v="1"/>
    <x v="8"/>
    <x v="2"/>
    <x v="660"/>
    <x v="906"/>
    <x v="0"/>
    <x v="0"/>
    <x v="0"/>
  </r>
  <r>
    <x v="184"/>
    <x v="133"/>
    <x v="1"/>
    <x v="1"/>
    <x v="16"/>
    <x v="382"/>
    <x v="11"/>
    <x v="152"/>
    <x v="9"/>
    <x v="2"/>
    <x v="0"/>
    <x v="1"/>
    <x v="2"/>
    <x v="2"/>
    <x v="7"/>
    <x v="11"/>
    <x v="2"/>
    <x v="345"/>
    <x v="384"/>
    <x v="0"/>
    <x v="2"/>
    <x v="3"/>
  </r>
  <r>
    <x v="185"/>
    <x v="170"/>
    <x v="1"/>
    <x v="0"/>
    <x v="23"/>
    <x v="468"/>
    <x v="17"/>
    <x v="484"/>
    <x v="7"/>
    <x v="3"/>
    <x v="0"/>
    <x v="1"/>
    <x v="0"/>
    <x v="2"/>
    <x v="5"/>
    <x v="4"/>
    <x v="0"/>
    <x v="0"/>
    <x v="413"/>
    <x v="0"/>
    <x v="1"/>
    <x v="0"/>
  </r>
  <r>
    <x v="186"/>
    <x v="104"/>
    <x v="7"/>
    <x v="1"/>
    <x v="28"/>
    <x v="581"/>
    <x v="22"/>
    <x v="440"/>
    <x v="4"/>
    <x v="1"/>
    <x v="0"/>
    <x v="1"/>
    <x v="0"/>
    <x v="3"/>
    <x v="6"/>
    <x v="6"/>
    <x v="4"/>
    <x v="814"/>
    <x v="648"/>
    <x v="0"/>
    <x v="1"/>
    <x v="0"/>
  </r>
  <r>
    <x v="187"/>
    <x v="60"/>
    <x v="9"/>
    <x v="0"/>
    <x v="4"/>
    <x v="9"/>
    <x v="2"/>
    <x v="229"/>
    <x v="6"/>
    <x v="0"/>
    <x v="0"/>
    <x v="2"/>
    <x v="1"/>
    <x v="1"/>
    <x v="7"/>
    <x v="10"/>
    <x v="1"/>
    <x v="4"/>
    <x v="4"/>
    <x v="0"/>
    <x v="3"/>
    <x v="1"/>
  </r>
  <r>
    <x v="188"/>
    <x v="40"/>
    <x v="9"/>
    <x v="1"/>
    <x v="17"/>
    <x v="431"/>
    <x v="17"/>
    <x v="411"/>
    <x v="8"/>
    <x v="4"/>
    <x v="0"/>
    <x v="1"/>
    <x v="0"/>
    <x v="2"/>
    <x v="5"/>
    <x v="8"/>
    <x v="3"/>
    <x v="556"/>
    <x v="449"/>
    <x v="0"/>
    <x v="1"/>
    <x v="0"/>
  </r>
  <r>
    <x v="189"/>
    <x v="187"/>
    <x v="0"/>
    <x v="0"/>
    <x v="29"/>
    <x v="746"/>
    <x v="26"/>
    <x v="62"/>
    <x v="7"/>
    <x v="2"/>
    <x v="0"/>
    <x v="1"/>
    <x v="3"/>
    <x v="3"/>
    <x v="2"/>
    <x v="0"/>
    <x v="2"/>
    <x v="575"/>
    <x v="744"/>
    <x v="0"/>
    <x v="0"/>
    <x v="0"/>
  </r>
  <r>
    <x v="190"/>
    <x v="153"/>
    <x v="9"/>
    <x v="1"/>
    <x v="14"/>
    <x v="351"/>
    <x v="12"/>
    <x v="796"/>
    <x v="1"/>
    <x v="2"/>
    <x v="0"/>
    <x v="1"/>
    <x v="2"/>
    <x v="2"/>
    <x v="6"/>
    <x v="8"/>
    <x v="2"/>
    <x v="319"/>
    <x v="350"/>
    <x v="0"/>
    <x v="2"/>
    <x v="3"/>
  </r>
  <r>
    <x v="191"/>
    <x v="176"/>
    <x v="3"/>
    <x v="0"/>
    <x v="26"/>
    <x v="626"/>
    <x v="26"/>
    <x v="802"/>
    <x v="0"/>
    <x v="0"/>
    <x v="0"/>
    <x v="1"/>
    <x v="3"/>
    <x v="3"/>
    <x v="8"/>
    <x v="9"/>
    <x v="1"/>
    <x v="200"/>
    <x v="577"/>
    <x v="0"/>
    <x v="0"/>
    <x v="0"/>
  </r>
  <r>
    <x v="192"/>
    <x v="67"/>
    <x v="5"/>
    <x v="0"/>
    <x v="9"/>
    <x v="150"/>
    <x v="6"/>
    <x v="322"/>
    <x v="4"/>
    <x v="3"/>
    <x v="0"/>
    <x v="3"/>
    <x v="2"/>
    <x v="1"/>
    <x v="10"/>
    <x v="7"/>
    <x v="0"/>
    <x v="0"/>
    <x v="115"/>
    <x v="0"/>
    <x v="3"/>
    <x v="2"/>
  </r>
  <r>
    <x v="193"/>
    <x v="166"/>
    <x v="7"/>
    <x v="0"/>
    <x v="11"/>
    <x v="354"/>
    <x v="12"/>
    <x v="683"/>
    <x v="0"/>
    <x v="2"/>
    <x v="0"/>
    <x v="1"/>
    <x v="2"/>
    <x v="1"/>
    <x v="3"/>
    <x v="1"/>
    <x v="2"/>
    <x v="321"/>
    <x v="353"/>
    <x v="0"/>
    <x v="2"/>
    <x v="3"/>
  </r>
  <r>
    <x v="194"/>
    <x v="97"/>
    <x v="2"/>
    <x v="0"/>
    <x v="12"/>
    <x v="372"/>
    <x v="12"/>
    <x v="99"/>
    <x v="2"/>
    <x v="2"/>
    <x v="1"/>
    <x v="1"/>
    <x v="2"/>
    <x v="1"/>
    <x v="9"/>
    <x v="1"/>
    <x v="2"/>
    <x v="335"/>
    <x v="376"/>
    <x v="1"/>
    <x v="2"/>
    <x v="3"/>
  </r>
  <r>
    <x v="195"/>
    <x v="195"/>
    <x v="8"/>
    <x v="1"/>
    <x v="13"/>
    <x v="418"/>
    <x v="15"/>
    <x v="242"/>
    <x v="4"/>
    <x v="4"/>
    <x v="0"/>
    <x v="1"/>
    <x v="0"/>
    <x v="1"/>
    <x v="8"/>
    <x v="1"/>
    <x v="3"/>
    <x v="546"/>
    <x v="435"/>
    <x v="0"/>
    <x v="1"/>
    <x v="0"/>
  </r>
  <r>
    <x v="196"/>
    <x v="164"/>
    <x v="5"/>
    <x v="0"/>
    <x v="32"/>
    <x v="595"/>
    <x v="23"/>
    <x v="670"/>
    <x v="8"/>
    <x v="2"/>
    <x v="0"/>
    <x v="1"/>
    <x v="0"/>
    <x v="3"/>
    <x v="1"/>
    <x v="8"/>
    <x v="2"/>
    <x v="489"/>
    <x v="589"/>
    <x v="0"/>
    <x v="1"/>
    <x v="0"/>
  </r>
  <r>
    <x v="197"/>
    <x v="33"/>
    <x v="7"/>
    <x v="0"/>
    <x v="21"/>
    <x v="470"/>
    <x v="18"/>
    <x v="8"/>
    <x v="6"/>
    <x v="3"/>
    <x v="0"/>
    <x v="1"/>
    <x v="0"/>
    <x v="2"/>
    <x v="4"/>
    <x v="2"/>
    <x v="0"/>
    <x v="0"/>
    <x v="419"/>
    <x v="0"/>
    <x v="1"/>
    <x v="0"/>
  </r>
  <r>
    <x v="198"/>
    <x v="151"/>
    <x v="1"/>
    <x v="0"/>
    <x v="36"/>
    <x v="785"/>
    <x v="30"/>
    <x v="579"/>
    <x v="8"/>
    <x v="2"/>
    <x v="0"/>
    <x v="1"/>
    <x v="3"/>
    <x v="3"/>
    <x v="5"/>
    <x v="5"/>
    <x v="2"/>
    <x v="598"/>
    <x v="791"/>
    <x v="0"/>
    <x v="0"/>
    <x v="0"/>
  </r>
  <r>
    <x v="199"/>
    <x v="169"/>
    <x v="5"/>
    <x v="0"/>
    <x v="5"/>
    <x v="271"/>
    <x v="7"/>
    <x v="83"/>
    <x v="8"/>
    <x v="4"/>
    <x v="0"/>
    <x v="3"/>
    <x v="2"/>
    <x v="1"/>
    <x v="11"/>
    <x v="8"/>
    <x v="3"/>
    <x v="431"/>
    <x v="296"/>
    <x v="0"/>
    <x v="2"/>
    <x v="2"/>
  </r>
  <r>
    <x v="200"/>
    <x v="122"/>
    <x v="2"/>
    <x v="0"/>
    <x v="22"/>
    <x v="444"/>
    <x v="13"/>
    <x v="513"/>
    <x v="7"/>
    <x v="1"/>
    <x v="0"/>
    <x v="1"/>
    <x v="0"/>
    <x v="2"/>
    <x v="10"/>
    <x v="2"/>
    <x v="4"/>
    <x v="729"/>
    <x v="493"/>
    <x v="0"/>
    <x v="1"/>
    <x v="3"/>
  </r>
  <r>
    <x v="201"/>
    <x v="0"/>
    <x v="8"/>
    <x v="1"/>
    <x v="9"/>
    <x v="123"/>
    <x v="3"/>
    <x v="854"/>
    <x v="3"/>
    <x v="2"/>
    <x v="0"/>
    <x v="2"/>
    <x v="2"/>
    <x v="1"/>
    <x v="6"/>
    <x v="9"/>
    <x v="2"/>
    <x v="134"/>
    <x v="118"/>
    <x v="0"/>
    <x v="3"/>
    <x v="2"/>
  </r>
  <r>
    <x v="202"/>
    <x v="66"/>
    <x v="6"/>
    <x v="0"/>
    <x v="30"/>
    <x v="655"/>
    <x v="27"/>
    <x v="223"/>
    <x v="1"/>
    <x v="3"/>
    <x v="1"/>
    <x v="1"/>
    <x v="3"/>
    <x v="3"/>
    <x v="1"/>
    <x v="8"/>
    <x v="0"/>
    <x v="0"/>
    <x v="565"/>
    <x v="1"/>
    <x v="0"/>
    <x v="0"/>
  </r>
  <r>
    <x v="203"/>
    <x v="104"/>
    <x v="4"/>
    <x v="1"/>
    <x v="16"/>
    <x v="262"/>
    <x v="8"/>
    <x v="766"/>
    <x v="2"/>
    <x v="3"/>
    <x v="0"/>
    <x v="3"/>
    <x v="2"/>
    <x v="2"/>
    <x v="8"/>
    <x v="8"/>
    <x v="0"/>
    <x v="0"/>
    <x v="208"/>
    <x v="0"/>
    <x v="2"/>
    <x v="3"/>
  </r>
  <r>
    <x v="204"/>
    <x v="116"/>
    <x v="3"/>
    <x v="0"/>
    <x v="7"/>
    <x v="269"/>
    <x v="7"/>
    <x v="737"/>
    <x v="7"/>
    <x v="2"/>
    <x v="0"/>
    <x v="3"/>
    <x v="2"/>
    <x v="1"/>
    <x v="8"/>
    <x v="10"/>
    <x v="2"/>
    <x v="247"/>
    <x v="261"/>
    <x v="0"/>
    <x v="2"/>
    <x v="2"/>
  </r>
  <r>
    <x v="205"/>
    <x v="17"/>
    <x v="6"/>
    <x v="1"/>
    <x v="38"/>
    <x v="966"/>
    <x v="34"/>
    <x v="136"/>
    <x v="8"/>
    <x v="0"/>
    <x v="0"/>
    <x v="1"/>
    <x v="3"/>
    <x v="3"/>
    <x v="8"/>
    <x v="5"/>
    <x v="1"/>
    <x v="360"/>
    <x v="918"/>
    <x v="0"/>
    <x v="0"/>
    <x v="0"/>
  </r>
  <r>
    <x v="206"/>
    <x v="76"/>
    <x v="1"/>
    <x v="1"/>
    <x v="10"/>
    <x v="83"/>
    <x v="2"/>
    <x v="254"/>
    <x v="9"/>
    <x v="4"/>
    <x v="1"/>
    <x v="2"/>
    <x v="1"/>
    <x v="1"/>
    <x v="0"/>
    <x v="8"/>
    <x v="3"/>
    <x v="232"/>
    <x v="95"/>
    <x v="1"/>
    <x v="3"/>
    <x v="1"/>
  </r>
  <r>
    <x v="207"/>
    <x v="127"/>
    <x v="5"/>
    <x v="0"/>
    <x v="6"/>
    <x v="89"/>
    <x v="2"/>
    <x v="63"/>
    <x v="9"/>
    <x v="2"/>
    <x v="0"/>
    <x v="2"/>
    <x v="1"/>
    <x v="1"/>
    <x v="5"/>
    <x v="0"/>
    <x v="2"/>
    <x v="115"/>
    <x v="88"/>
    <x v="0"/>
    <x v="3"/>
    <x v="1"/>
  </r>
  <r>
    <x v="208"/>
    <x v="40"/>
    <x v="0"/>
    <x v="0"/>
    <x v="27"/>
    <x v="618"/>
    <x v="20"/>
    <x v="321"/>
    <x v="4"/>
    <x v="4"/>
    <x v="0"/>
    <x v="1"/>
    <x v="3"/>
    <x v="3"/>
    <x v="7"/>
    <x v="7"/>
    <x v="3"/>
    <x v="719"/>
    <x v="649"/>
    <x v="0"/>
    <x v="0"/>
    <x v="0"/>
  </r>
  <r>
    <x v="209"/>
    <x v="66"/>
    <x v="7"/>
    <x v="0"/>
    <x v="9"/>
    <x v="154"/>
    <x v="3"/>
    <x v="130"/>
    <x v="6"/>
    <x v="2"/>
    <x v="0"/>
    <x v="2"/>
    <x v="2"/>
    <x v="1"/>
    <x v="3"/>
    <x v="2"/>
    <x v="2"/>
    <x v="162"/>
    <x v="156"/>
    <x v="0"/>
    <x v="3"/>
    <x v="2"/>
  </r>
  <r>
    <x v="210"/>
    <x v="182"/>
    <x v="9"/>
    <x v="1"/>
    <x v="29"/>
    <x v="563"/>
    <x v="20"/>
    <x v="785"/>
    <x v="4"/>
    <x v="1"/>
    <x v="0"/>
    <x v="1"/>
    <x v="0"/>
    <x v="3"/>
    <x v="9"/>
    <x v="3"/>
    <x v="4"/>
    <x v="810"/>
    <x v="629"/>
    <x v="0"/>
    <x v="1"/>
    <x v="0"/>
  </r>
  <r>
    <x v="211"/>
    <x v="54"/>
    <x v="9"/>
    <x v="0"/>
    <x v="14"/>
    <x v="178"/>
    <x v="9"/>
    <x v="65"/>
    <x v="9"/>
    <x v="3"/>
    <x v="0"/>
    <x v="3"/>
    <x v="2"/>
    <x v="2"/>
    <x v="9"/>
    <x v="0"/>
    <x v="0"/>
    <x v="0"/>
    <x v="136"/>
    <x v="0"/>
    <x v="3"/>
    <x v="3"/>
  </r>
  <r>
    <x v="212"/>
    <x v="26"/>
    <x v="6"/>
    <x v="0"/>
    <x v="29"/>
    <x v="511"/>
    <x v="21"/>
    <x v="13"/>
    <x v="0"/>
    <x v="0"/>
    <x v="1"/>
    <x v="1"/>
    <x v="0"/>
    <x v="3"/>
    <x v="10"/>
    <x v="3"/>
    <x v="1"/>
    <x v="148"/>
    <x v="477"/>
    <x v="1"/>
    <x v="1"/>
    <x v="0"/>
  </r>
  <r>
    <x v="213"/>
    <x v="195"/>
    <x v="3"/>
    <x v="1"/>
    <x v="1"/>
    <x v="25"/>
    <x v="2"/>
    <x v="379"/>
    <x v="9"/>
    <x v="2"/>
    <x v="0"/>
    <x v="2"/>
    <x v="1"/>
    <x v="0"/>
    <x v="4"/>
    <x v="9"/>
    <x v="2"/>
    <x v="63"/>
    <x v="30"/>
    <x v="0"/>
    <x v="3"/>
    <x v="1"/>
  </r>
  <r>
    <x v="214"/>
    <x v="100"/>
    <x v="5"/>
    <x v="0"/>
    <x v="16"/>
    <x v="246"/>
    <x v="7"/>
    <x v="278"/>
    <x v="4"/>
    <x v="2"/>
    <x v="0"/>
    <x v="3"/>
    <x v="2"/>
    <x v="2"/>
    <x v="5"/>
    <x v="6"/>
    <x v="2"/>
    <x v="229"/>
    <x v="243"/>
    <x v="0"/>
    <x v="2"/>
    <x v="2"/>
  </r>
  <r>
    <x v="215"/>
    <x v="62"/>
    <x v="4"/>
    <x v="0"/>
    <x v="29"/>
    <x v="697"/>
    <x v="24"/>
    <x v="628"/>
    <x v="2"/>
    <x v="4"/>
    <x v="0"/>
    <x v="1"/>
    <x v="3"/>
    <x v="3"/>
    <x v="8"/>
    <x v="4"/>
    <x v="3"/>
    <x v="753"/>
    <x v="753"/>
    <x v="0"/>
    <x v="0"/>
    <x v="0"/>
  </r>
  <r>
    <x v="216"/>
    <x v="56"/>
    <x v="6"/>
    <x v="0"/>
    <x v="16"/>
    <x v="376"/>
    <x v="13"/>
    <x v="356"/>
    <x v="4"/>
    <x v="1"/>
    <x v="0"/>
    <x v="1"/>
    <x v="2"/>
    <x v="2"/>
    <x v="9"/>
    <x v="0"/>
    <x v="4"/>
    <x v="671"/>
    <x v="426"/>
    <x v="0"/>
    <x v="2"/>
    <x v="3"/>
  </r>
  <r>
    <x v="217"/>
    <x v="61"/>
    <x v="7"/>
    <x v="0"/>
    <x v="10"/>
    <x v="265"/>
    <x v="9"/>
    <x v="813"/>
    <x v="7"/>
    <x v="4"/>
    <x v="0"/>
    <x v="3"/>
    <x v="2"/>
    <x v="1"/>
    <x v="5"/>
    <x v="3"/>
    <x v="3"/>
    <x v="424"/>
    <x v="286"/>
    <x v="0"/>
    <x v="2"/>
    <x v="3"/>
  </r>
  <r>
    <x v="218"/>
    <x v="67"/>
    <x v="5"/>
    <x v="1"/>
    <x v="36"/>
    <x v="803"/>
    <x v="31"/>
    <x v="732"/>
    <x v="6"/>
    <x v="4"/>
    <x v="0"/>
    <x v="1"/>
    <x v="3"/>
    <x v="3"/>
    <x v="7"/>
    <x v="9"/>
    <x v="3"/>
    <x v="794"/>
    <x v="854"/>
    <x v="0"/>
    <x v="0"/>
    <x v="0"/>
  </r>
  <r>
    <x v="219"/>
    <x v="118"/>
    <x v="2"/>
    <x v="1"/>
    <x v="1"/>
    <x v="0"/>
    <x v="2"/>
    <x v="625"/>
    <x v="9"/>
    <x v="2"/>
    <x v="0"/>
    <x v="2"/>
    <x v="1"/>
    <x v="0"/>
    <x v="0"/>
    <x v="3"/>
    <x v="2"/>
    <x v="29"/>
    <x v="5"/>
    <x v="0"/>
    <x v="3"/>
    <x v="1"/>
  </r>
  <r>
    <x v="220"/>
    <x v="72"/>
    <x v="1"/>
    <x v="1"/>
    <x v="37"/>
    <x v="896"/>
    <x v="32"/>
    <x v="282"/>
    <x v="3"/>
    <x v="2"/>
    <x v="0"/>
    <x v="1"/>
    <x v="3"/>
    <x v="3"/>
    <x v="1"/>
    <x v="8"/>
    <x v="2"/>
    <x v="645"/>
    <x v="884"/>
    <x v="0"/>
    <x v="0"/>
    <x v="0"/>
  </r>
  <r>
    <x v="221"/>
    <x v="185"/>
    <x v="3"/>
    <x v="0"/>
    <x v="39"/>
    <x v="951"/>
    <x v="34"/>
    <x v="207"/>
    <x v="1"/>
    <x v="1"/>
    <x v="0"/>
    <x v="1"/>
    <x v="3"/>
    <x v="3"/>
    <x v="0"/>
    <x v="0"/>
    <x v="4"/>
    <x v="905"/>
    <x v="973"/>
    <x v="0"/>
    <x v="0"/>
    <x v="0"/>
  </r>
  <r>
    <x v="222"/>
    <x v="139"/>
    <x v="6"/>
    <x v="0"/>
    <x v="5"/>
    <x v="223"/>
    <x v="6"/>
    <x v="116"/>
    <x v="8"/>
    <x v="4"/>
    <x v="0"/>
    <x v="3"/>
    <x v="2"/>
    <x v="1"/>
    <x v="3"/>
    <x v="8"/>
    <x v="3"/>
    <x v="400"/>
    <x v="250"/>
    <x v="0"/>
    <x v="2"/>
    <x v="2"/>
  </r>
  <r>
    <x v="223"/>
    <x v="156"/>
    <x v="4"/>
    <x v="0"/>
    <x v="27"/>
    <x v="656"/>
    <x v="23"/>
    <x v="439"/>
    <x v="5"/>
    <x v="3"/>
    <x v="0"/>
    <x v="1"/>
    <x v="3"/>
    <x v="3"/>
    <x v="5"/>
    <x v="6"/>
    <x v="0"/>
    <x v="0"/>
    <x v="566"/>
    <x v="0"/>
    <x v="0"/>
    <x v="0"/>
  </r>
  <r>
    <x v="224"/>
    <x v="152"/>
    <x v="0"/>
    <x v="0"/>
    <x v="30"/>
    <x v="685"/>
    <x v="24"/>
    <x v="92"/>
    <x v="0"/>
    <x v="2"/>
    <x v="0"/>
    <x v="1"/>
    <x v="3"/>
    <x v="3"/>
    <x v="1"/>
    <x v="0"/>
    <x v="2"/>
    <x v="541"/>
    <x v="683"/>
    <x v="0"/>
    <x v="0"/>
    <x v="0"/>
  </r>
  <r>
    <x v="225"/>
    <x v="82"/>
    <x v="6"/>
    <x v="1"/>
    <x v="12"/>
    <x v="86"/>
    <x v="6"/>
    <x v="750"/>
    <x v="8"/>
    <x v="4"/>
    <x v="0"/>
    <x v="3"/>
    <x v="1"/>
    <x v="1"/>
    <x v="5"/>
    <x v="3"/>
    <x v="3"/>
    <x v="238"/>
    <x v="99"/>
    <x v="0"/>
    <x v="3"/>
    <x v="2"/>
  </r>
  <r>
    <x v="226"/>
    <x v="0"/>
    <x v="8"/>
    <x v="1"/>
    <x v="23"/>
    <x v="533"/>
    <x v="17"/>
    <x v="806"/>
    <x v="5"/>
    <x v="4"/>
    <x v="0"/>
    <x v="1"/>
    <x v="0"/>
    <x v="2"/>
    <x v="0"/>
    <x v="11"/>
    <x v="3"/>
    <x v="659"/>
    <x v="551"/>
    <x v="0"/>
    <x v="1"/>
    <x v="0"/>
  </r>
  <r>
    <x v="227"/>
    <x v="189"/>
    <x v="0"/>
    <x v="1"/>
    <x v="6"/>
    <x v="68"/>
    <x v="4"/>
    <x v="671"/>
    <x v="8"/>
    <x v="2"/>
    <x v="0"/>
    <x v="2"/>
    <x v="1"/>
    <x v="1"/>
    <x v="5"/>
    <x v="8"/>
    <x v="2"/>
    <x v="102"/>
    <x v="76"/>
    <x v="0"/>
    <x v="3"/>
    <x v="2"/>
  </r>
  <r>
    <x v="228"/>
    <x v="159"/>
    <x v="8"/>
    <x v="0"/>
    <x v="39"/>
    <x v="890"/>
    <x v="32"/>
    <x v="441"/>
    <x v="2"/>
    <x v="1"/>
    <x v="0"/>
    <x v="1"/>
    <x v="3"/>
    <x v="3"/>
    <x v="1"/>
    <x v="7"/>
    <x v="4"/>
    <x v="896"/>
    <x v="949"/>
    <x v="0"/>
    <x v="0"/>
    <x v="0"/>
  </r>
  <r>
    <x v="229"/>
    <x v="104"/>
    <x v="2"/>
    <x v="0"/>
    <x v="9"/>
    <x v="22"/>
    <x v="1"/>
    <x v="191"/>
    <x v="8"/>
    <x v="2"/>
    <x v="0"/>
    <x v="0"/>
    <x v="1"/>
    <x v="1"/>
    <x v="10"/>
    <x v="3"/>
    <x v="2"/>
    <x v="58"/>
    <x v="27"/>
    <x v="0"/>
    <x v="3"/>
    <x v="1"/>
  </r>
  <r>
    <x v="230"/>
    <x v="54"/>
    <x v="7"/>
    <x v="0"/>
    <x v="19"/>
    <x v="441"/>
    <x v="18"/>
    <x v="85"/>
    <x v="8"/>
    <x v="4"/>
    <x v="0"/>
    <x v="1"/>
    <x v="0"/>
    <x v="2"/>
    <x v="1"/>
    <x v="9"/>
    <x v="3"/>
    <x v="574"/>
    <x v="464"/>
    <x v="0"/>
    <x v="1"/>
    <x v="0"/>
  </r>
  <r>
    <x v="231"/>
    <x v="58"/>
    <x v="2"/>
    <x v="0"/>
    <x v="3"/>
    <x v="134"/>
    <x v="5"/>
    <x v="624"/>
    <x v="7"/>
    <x v="4"/>
    <x v="0"/>
    <x v="3"/>
    <x v="2"/>
    <x v="0"/>
    <x v="9"/>
    <x v="2"/>
    <x v="3"/>
    <x v="311"/>
    <x v="151"/>
    <x v="0"/>
    <x v="3"/>
    <x v="2"/>
  </r>
  <r>
    <x v="232"/>
    <x v="188"/>
    <x v="8"/>
    <x v="0"/>
    <x v="39"/>
    <x v="974"/>
    <x v="35"/>
    <x v="723"/>
    <x v="5"/>
    <x v="1"/>
    <x v="1"/>
    <x v="1"/>
    <x v="3"/>
    <x v="3"/>
    <x v="9"/>
    <x v="3"/>
    <x v="4"/>
    <x v="911"/>
    <x v="980"/>
    <x v="1"/>
    <x v="0"/>
    <x v="0"/>
  </r>
  <r>
    <x v="233"/>
    <x v="180"/>
    <x v="8"/>
    <x v="1"/>
    <x v="2"/>
    <x v="36"/>
    <x v="0"/>
    <x v="353"/>
    <x v="5"/>
    <x v="0"/>
    <x v="0"/>
    <x v="0"/>
    <x v="1"/>
    <x v="0"/>
    <x v="8"/>
    <x v="11"/>
    <x v="1"/>
    <x v="10"/>
    <x v="28"/>
    <x v="0"/>
    <x v="3"/>
    <x v="1"/>
  </r>
  <r>
    <x v="234"/>
    <x v="164"/>
    <x v="6"/>
    <x v="0"/>
    <x v="10"/>
    <x v="274"/>
    <x v="10"/>
    <x v="57"/>
    <x v="4"/>
    <x v="4"/>
    <x v="0"/>
    <x v="1"/>
    <x v="2"/>
    <x v="1"/>
    <x v="6"/>
    <x v="10"/>
    <x v="3"/>
    <x v="433"/>
    <x v="298"/>
    <x v="0"/>
    <x v="2"/>
    <x v="3"/>
  </r>
  <r>
    <x v="235"/>
    <x v="63"/>
    <x v="8"/>
    <x v="1"/>
    <x v="29"/>
    <x v="828"/>
    <x v="30"/>
    <x v="658"/>
    <x v="7"/>
    <x v="3"/>
    <x v="0"/>
    <x v="1"/>
    <x v="3"/>
    <x v="3"/>
    <x v="5"/>
    <x v="1"/>
    <x v="0"/>
    <x v="0"/>
    <x v="717"/>
    <x v="0"/>
    <x v="0"/>
    <x v="0"/>
  </r>
  <r>
    <x v="236"/>
    <x v="74"/>
    <x v="7"/>
    <x v="0"/>
    <x v="6"/>
    <x v="157"/>
    <x v="6"/>
    <x v="719"/>
    <x v="2"/>
    <x v="3"/>
    <x v="0"/>
    <x v="3"/>
    <x v="2"/>
    <x v="1"/>
    <x v="0"/>
    <x v="3"/>
    <x v="0"/>
    <x v="0"/>
    <x v="122"/>
    <x v="0"/>
    <x v="3"/>
    <x v="2"/>
  </r>
  <r>
    <x v="237"/>
    <x v="22"/>
    <x v="7"/>
    <x v="1"/>
    <x v="35"/>
    <x v="814"/>
    <x v="27"/>
    <x v="574"/>
    <x v="5"/>
    <x v="4"/>
    <x v="0"/>
    <x v="1"/>
    <x v="3"/>
    <x v="3"/>
    <x v="3"/>
    <x v="4"/>
    <x v="3"/>
    <x v="798"/>
    <x v="861"/>
    <x v="0"/>
    <x v="0"/>
    <x v="0"/>
  </r>
  <r>
    <x v="238"/>
    <x v="109"/>
    <x v="4"/>
    <x v="1"/>
    <x v="22"/>
    <x v="586"/>
    <x v="20"/>
    <x v="219"/>
    <x v="0"/>
    <x v="4"/>
    <x v="0"/>
    <x v="1"/>
    <x v="0"/>
    <x v="2"/>
    <x v="5"/>
    <x v="6"/>
    <x v="3"/>
    <x v="703"/>
    <x v="618"/>
    <x v="0"/>
    <x v="1"/>
    <x v="0"/>
  </r>
  <r>
    <x v="239"/>
    <x v="22"/>
    <x v="6"/>
    <x v="1"/>
    <x v="34"/>
    <x v="969"/>
    <x v="34"/>
    <x v="238"/>
    <x v="5"/>
    <x v="3"/>
    <x v="0"/>
    <x v="1"/>
    <x v="3"/>
    <x v="3"/>
    <x v="0"/>
    <x v="1"/>
    <x v="0"/>
    <x v="0"/>
    <x v="878"/>
    <x v="0"/>
    <x v="0"/>
    <x v="0"/>
  </r>
  <r>
    <x v="240"/>
    <x v="144"/>
    <x v="4"/>
    <x v="0"/>
    <x v="31"/>
    <x v="842"/>
    <x v="31"/>
    <x v="139"/>
    <x v="0"/>
    <x v="4"/>
    <x v="0"/>
    <x v="1"/>
    <x v="3"/>
    <x v="3"/>
    <x v="5"/>
    <x v="6"/>
    <x v="3"/>
    <x v="809"/>
    <x v="886"/>
    <x v="0"/>
    <x v="0"/>
    <x v="0"/>
  </r>
  <r>
    <x v="241"/>
    <x v="141"/>
    <x v="3"/>
    <x v="0"/>
    <x v="37"/>
    <x v="843"/>
    <x v="30"/>
    <x v="377"/>
    <x v="6"/>
    <x v="0"/>
    <x v="0"/>
    <x v="1"/>
    <x v="3"/>
    <x v="3"/>
    <x v="11"/>
    <x v="8"/>
    <x v="1"/>
    <x v="301"/>
    <x v="794"/>
    <x v="0"/>
    <x v="0"/>
    <x v="0"/>
  </r>
  <r>
    <x v="242"/>
    <x v="84"/>
    <x v="7"/>
    <x v="0"/>
    <x v="4"/>
    <x v="119"/>
    <x v="5"/>
    <x v="511"/>
    <x v="8"/>
    <x v="4"/>
    <x v="0"/>
    <x v="3"/>
    <x v="2"/>
    <x v="1"/>
    <x v="7"/>
    <x v="2"/>
    <x v="3"/>
    <x v="288"/>
    <x v="132"/>
    <x v="0"/>
    <x v="3"/>
    <x v="2"/>
  </r>
  <r>
    <x v="243"/>
    <x v="83"/>
    <x v="9"/>
    <x v="0"/>
    <x v="0"/>
    <x v="5"/>
    <x v="0"/>
    <x v="685"/>
    <x v="2"/>
    <x v="2"/>
    <x v="0"/>
    <x v="0"/>
    <x v="1"/>
    <x v="0"/>
    <x v="4"/>
    <x v="2"/>
    <x v="2"/>
    <x v="34"/>
    <x v="8"/>
    <x v="0"/>
    <x v="3"/>
    <x v="1"/>
  </r>
  <r>
    <x v="244"/>
    <x v="68"/>
    <x v="6"/>
    <x v="0"/>
    <x v="30"/>
    <x v="752"/>
    <x v="25"/>
    <x v="669"/>
    <x v="8"/>
    <x v="4"/>
    <x v="0"/>
    <x v="1"/>
    <x v="3"/>
    <x v="3"/>
    <x v="11"/>
    <x v="7"/>
    <x v="3"/>
    <x v="776"/>
    <x v="803"/>
    <x v="0"/>
    <x v="0"/>
    <x v="0"/>
  </r>
  <r>
    <x v="245"/>
    <x v="21"/>
    <x v="1"/>
    <x v="0"/>
    <x v="16"/>
    <x v="141"/>
    <x v="7"/>
    <x v="703"/>
    <x v="7"/>
    <x v="4"/>
    <x v="0"/>
    <x v="3"/>
    <x v="2"/>
    <x v="2"/>
    <x v="7"/>
    <x v="10"/>
    <x v="3"/>
    <x v="320"/>
    <x v="157"/>
    <x v="0"/>
    <x v="3"/>
    <x v="2"/>
  </r>
  <r>
    <x v="246"/>
    <x v="96"/>
    <x v="7"/>
    <x v="1"/>
    <x v="11"/>
    <x v="204"/>
    <x v="6"/>
    <x v="721"/>
    <x v="1"/>
    <x v="1"/>
    <x v="1"/>
    <x v="3"/>
    <x v="2"/>
    <x v="1"/>
    <x v="7"/>
    <x v="3"/>
    <x v="4"/>
    <x v="508"/>
    <x v="248"/>
    <x v="1"/>
    <x v="2"/>
    <x v="2"/>
  </r>
  <r>
    <x v="247"/>
    <x v="30"/>
    <x v="0"/>
    <x v="1"/>
    <x v="21"/>
    <x v="394"/>
    <x v="15"/>
    <x v="97"/>
    <x v="1"/>
    <x v="4"/>
    <x v="0"/>
    <x v="1"/>
    <x v="0"/>
    <x v="2"/>
    <x v="3"/>
    <x v="1"/>
    <x v="3"/>
    <x v="525"/>
    <x v="415"/>
    <x v="0"/>
    <x v="1"/>
    <x v="0"/>
  </r>
  <r>
    <x v="248"/>
    <x v="0"/>
    <x v="9"/>
    <x v="0"/>
    <x v="31"/>
    <x v="648"/>
    <x v="27"/>
    <x v="138"/>
    <x v="8"/>
    <x v="2"/>
    <x v="0"/>
    <x v="1"/>
    <x v="3"/>
    <x v="3"/>
    <x v="4"/>
    <x v="6"/>
    <x v="2"/>
    <x v="520"/>
    <x v="641"/>
    <x v="0"/>
    <x v="0"/>
    <x v="0"/>
  </r>
  <r>
    <x v="249"/>
    <x v="132"/>
    <x v="5"/>
    <x v="0"/>
    <x v="12"/>
    <x v="126"/>
    <x v="6"/>
    <x v="464"/>
    <x v="0"/>
    <x v="4"/>
    <x v="0"/>
    <x v="3"/>
    <x v="2"/>
    <x v="1"/>
    <x v="8"/>
    <x v="7"/>
    <x v="3"/>
    <x v="302"/>
    <x v="148"/>
    <x v="0"/>
    <x v="3"/>
    <x v="2"/>
  </r>
  <r>
    <x v="250"/>
    <x v="77"/>
    <x v="6"/>
    <x v="1"/>
    <x v="31"/>
    <x v="663"/>
    <x v="24"/>
    <x v="692"/>
    <x v="1"/>
    <x v="4"/>
    <x v="0"/>
    <x v="1"/>
    <x v="3"/>
    <x v="3"/>
    <x v="2"/>
    <x v="5"/>
    <x v="3"/>
    <x v="738"/>
    <x v="698"/>
    <x v="0"/>
    <x v="0"/>
    <x v="0"/>
  </r>
  <r>
    <x v="251"/>
    <x v="51"/>
    <x v="0"/>
    <x v="0"/>
    <x v="19"/>
    <x v="525"/>
    <x v="20"/>
    <x v="178"/>
    <x v="0"/>
    <x v="1"/>
    <x v="0"/>
    <x v="1"/>
    <x v="0"/>
    <x v="2"/>
    <x v="6"/>
    <x v="9"/>
    <x v="4"/>
    <x v="782"/>
    <x v="578"/>
    <x v="0"/>
    <x v="1"/>
    <x v="0"/>
  </r>
  <r>
    <x v="252"/>
    <x v="161"/>
    <x v="2"/>
    <x v="0"/>
    <x v="15"/>
    <x v="247"/>
    <x v="8"/>
    <x v="792"/>
    <x v="4"/>
    <x v="4"/>
    <x v="0"/>
    <x v="3"/>
    <x v="2"/>
    <x v="2"/>
    <x v="9"/>
    <x v="6"/>
    <x v="3"/>
    <x v="412"/>
    <x v="266"/>
    <x v="0"/>
    <x v="2"/>
    <x v="3"/>
  </r>
  <r>
    <x v="253"/>
    <x v="2"/>
    <x v="2"/>
    <x v="1"/>
    <x v="8"/>
    <x v="220"/>
    <x v="8"/>
    <x v="305"/>
    <x v="5"/>
    <x v="2"/>
    <x v="0"/>
    <x v="3"/>
    <x v="2"/>
    <x v="1"/>
    <x v="10"/>
    <x v="3"/>
    <x v="2"/>
    <x v="212"/>
    <x v="227"/>
    <x v="0"/>
    <x v="2"/>
    <x v="3"/>
  </r>
  <r>
    <x v="254"/>
    <x v="32"/>
    <x v="2"/>
    <x v="1"/>
    <x v="39"/>
    <x v="972"/>
    <x v="35"/>
    <x v="142"/>
    <x v="0"/>
    <x v="2"/>
    <x v="0"/>
    <x v="1"/>
    <x v="3"/>
    <x v="3"/>
    <x v="9"/>
    <x v="7"/>
    <x v="2"/>
    <x v="701"/>
    <x v="957"/>
    <x v="0"/>
    <x v="0"/>
    <x v="0"/>
  </r>
  <r>
    <x v="255"/>
    <x v="162"/>
    <x v="8"/>
    <x v="0"/>
    <x v="2"/>
    <x v="28"/>
    <x v="1"/>
    <x v="739"/>
    <x v="6"/>
    <x v="4"/>
    <x v="0"/>
    <x v="0"/>
    <x v="1"/>
    <x v="0"/>
    <x v="0"/>
    <x v="11"/>
    <x v="3"/>
    <x v="156"/>
    <x v="37"/>
    <x v="0"/>
    <x v="3"/>
    <x v="1"/>
  </r>
  <r>
    <x v="256"/>
    <x v="11"/>
    <x v="3"/>
    <x v="0"/>
    <x v="31"/>
    <x v="941"/>
    <x v="32"/>
    <x v="692"/>
    <x v="6"/>
    <x v="4"/>
    <x v="0"/>
    <x v="1"/>
    <x v="3"/>
    <x v="3"/>
    <x v="2"/>
    <x v="5"/>
    <x v="3"/>
    <x v="845"/>
    <x v="954"/>
    <x v="0"/>
    <x v="0"/>
    <x v="0"/>
  </r>
  <r>
    <x v="257"/>
    <x v="35"/>
    <x v="7"/>
    <x v="1"/>
    <x v="17"/>
    <x v="321"/>
    <x v="13"/>
    <x v="579"/>
    <x v="7"/>
    <x v="4"/>
    <x v="0"/>
    <x v="1"/>
    <x v="2"/>
    <x v="2"/>
    <x v="5"/>
    <x v="5"/>
    <x v="3"/>
    <x v="463"/>
    <x v="340"/>
    <x v="0"/>
    <x v="2"/>
    <x v="3"/>
  </r>
  <r>
    <x v="258"/>
    <x v="147"/>
    <x v="8"/>
    <x v="1"/>
    <x v="8"/>
    <x v="159"/>
    <x v="7"/>
    <x v="348"/>
    <x v="9"/>
    <x v="0"/>
    <x v="0"/>
    <x v="3"/>
    <x v="2"/>
    <x v="1"/>
    <x v="7"/>
    <x v="9"/>
    <x v="1"/>
    <x v="25"/>
    <x v="147"/>
    <x v="0"/>
    <x v="3"/>
    <x v="2"/>
  </r>
  <r>
    <x v="259"/>
    <x v="169"/>
    <x v="6"/>
    <x v="0"/>
    <x v="11"/>
    <x v="442"/>
    <x v="13"/>
    <x v="380"/>
    <x v="0"/>
    <x v="2"/>
    <x v="0"/>
    <x v="1"/>
    <x v="0"/>
    <x v="1"/>
    <x v="7"/>
    <x v="9"/>
    <x v="2"/>
    <x v="388"/>
    <x v="440"/>
    <x v="0"/>
    <x v="1"/>
    <x v="3"/>
  </r>
  <r>
    <x v="260"/>
    <x v="125"/>
    <x v="2"/>
    <x v="1"/>
    <x v="23"/>
    <x v="427"/>
    <x v="17"/>
    <x v="433"/>
    <x v="9"/>
    <x v="3"/>
    <x v="0"/>
    <x v="1"/>
    <x v="0"/>
    <x v="2"/>
    <x v="3"/>
    <x v="4"/>
    <x v="0"/>
    <x v="0"/>
    <x v="364"/>
    <x v="0"/>
    <x v="1"/>
    <x v="0"/>
  </r>
  <r>
    <x v="261"/>
    <x v="67"/>
    <x v="8"/>
    <x v="0"/>
    <x v="18"/>
    <x v="261"/>
    <x v="9"/>
    <x v="579"/>
    <x v="5"/>
    <x v="0"/>
    <x v="0"/>
    <x v="3"/>
    <x v="2"/>
    <x v="2"/>
    <x v="5"/>
    <x v="5"/>
    <x v="1"/>
    <x v="51"/>
    <x v="236"/>
    <x v="0"/>
    <x v="2"/>
    <x v="3"/>
  </r>
  <r>
    <x v="262"/>
    <x v="12"/>
    <x v="1"/>
    <x v="0"/>
    <x v="29"/>
    <x v="580"/>
    <x v="24"/>
    <x v="11"/>
    <x v="0"/>
    <x v="2"/>
    <x v="0"/>
    <x v="1"/>
    <x v="0"/>
    <x v="3"/>
    <x v="2"/>
    <x v="3"/>
    <x v="2"/>
    <x v="476"/>
    <x v="568"/>
    <x v="0"/>
    <x v="1"/>
    <x v="0"/>
  </r>
  <r>
    <x v="263"/>
    <x v="151"/>
    <x v="0"/>
    <x v="1"/>
    <x v="9"/>
    <x v="0"/>
    <x v="0"/>
    <x v="357"/>
    <x v="5"/>
    <x v="2"/>
    <x v="0"/>
    <x v="0"/>
    <x v="1"/>
    <x v="1"/>
    <x v="10"/>
    <x v="0"/>
    <x v="2"/>
    <x v="29"/>
    <x v="5"/>
    <x v="0"/>
    <x v="3"/>
    <x v="1"/>
  </r>
  <r>
    <x v="264"/>
    <x v="87"/>
    <x v="8"/>
    <x v="0"/>
    <x v="18"/>
    <x v="364"/>
    <x v="13"/>
    <x v="847"/>
    <x v="2"/>
    <x v="0"/>
    <x v="0"/>
    <x v="1"/>
    <x v="2"/>
    <x v="2"/>
    <x v="7"/>
    <x v="7"/>
    <x v="1"/>
    <x v="93"/>
    <x v="338"/>
    <x v="0"/>
    <x v="2"/>
    <x v="3"/>
  </r>
  <r>
    <x v="265"/>
    <x v="162"/>
    <x v="1"/>
    <x v="1"/>
    <x v="1"/>
    <x v="31"/>
    <x v="3"/>
    <x v="618"/>
    <x v="5"/>
    <x v="1"/>
    <x v="0"/>
    <x v="2"/>
    <x v="1"/>
    <x v="0"/>
    <x v="10"/>
    <x v="0"/>
    <x v="4"/>
    <x v="269"/>
    <x v="48"/>
    <x v="0"/>
    <x v="3"/>
    <x v="2"/>
  </r>
  <r>
    <x v="266"/>
    <x v="138"/>
    <x v="7"/>
    <x v="0"/>
    <x v="21"/>
    <x v="293"/>
    <x v="12"/>
    <x v="228"/>
    <x v="8"/>
    <x v="4"/>
    <x v="0"/>
    <x v="1"/>
    <x v="2"/>
    <x v="2"/>
    <x v="6"/>
    <x v="10"/>
    <x v="3"/>
    <x v="446"/>
    <x v="315"/>
    <x v="0"/>
    <x v="2"/>
    <x v="3"/>
  </r>
  <r>
    <x v="267"/>
    <x v="114"/>
    <x v="4"/>
    <x v="1"/>
    <x v="31"/>
    <x v="577"/>
    <x v="23"/>
    <x v="837"/>
    <x v="3"/>
    <x v="4"/>
    <x v="0"/>
    <x v="1"/>
    <x v="0"/>
    <x v="3"/>
    <x v="1"/>
    <x v="3"/>
    <x v="3"/>
    <x v="697"/>
    <x v="609"/>
    <x v="0"/>
    <x v="1"/>
    <x v="0"/>
  </r>
  <r>
    <x v="268"/>
    <x v="36"/>
    <x v="3"/>
    <x v="0"/>
    <x v="18"/>
    <x v="310"/>
    <x v="13"/>
    <x v="659"/>
    <x v="8"/>
    <x v="2"/>
    <x v="0"/>
    <x v="1"/>
    <x v="2"/>
    <x v="2"/>
    <x v="2"/>
    <x v="2"/>
    <x v="2"/>
    <x v="284"/>
    <x v="302"/>
    <x v="0"/>
    <x v="2"/>
    <x v="3"/>
  </r>
  <r>
    <x v="269"/>
    <x v="98"/>
    <x v="7"/>
    <x v="0"/>
    <x v="36"/>
    <x v="674"/>
    <x v="27"/>
    <x v="534"/>
    <x v="4"/>
    <x v="1"/>
    <x v="0"/>
    <x v="1"/>
    <x v="3"/>
    <x v="3"/>
    <x v="10"/>
    <x v="11"/>
    <x v="4"/>
    <x v="861"/>
    <x v="762"/>
    <x v="0"/>
    <x v="0"/>
    <x v="0"/>
  </r>
  <r>
    <x v="270"/>
    <x v="77"/>
    <x v="1"/>
    <x v="0"/>
    <x v="12"/>
    <x v="171"/>
    <x v="8"/>
    <x v="462"/>
    <x v="9"/>
    <x v="1"/>
    <x v="0"/>
    <x v="3"/>
    <x v="2"/>
    <x v="1"/>
    <x v="3"/>
    <x v="7"/>
    <x v="4"/>
    <x v="466"/>
    <x v="207"/>
    <x v="0"/>
    <x v="3"/>
    <x v="3"/>
  </r>
  <r>
    <x v="271"/>
    <x v="93"/>
    <x v="0"/>
    <x v="0"/>
    <x v="13"/>
    <x v="299"/>
    <x v="9"/>
    <x v="443"/>
    <x v="5"/>
    <x v="1"/>
    <x v="1"/>
    <x v="3"/>
    <x v="2"/>
    <x v="1"/>
    <x v="4"/>
    <x v="9"/>
    <x v="4"/>
    <x v="601"/>
    <x v="349"/>
    <x v="1"/>
    <x v="2"/>
    <x v="3"/>
  </r>
  <r>
    <x v="272"/>
    <x v="73"/>
    <x v="8"/>
    <x v="0"/>
    <x v="20"/>
    <x v="528"/>
    <x v="20"/>
    <x v="525"/>
    <x v="3"/>
    <x v="2"/>
    <x v="0"/>
    <x v="1"/>
    <x v="0"/>
    <x v="2"/>
    <x v="6"/>
    <x v="7"/>
    <x v="2"/>
    <x v="443"/>
    <x v="517"/>
    <x v="0"/>
    <x v="1"/>
    <x v="0"/>
  </r>
  <r>
    <x v="273"/>
    <x v="120"/>
    <x v="1"/>
    <x v="0"/>
    <x v="20"/>
    <x v="566"/>
    <x v="19"/>
    <x v="168"/>
    <x v="8"/>
    <x v="4"/>
    <x v="0"/>
    <x v="1"/>
    <x v="0"/>
    <x v="2"/>
    <x v="11"/>
    <x v="6"/>
    <x v="3"/>
    <x v="689"/>
    <x v="598"/>
    <x v="0"/>
    <x v="1"/>
    <x v="0"/>
  </r>
  <r>
    <x v="274"/>
    <x v="19"/>
    <x v="2"/>
    <x v="0"/>
    <x v="20"/>
    <x v="489"/>
    <x v="15"/>
    <x v="96"/>
    <x v="0"/>
    <x v="2"/>
    <x v="0"/>
    <x v="1"/>
    <x v="0"/>
    <x v="2"/>
    <x v="1"/>
    <x v="1"/>
    <x v="2"/>
    <x v="422"/>
    <x v="489"/>
    <x v="0"/>
    <x v="1"/>
    <x v="0"/>
  </r>
  <r>
    <x v="275"/>
    <x v="156"/>
    <x v="8"/>
    <x v="1"/>
    <x v="29"/>
    <x v="766"/>
    <x v="26"/>
    <x v="467"/>
    <x v="3"/>
    <x v="0"/>
    <x v="0"/>
    <x v="1"/>
    <x v="3"/>
    <x v="3"/>
    <x v="3"/>
    <x v="9"/>
    <x v="1"/>
    <x v="264"/>
    <x v="711"/>
    <x v="0"/>
    <x v="0"/>
    <x v="0"/>
  </r>
  <r>
    <x v="276"/>
    <x v="171"/>
    <x v="0"/>
    <x v="0"/>
    <x v="17"/>
    <x v="381"/>
    <x v="16"/>
    <x v="282"/>
    <x v="5"/>
    <x v="3"/>
    <x v="0"/>
    <x v="1"/>
    <x v="2"/>
    <x v="2"/>
    <x v="1"/>
    <x v="8"/>
    <x v="0"/>
    <x v="0"/>
    <x v="324"/>
    <x v="0"/>
    <x v="2"/>
    <x v="0"/>
  </r>
  <r>
    <x v="277"/>
    <x v="40"/>
    <x v="2"/>
    <x v="0"/>
    <x v="13"/>
    <x v="197"/>
    <x v="5"/>
    <x v="110"/>
    <x v="5"/>
    <x v="4"/>
    <x v="0"/>
    <x v="3"/>
    <x v="2"/>
    <x v="1"/>
    <x v="3"/>
    <x v="6"/>
    <x v="3"/>
    <x v="383"/>
    <x v="225"/>
    <x v="0"/>
    <x v="2"/>
    <x v="2"/>
  </r>
  <r>
    <x v="278"/>
    <x v="148"/>
    <x v="1"/>
    <x v="1"/>
    <x v="6"/>
    <x v="144"/>
    <x v="4"/>
    <x v="224"/>
    <x v="4"/>
    <x v="1"/>
    <x v="1"/>
    <x v="2"/>
    <x v="2"/>
    <x v="1"/>
    <x v="5"/>
    <x v="8"/>
    <x v="4"/>
    <x v="439"/>
    <x v="173"/>
    <x v="1"/>
    <x v="3"/>
    <x v="2"/>
  </r>
  <r>
    <x v="279"/>
    <x v="11"/>
    <x v="5"/>
    <x v="0"/>
    <x v="10"/>
    <x v="215"/>
    <x v="11"/>
    <x v="838"/>
    <x v="1"/>
    <x v="2"/>
    <x v="0"/>
    <x v="1"/>
    <x v="2"/>
    <x v="1"/>
    <x v="3"/>
    <x v="4"/>
    <x v="2"/>
    <x v="209"/>
    <x v="220"/>
    <x v="0"/>
    <x v="2"/>
    <x v="3"/>
  </r>
  <r>
    <x v="280"/>
    <x v="145"/>
    <x v="5"/>
    <x v="1"/>
    <x v="23"/>
    <x v="606"/>
    <x v="23"/>
    <x v="711"/>
    <x v="4"/>
    <x v="0"/>
    <x v="1"/>
    <x v="1"/>
    <x v="0"/>
    <x v="2"/>
    <x v="2"/>
    <x v="1"/>
    <x v="1"/>
    <x v="189"/>
    <x v="558"/>
    <x v="1"/>
    <x v="1"/>
    <x v="0"/>
  </r>
  <r>
    <x v="281"/>
    <x v="87"/>
    <x v="7"/>
    <x v="1"/>
    <x v="9"/>
    <x v="146"/>
    <x v="4"/>
    <x v="460"/>
    <x v="4"/>
    <x v="4"/>
    <x v="0"/>
    <x v="2"/>
    <x v="2"/>
    <x v="1"/>
    <x v="11"/>
    <x v="6"/>
    <x v="3"/>
    <x v="326"/>
    <x v="164"/>
    <x v="0"/>
    <x v="3"/>
    <x v="2"/>
  </r>
  <r>
    <x v="282"/>
    <x v="0"/>
    <x v="3"/>
    <x v="0"/>
    <x v="13"/>
    <x v="107"/>
    <x v="6"/>
    <x v="431"/>
    <x v="2"/>
    <x v="2"/>
    <x v="1"/>
    <x v="3"/>
    <x v="1"/>
    <x v="1"/>
    <x v="5"/>
    <x v="3"/>
    <x v="2"/>
    <x v="123"/>
    <x v="105"/>
    <x v="1"/>
    <x v="3"/>
    <x v="2"/>
  </r>
  <r>
    <x v="283"/>
    <x v="140"/>
    <x v="7"/>
    <x v="1"/>
    <x v="24"/>
    <x v="608"/>
    <x v="24"/>
    <x v="495"/>
    <x v="5"/>
    <x v="2"/>
    <x v="0"/>
    <x v="1"/>
    <x v="0"/>
    <x v="3"/>
    <x v="0"/>
    <x v="10"/>
    <x v="2"/>
    <x v="497"/>
    <x v="603"/>
    <x v="0"/>
    <x v="1"/>
    <x v="0"/>
  </r>
  <r>
    <x v="284"/>
    <x v="127"/>
    <x v="9"/>
    <x v="1"/>
    <x v="22"/>
    <x v="483"/>
    <x v="20"/>
    <x v="375"/>
    <x v="5"/>
    <x v="1"/>
    <x v="0"/>
    <x v="1"/>
    <x v="0"/>
    <x v="2"/>
    <x v="8"/>
    <x v="8"/>
    <x v="4"/>
    <x v="755"/>
    <x v="531"/>
    <x v="0"/>
    <x v="1"/>
    <x v="0"/>
  </r>
  <r>
    <x v="285"/>
    <x v="9"/>
    <x v="9"/>
    <x v="0"/>
    <x v="9"/>
    <x v="99"/>
    <x v="4"/>
    <x v="568"/>
    <x v="0"/>
    <x v="4"/>
    <x v="0"/>
    <x v="2"/>
    <x v="1"/>
    <x v="1"/>
    <x v="6"/>
    <x v="2"/>
    <x v="3"/>
    <x v="259"/>
    <x v="111"/>
    <x v="0"/>
    <x v="3"/>
    <x v="2"/>
  </r>
  <r>
    <x v="286"/>
    <x v="21"/>
    <x v="9"/>
    <x v="1"/>
    <x v="28"/>
    <x v="504"/>
    <x v="19"/>
    <x v="827"/>
    <x v="3"/>
    <x v="4"/>
    <x v="0"/>
    <x v="1"/>
    <x v="0"/>
    <x v="3"/>
    <x v="10"/>
    <x v="8"/>
    <x v="3"/>
    <x v="633"/>
    <x v="522"/>
    <x v="0"/>
    <x v="1"/>
    <x v="0"/>
  </r>
  <r>
    <x v="287"/>
    <x v="9"/>
    <x v="3"/>
    <x v="0"/>
    <x v="24"/>
    <x v="675"/>
    <x v="26"/>
    <x v="229"/>
    <x v="4"/>
    <x v="2"/>
    <x v="0"/>
    <x v="1"/>
    <x v="3"/>
    <x v="3"/>
    <x v="7"/>
    <x v="10"/>
    <x v="2"/>
    <x v="532"/>
    <x v="667"/>
    <x v="0"/>
    <x v="0"/>
    <x v="0"/>
  </r>
  <r>
    <x v="288"/>
    <x v="55"/>
    <x v="4"/>
    <x v="1"/>
    <x v="7"/>
    <x v="225"/>
    <x v="6"/>
    <x v="144"/>
    <x v="9"/>
    <x v="2"/>
    <x v="0"/>
    <x v="3"/>
    <x v="2"/>
    <x v="1"/>
    <x v="5"/>
    <x v="8"/>
    <x v="2"/>
    <x v="217"/>
    <x v="233"/>
    <x v="0"/>
    <x v="2"/>
    <x v="2"/>
  </r>
  <r>
    <x v="289"/>
    <x v="91"/>
    <x v="2"/>
    <x v="0"/>
    <x v="37"/>
    <x v="919"/>
    <x v="33"/>
    <x v="357"/>
    <x v="8"/>
    <x v="3"/>
    <x v="1"/>
    <x v="1"/>
    <x v="3"/>
    <x v="3"/>
    <x v="10"/>
    <x v="0"/>
    <x v="0"/>
    <x v="0"/>
    <x v="808"/>
    <x v="1"/>
    <x v="0"/>
    <x v="0"/>
  </r>
  <r>
    <x v="290"/>
    <x v="109"/>
    <x v="7"/>
    <x v="0"/>
    <x v="7"/>
    <x v="37"/>
    <x v="3"/>
    <x v="653"/>
    <x v="4"/>
    <x v="4"/>
    <x v="0"/>
    <x v="2"/>
    <x v="1"/>
    <x v="1"/>
    <x v="5"/>
    <x v="0"/>
    <x v="3"/>
    <x v="165"/>
    <x v="43"/>
    <x v="0"/>
    <x v="3"/>
    <x v="2"/>
  </r>
  <r>
    <x v="291"/>
    <x v="58"/>
    <x v="2"/>
    <x v="0"/>
    <x v="13"/>
    <x v="370"/>
    <x v="14"/>
    <x v="574"/>
    <x v="7"/>
    <x v="0"/>
    <x v="0"/>
    <x v="1"/>
    <x v="2"/>
    <x v="1"/>
    <x v="3"/>
    <x v="4"/>
    <x v="1"/>
    <x v="96"/>
    <x v="344"/>
    <x v="0"/>
    <x v="2"/>
    <x v="3"/>
  </r>
  <r>
    <x v="292"/>
    <x v="172"/>
    <x v="6"/>
    <x v="1"/>
    <x v="24"/>
    <x v="494"/>
    <x v="20"/>
    <x v="402"/>
    <x v="8"/>
    <x v="3"/>
    <x v="0"/>
    <x v="1"/>
    <x v="0"/>
    <x v="3"/>
    <x v="8"/>
    <x v="4"/>
    <x v="0"/>
    <x v="0"/>
    <x v="439"/>
    <x v="0"/>
    <x v="1"/>
    <x v="0"/>
  </r>
  <r>
    <x v="293"/>
    <x v="58"/>
    <x v="9"/>
    <x v="0"/>
    <x v="18"/>
    <x v="288"/>
    <x v="10"/>
    <x v="798"/>
    <x v="5"/>
    <x v="4"/>
    <x v="0"/>
    <x v="1"/>
    <x v="2"/>
    <x v="2"/>
    <x v="0"/>
    <x v="9"/>
    <x v="3"/>
    <x v="440"/>
    <x v="306"/>
    <x v="0"/>
    <x v="2"/>
    <x v="3"/>
  </r>
  <r>
    <x v="294"/>
    <x v="102"/>
    <x v="5"/>
    <x v="1"/>
    <x v="30"/>
    <x v="868"/>
    <x v="32"/>
    <x v="28"/>
    <x v="8"/>
    <x v="0"/>
    <x v="0"/>
    <x v="1"/>
    <x v="3"/>
    <x v="3"/>
    <x v="5"/>
    <x v="9"/>
    <x v="1"/>
    <x v="310"/>
    <x v="816"/>
    <x v="0"/>
    <x v="0"/>
    <x v="0"/>
  </r>
  <r>
    <x v="295"/>
    <x v="117"/>
    <x v="9"/>
    <x v="0"/>
    <x v="28"/>
    <x v="731"/>
    <x v="29"/>
    <x v="615"/>
    <x v="2"/>
    <x v="1"/>
    <x v="0"/>
    <x v="1"/>
    <x v="3"/>
    <x v="3"/>
    <x v="2"/>
    <x v="11"/>
    <x v="4"/>
    <x v="874"/>
    <x v="826"/>
    <x v="0"/>
    <x v="0"/>
    <x v="0"/>
  </r>
  <r>
    <x v="296"/>
    <x v="150"/>
    <x v="1"/>
    <x v="1"/>
    <x v="12"/>
    <x v="212"/>
    <x v="5"/>
    <x v="614"/>
    <x v="8"/>
    <x v="0"/>
    <x v="1"/>
    <x v="3"/>
    <x v="2"/>
    <x v="1"/>
    <x v="5"/>
    <x v="10"/>
    <x v="1"/>
    <x v="38"/>
    <x v="189"/>
    <x v="1"/>
    <x v="2"/>
    <x v="2"/>
  </r>
  <r>
    <x v="297"/>
    <x v="144"/>
    <x v="1"/>
    <x v="1"/>
    <x v="20"/>
    <x v="500"/>
    <x v="21"/>
    <x v="118"/>
    <x v="5"/>
    <x v="1"/>
    <x v="0"/>
    <x v="1"/>
    <x v="0"/>
    <x v="2"/>
    <x v="10"/>
    <x v="8"/>
    <x v="4"/>
    <x v="764"/>
    <x v="547"/>
    <x v="0"/>
    <x v="1"/>
    <x v="0"/>
  </r>
  <r>
    <x v="298"/>
    <x v="37"/>
    <x v="3"/>
    <x v="1"/>
    <x v="27"/>
    <x v="740"/>
    <x v="27"/>
    <x v="735"/>
    <x v="4"/>
    <x v="0"/>
    <x v="0"/>
    <x v="1"/>
    <x v="3"/>
    <x v="3"/>
    <x v="4"/>
    <x v="10"/>
    <x v="1"/>
    <x v="251"/>
    <x v="686"/>
    <x v="0"/>
    <x v="0"/>
    <x v="0"/>
  </r>
  <r>
    <x v="299"/>
    <x v="54"/>
    <x v="9"/>
    <x v="1"/>
    <x v="35"/>
    <x v="916"/>
    <x v="31"/>
    <x v="864"/>
    <x v="6"/>
    <x v="1"/>
    <x v="0"/>
    <x v="1"/>
    <x v="3"/>
    <x v="3"/>
    <x v="10"/>
    <x v="11"/>
    <x v="4"/>
    <x v="900"/>
    <x v="965"/>
    <x v="0"/>
    <x v="0"/>
    <x v="0"/>
  </r>
  <r>
    <x v="300"/>
    <x v="81"/>
    <x v="7"/>
    <x v="0"/>
    <x v="5"/>
    <x v="43"/>
    <x v="1"/>
    <x v="123"/>
    <x v="4"/>
    <x v="2"/>
    <x v="0"/>
    <x v="0"/>
    <x v="1"/>
    <x v="1"/>
    <x v="10"/>
    <x v="10"/>
    <x v="2"/>
    <x v="80"/>
    <x v="42"/>
    <x v="0"/>
    <x v="3"/>
    <x v="1"/>
  </r>
  <r>
    <x v="301"/>
    <x v="136"/>
    <x v="1"/>
    <x v="0"/>
    <x v="9"/>
    <x v="328"/>
    <x v="11"/>
    <x v="878"/>
    <x v="0"/>
    <x v="1"/>
    <x v="0"/>
    <x v="1"/>
    <x v="2"/>
    <x v="1"/>
    <x v="4"/>
    <x v="9"/>
    <x v="4"/>
    <x v="620"/>
    <x v="372"/>
    <x v="0"/>
    <x v="2"/>
    <x v="3"/>
  </r>
  <r>
    <x v="302"/>
    <x v="120"/>
    <x v="8"/>
    <x v="0"/>
    <x v="14"/>
    <x v="341"/>
    <x v="14"/>
    <x v="666"/>
    <x v="2"/>
    <x v="2"/>
    <x v="0"/>
    <x v="1"/>
    <x v="2"/>
    <x v="2"/>
    <x v="5"/>
    <x v="5"/>
    <x v="2"/>
    <x v="312"/>
    <x v="343"/>
    <x v="0"/>
    <x v="2"/>
    <x v="3"/>
  </r>
  <r>
    <x v="303"/>
    <x v="86"/>
    <x v="7"/>
    <x v="1"/>
    <x v="11"/>
    <x v="297"/>
    <x v="11"/>
    <x v="515"/>
    <x v="0"/>
    <x v="0"/>
    <x v="0"/>
    <x v="1"/>
    <x v="2"/>
    <x v="1"/>
    <x v="7"/>
    <x v="3"/>
    <x v="1"/>
    <x v="68"/>
    <x v="262"/>
    <x v="0"/>
    <x v="2"/>
    <x v="3"/>
  </r>
  <r>
    <x v="304"/>
    <x v="120"/>
    <x v="8"/>
    <x v="1"/>
    <x v="17"/>
    <x v="413"/>
    <x v="12"/>
    <x v="158"/>
    <x v="3"/>
    <x v="4"/>
    <x v="1"/>
    <x v="1"/>
    <x v="0"/>
    <x v="2"/>
    <x v="6"/>
    <x v="2"/>
    <x v="3"/>
    <x v="544"/>
    <x v="432"/>
    <x v="1"/>
    <x v="1"/>
    <x v="3"/>
  </r>
  <r>
    <x v="305"/>
    <x v="59"/>
    <x v="2"/>
    <x v="0"/>
    <x v="38"/>
    <x v="809"/>
    <x v="33"/>
    <x v="280"/>
    <x v="3"/>
    <x v="0"/>
    <x v="0"/>
    <x v="1"/>
    <x v="3"/>
    <x v="3"/>
    <x v="7"/>
    <x v="6"/>
    <x v="1"/>
    <x v="285"/>
    <x v="759"/>
    <x v="0"/>
    <x v="0"/>
    <x v="0"/>
  </r>
  <r>
    <x v="306"/>
    <x v="18"/>
    <x v="7"/>
    <x v="0"/>
    <x v="1"/>
    <x v="101"/>
    <x v="1"/>
    <x v="172"/>
    <x v="0"/>
    <x v="0"/>
    <x v="0"/>
    <x v="0"/>
    <x v="1"/>
    <x v="0"/>
    <x v="3"/>
    <x v="7"/>
    <x v="1"/>
    <x v="18"/>
    <x v="86"/>
    <x v="0"/>
    <x v="3"/>
    <x v="1"/>
  </r>
  <r>
    <x v="307"/>
    <x v="142"/>
    <x v="7"/>
    <x v="1"/>
    <x v="9"/>
    <x v="155"/>
    <x v="6"/>
    <x v="795"/>
    <x v="6"/>
    <x v="1"/>
    <x v="0"/>
    <x v="3"/>
    <x v="2"/>
    <x v="1"/>
    <x v="7"/>
    <x v="7"/>
    <x v="4"/>
    <x v="460"/>
    <x v="194"/>
    <x v="0"/>
    <x v="3"/>
    <x v="2"/>
  </r>
  <r>
    <x v="308"/>
    <x v="177"/>
    <x v="2"/>
    <x v="1"/>
    <x v="23"/>
    <x v="665"/>
    <x v="22"/>
    <x v="186"/>
    <x v="0"/>
    <x v="4"/>
    <x v="0"/>
    <x v="1"/>
    <x v="3"/>
    <x v="2"/>
    <x v="3"/>
    <x v="2"/>
    <x v="3"/>
    <x v="740"/>
    <x v="700"/>
    <x v="0"/>
    <x v="0"/>
    <x v="0"/>
  </r>
  <r>
    <x v="309"/>
    <x v="70"/>
    <x v="8"/>
    <x v="1"/>
    <x v="32"/>
    <x v="593"/>
    <x v="25"/>
    <x v="892"/>
    <x v="7"/>
    <x v="2"/>
    <x v="0"/>
    <x v="1"/>
    <x v="0"/>
    <x v="3"/>
    <x v="4"/>
    <x v="4"/>
    <x v="2"/>
    <x v="487"/>
    <x v="587"/>
    <x v="0"/>
    <x v="1"/>
    <x v="0"/>
  </r>
  <r>
    <x v="310"/>
    <x v="159"/>
    <x v="1"/>
    <x v="1"/>
    <x v="12"/>
    <x v="182"/>
    <x v="9"/>
    <x v="81"/>
    <x v="4"/>
    <x v="4"/>
    <x v="0"/>
    <x v="3"/>
    <x v="2"/>
    <x v="1"/>
    <x v="5"/>
    <x v="8"/>
    <x v="3"/>
    <x v="366"/>
    <x v="197"/>
    <x v="0"/>
    <x v="3"/>
    <x v="3"/>
  </r>
  <r>
    <x v="311"/>
    <x v="6"/>
    <x v="0"/>
    <x v="0"/>
    <x v="14"/>
    <x v="309"/>
    <x v="13"/>
    <x v="328"/>
    <x v="5"/>
    <x v="4"/>
    <x v="1"/>
    <x v="1"/>
    <x v="2"/>
    <x v="2"/>
    <x v="7"/>
    <x v="9"/>
    <x v="3"/>
    <x v="451"/>
    <x v="329"/>
    <x v="1"/>
    <x v="2"/>
    <x v="3"/>
  </r>
  <r>
    <x v="312"/>
    <x v="63"/>
    <x v="9"/>
    <x v="1"/>
    <x v="14"/>
    <x v="343"/>
    <x v="10"/>
    <x v="873"/>
    <x v="7"/>
    <x v="4"/>
    <x v="0"/>
    <x v="1"/>
    <x v="2"/>
    <x v="2"/>
    <x v="8"/>
    <x v="6"/>
    <x v="3"/>
    <x v="484"/>
    <x v="368"/>
    <x v="0"/>
    <x v="2"/>
    <x v="3"/>
  </r>
  <r>
    <x v="313"/>
    <x v="159"/>
    <x v="2"/>
    <x v="0"/>
    <x v="2"/>
    <x v="102"/>
    <x v="4"/>
    <x v="405"/>
    <x v="1"/>
    <x v="4"/>
    <x v="0"/>
    <x v="2"/>
    <x v="1"/>
    <x v="0"/>
    <x v="0"/>
    <x v="6"/>
    <x v="3"/>
    <x v="266"/>
    <x v="114"/>
    <x v="0"/>
    <x v="3"/>
    <x v="2"/>
  </r>
  <r>
    <x v="314"/>
    <x v="66"/>
    <x v="0"/>
    <x v="1"/>
    <x v="10"/>
    <x v="48"/>
    <x v="4"/>
    <x v="896"/>
    <x v="0"/>
    <x v="2"/>
    <x v="0"/>
    <x v="2"/>
    <x v="1"/>
    <x v="1"/>
    <x v="7"/>
    <x v="5"/>
    <x v="2"/>
    <x v="88"/>
    <x v="51"/>
    <x v="0"/>
    <x v="3"/>
    <x v="2"/>
  </r>
  <r>
    <x v="315"/>
    <x v="141"/>
    <x v="5"/>
    <x v="0"/>
    <x v="27"/>
    <x v="651"/>
    <x v="27"/>
    <x v="235"/>
    <x v="4"/>
    <x v="4"/>
    <x v="0"/>
    <x v="1"/>
    <x v="3"/>
    <x v="3"/>
    <x v="2"/>
    <x v="0"/>
    <x v="3"/>
    <x v="735"/>
    <x v="687"/>
    <x v="0"/>
    <x v="0"/>
    <x v="0"/>
  </r>
  <r>
    <x v="316"/>
    <x v="67"/>
    <x v="3"/>
    <x v="0"/>
    <x v="20"/>
    <x v="466"/>
    <x v="19"/>
    <x v="302"/>
    <x v="3"/>
    <x v="4"/>
    <x v="0"/>
    <x v="1"/>
    <x v="0"/>
    <x v="2"/>
    <x v="1"/>
    <x v="3"/>
    <x v="3"/>
    <x v="607"/>
    <x v="491"/>
    <x v="0"/>
    <x v="1"/>
    <x v="0"/>
  </r>
  <r>
    <x v="317"/>
    <x v="165"/>
    <x v="4"/>
    <x v="0"/>
    <x v="26"/>
    <x v="713"/>
    <x v="27"/>
    <x v="260"/>
    <x v="8"/>
    <x v="4"/>
    <x v="1"/>
    <x v="1"/>
    <x v="3"/>
    <x v="3"/>
    <x v="10"/>
    <x v="10"/>
    <x v="3"/>
    <x v="760"/>
    <x v="767"/>
    <x v="1"/>
    <x v="0"/>
    <x v="0"/>
  </r>
  <r>
    <x v="318"/>
    <x v="184"/>
    <x v="2"/>
    <x v="0"/>
    <x v="23"/>
    <x v="552"/>
    <x v="19"/>
    <x v="569"/>
    <x v="5"/>
    <x v="0"/>
    <x v="0"/>
    <x v="1"/>
    <x v="0"/>
    <x v="2"/>
    <x v="10"/>
    <x v="2"/>
    <x v="1"/>
    <x v="171"/>
    <x v="516"/>
    <x v="0"/>
    <x v="1"/>
    <x v="0"/>
  </r>
  <r>
    <x v="319"/>
    <x v="115"/>
    <x v="8"/>
    <x v="1"/>
    <x v="23"/>
    <x v="652"/>
    <x v="23"/>
    <x v="15"/>
    <x v="1"/>
    <x v="4"/>
    <x v="0"/>
    <x v="1"/>
    <x v="3"/>
    <x v="2"/>
    <x v="1"/>
    <x v="4"/>
    <x v="3"/>
    <x v="736"/>
    <x v="688"/>
    <x v="0"/>
    <x v="0"/>
    <x v="0"/>
  </r>
  <r>
    <x v="320"/>
    <x v="186"/>
    <x v="0"/>
    <x v="0"/>
    <x v="5"/>
    <x v="176"/>
    <x v="6"/>
    <x v="391"/>
    <x v="6"/>
    <x v="3"/>
    <x v="0"/>
    <x v="3"/>
    <x v="2"/>
    <x v="1"/>
    <x v="9"/>
    <x v="0"/>
    <x v="0"/>
    <x v="0"/>
    <x v="134"/>
    <x v="0"/>
    <x v="3"/>
    <x v="2"/>
  </r>
  <r>
    <x v="321"/>
    <x v="121"/>
    <x v="8"/>
    <x v="1"/>
    <x v="37"/>
    <x v="790"/>
    <x v="30"/>
    <x v="181"/>
    <x v="8"/>
    <x v="4"/>
    <x v="0"/>
    <x v="1"/>
    <x v="3"/>
    <x v="3"/>
    <x v="10"/>
    <x v="11"/>
    <x v="3"/>
    <x v="790"/>
    <x v="842"/>
    <x v="0"/>
    <x v="0"/>
    <x v="0"/>
  </r>
  <r>
    <x v="322"/>
    <x v="148"/>
    <x v="0"/>
    <x v="1"/>
    <x v="28"/>
    <x v="703"/>
    <x v="28"/>
    <x v="56"/>
    <x v="1"/>
    <x v="0"/>
    <x v="0"/>
    <x v="1"/>
    <x v="3"/>
    <x v="3"/>
    <x v="4"/>
    <x v="10"/>
    <x v="1"/>
    <x v="234"/>
    <x v="659"/>
    <x v="0"/>
    <x v="0"/>
    <x v="0"/>
  </r>
  <r>
    <x v="323"/>
    <x v="195"/>
    <x v="5"/>
    <x v="0"/>
    <x v="19"/>
    <x v="388"/>
    <x v="16"/>
    <x v="361"/>
    <x v="3"/>
    <x v="4"/>
    <x v="0"/>
    <x v="1"/>
    <x v="0"/>
    <x v="2"/>
    <x v="1"/>
    <x v="2"/>
    <x v="3"/>
    <x v="522"/>
    <x v="411"/>
    <x v="0"/>
    <x v="1"/>
    <x v="0"/>
  </r>
  <r>
    <x v="324"/>
    <x v="88"/>
    <x v="4"/>
    <x v="1"/>
    <x v="37"/>
    <x v="844"/>
    <x v="33"/>
    <x v="506"/>
    <x v="4"/>
    <x v="1"/>
    <x v="0"/>
    <x v="1"/>
    <x v="3"/>
    <x v="3"/>
    <x v="9"/>
    <x v="0"/>
    <x v="4"/>
    <x v="887"/>
    <x v="921"/>
    <x v="0"/>
    <x v="0"/>
    <x v="0"/>
  </r>
  <r>
    <x v="325"/>
    <x v="72"/>
    <x v="3"/>
    <x v="1"/>
    <x v="37"/>
    <x v="950"/>
    <x v="34"/>
    <x v="70"/>
    <x v="4"/>
    <x v="4"/>
    <x v="0"/>
    <x v="1"/>
    <x v="3"/>
    <x v="3"/>
    <x v="5"/>
    <x v="2"/>
    <x v="3"/>
    <x v="851"/>
    <x v="961"/>
    <x v="0"/>
    <x v="0"/>
    <x v="0"/>
  </r>
  <r>
    <x v="326"/>
    <x v="190"/>
    <x v="3"/>
    <x v="0"/>
    <x v="25"/>
    <x v="761"/>
    <x v="25"/>
    <x v="108"/>
    <x v="4"/>
    <x v="1"/>
    <x v="0"/>
    <x v="1"/>
    <x v="3"/>
    <x v="3"/>
    <x v="9"/>
    <x v="4"/>
    <x v="4"/>
    <x v="880"/>
    <x v="855"/>
    <x v="0"/>
    <x v="0"/>
    <x v="0"/>
  </r>
  <r>
    <x v="327"/>
    <x v="90"/>
    <x v="2"/>
    <x v="0"/>
    <x v="21"/>
    <x v="630"/>
    <x v="23"/>
    <x v="531"/>
    <x v="7"/>
    <x v="4"/>
    <x v="0"/>
    <x v="1"/>
    <x v="3"/>
    <x v="2"/>
    <x v="6"/>
    <x v="10"/>
    <x v="3"/>
    <x v="726"/>
    <x v="656"/>
    <x v="0"/>
    <x v="0"/>
    <x v="0"/>
  </r>
  <r>
    <x v="328"/>
    <x v="142"/>
    <x v="5"/>
    <x v="0"/>
    <x v="22"/>
    <x v="564"/>
    <x v="20"/>
    <x v="16"/>
    <x v="3"/>
    <x v="4"/>
    <x v="0"/>
    <x v="1"/>
    <x v="0"/>
    <x v="2"/>
    <x v="2"/>
    <x v="4"/>
    <x v="3"/>
    <x v="687"/>
    <x v="596"/>
    <x v="0"/>
    <x v="1"/>
    <x v="0"/>
  </r>
  <r>
    <x v="329"/>
    <x v="43"/>
    <x v="3"/>
    <x v="1"/>
    <x v="32"/>
    <x v="800"/>
    <x v="32"/>
    <x v="661"/>
    <x v="9"/>
    <x v="2"/>
    <x v="0"/>
    <x v="1"/>
    <x v="3"/>
    <x v="3"/>
    <x v="6"/>
    <x v="2"/>
    <x v="2"/>
    <x v="608"/>
    <x v="802"/>
    <x v="0"/>
    <x v="0"/>
    <x v="0"/>
  </r>
  <r>
    <x v="330"/>
    <x v="25"/>
    <x v="7"/>
    <x v="0"/>
    <x v="10"/>
    <x v="333"/>
    <x v="12"/>
    <x v="833"/>
    <x v="6"/>
    <x v="2"/>
    <x v="0"/>
    <x v="1"/>
    <x v="2"/>
    <x v="1"/>
    <x v="0"/>
    <x v="11"/>
    <x v="2"/>
    <x v="303"/>
    <x v="328"/>
    <x v="0"/>
    <x v="2"/>
    <x v="3"/>
  </r>
  <r>
    <x v="331"/>
    <x v="37"/>
    <x v="1"/>
    <x v="0"/>
    <x v="33"/>
    <x v="623"/>
    <x v="25"/>
    <x v="230"/>
    <x v="2"/>
    <x v="4"/>
    <x v="0"/>
    <x v="1"/>
    <x v="3"/>
    <x v="3"/>
    <x v="0"/>
    <x v="11"/>
    <x v="3"/>
    <x v="721"/>
    <x v="651"/>
    <x v="0"/>
    <x v="0"/>
    <x v="0"/>
  </r>
  <r>
    <x v="332"/>
    <x v="80"/>
    <x v="9"/>
    <x v="1"/>
    <x v="12"/>
    <x v="208"/>
    <x v="10"/>
    <x v="699"/>
    <x v="9"/>
    <x v="1"/>
    <x v="1"/>
    <x v="1"/>
    <x v="2"/>
    <x v="1"/>
    <x v="6"/>
    <x v="8"/>
    <x v="4"/>
    <x v="516"/>
    <x v="258"/>
    <x v="1"/>
    <x v="2"/>
    <x v="3"/>
  </r>
  <r>
    <x v="333"/>
    <x v="2"/>
    <x v="2"/>
    <x v="1"/>
    <x v="25"/>
    <x v="491"/>
    <x v="17"/>
    <x v="405"/>
    <x v="0"/>
    <x v="0"/>
    <x v="0"/>
    <x v="1"/>
    <x v="0"/>
    <x v="3"/>
    <x v="0"/>
    <x v="6"/>
    <x v="1"/>
    <x v="139"/>
    <x v="470"/>
    <x v="0"/>
    <x v="1"/>
    <x v="0"/>
  </r>
  <r>
    <x v="334"/>
    <x v="134"/>
    <x v="0"/>
    <x v="0"/>
    <x v="1"/>
    <x v="4"/>
    <x v="0"/>
    <x v="204"/>
    <x v="7"/>
    <x v="2"/>
    <x v="0"/>
    <x v="0"/>
    <x v="1"/>
    <x v="0"/>
    <x v="6"/>
    <x v="9"/>
    <x v="2"/>
    <x v="31"/>
    <x v="7"/>
    <x v="0"/>
    <x v="3"/>
    <x v="1"/>
  </r>
  <r>
    <x v="335"/>
    <x v="103"/>
    <x v="4"/>
    <x v="1"/>
    <x v="17"/>
    <x v="480"/>
    <x v="16"/>
    <x v="330"/>
    <x v="6"/>
    <x v="2"/>
    <x v="0"/>
    <x v="1"/>
    <x v="0"/>
    <x v="2"/>
    <x v="6"/>
    <x v="10"/>
    <x v="2"/>
    <x v="416"/>
    <x v="482"/>
    <x v="0"/>
    <x v="1"/>
    <x v="0"/>
  </r>
  <r>
    <x v="336"/>
    <x v="159"/>
    <x v="6"/>
    <x v="0"/>
    <x v="29"/>
    <x v="690"/>
    <x v="23"/>
    <x v="117"/>
    <x v="4"/>
    <x v="4"/>
    <x v="1"/>
    <x v="1"/>
    <x v="3"/>
    <x v="3"/>
    <x v="6"/>
    <x v="8"/>
    <x v="3"/>
    <x v="748"/>
    <x v="735"/>
    <x v="1"/>
    <x v="0"/>
    <x v="0"/>
  </r>
  <r>
    <x v="337"/>
    <x v="123"/>
    <x v="0"/>
    <x v="0"/>
    <x v="24"/>
    <x v="448"/>
    <x v="16"/>
    <x v="697"/>
    <x v="1"/>
    <x v="1"/>
    <x v="0"/>
    <x v="1"/>
    <x v="0"/>
    <x v="3"/>
    <x v="4"/>
    <x v="7"/>
    <x v="4"/>
    <x v="731"/>
    <x v="498"/>
    <x v="0"/>
    <x v="1"/>
    <x v="0"/>
  </r>
  <r>
    <x v="338"/>
    <x v="106"/>
    <x v="8"/>
    <x v="1"/>
    <x v="9"/>
    <x v="77"/>
    <x v="1"/>
    <x v="507"/>
    <x v="2"/>
    <x v="4"/>
    <x v="0"/>
    <x v="0"/>
    <x v="1"/>
    <x v="1"/>
    <x v="6"/>
    <x v="1"/>
    <x v="3"/>
    <x v="225"/>
    <x v="92"/>
    <x v="0"/>
    <x v="3"/>
    <x v="1"/>
  </r>
  <r>
    <x v="339"/>
    <x v="45"/>
    <x v="2"/>
    <x v="1"/>
    <x v="22"/>
    <x v="454"/>
    <x v="14"/>
    <x v="61"/>
    <x v="4"/>
    <x v="0"/>
    <x v="0"/>
    <x v="1"/>
    <x v="0"/>
    <x v="2"/>
    <x v="10"/>
    <x v="11"/>
    <x v="1"/>
    <x v="122"/>
    <x v="429"/>
    <x v="0"/>
    <x v="1"/>
    <x v="3"/>
  </r>
  <r>
    <x v="340"/>
    <x v="169"/>
    <x v="4"/>
    <x v="1"/>
    <x v="11"/>
    <x v="111"/>
    <x v="6"/>
    <x v="561"/>
    <x v="2"/>
    <x v="2"/>
    <x v="0"/>
    <x v="3"/>
    <x v="2"/>
    <x v="1"/>
    <x v="5"/>
    <x v="10"/>
    <x v="2"/>
    <x v="127"/>
    <x v="107"/>
    <x v="0"/>
    <x v="3"/>
    <x v="2"/>
  </r>
  <r>
    <x v="341"/>
    <x v="133"/>
    <x v="6"/>
    <x v="0"/>
    <x v="23"/>
    <x v="404"/>
    <x v="14"/>
    <x v="167"/>
    <x v="8"/>
    <x v="0"/>
    <x v="0"/>
    <x v="1"/>
    <x v="0"/>
    <x v="2"/>
    <x v="9"/>
    <x v="6"/>
    <x v="1"/>
    <x v="109"/>
    <x v="374"/>
    <x v="0"/>
    <x v="1"/>
    <x v="3"/>
  </r>
  <r>
    <x v="342"/>
    <x v="94"/>
    <x v="5"/>
    <x v="0"/>
    <x v="28"/>
    <x v="900"/>
    <x v="30"/>
    <x v="155"/>
    <x v="5"/>
    <x v="2"/>
    <x v="0"/>
    <x v="1"/>
    <x v="3"/>
    <x v="3"/>
    <x v="1"/>
    <x v="1"/>
    <x v="2"/>
    <x v="648"/>
    <x v="889"/>
    <x v="0"/>
    <x v="0"/>
    <x v="0"/>
  </r>
  <r>
    <x v="343"/>
    <x v="37"/>
    <x v="7"/>
    <x v="1"/>
    <x v="3"/>
    <x v="40"/>
    <x v="3"/>
    <x v="842"/>
    <x v="8"/>
    <x v="4"/>
    <x v="0"/>
    <x v="2"/>
    <x v="1"/>
    <x v="0"/>
    <x v="4"/>
    <x v="6"/>
    <x v="3"/>
    <x v="172"/>
    <x v="47"/>
    <x v="0"/>
    <x v="3"/>
    <x v="2"/>
  </r>
  <r>
    <x v="344"/>
    <x v="130"/>
    <x v="2"/>
    <x v="1"/>
    <x v="34"/>
    <x v="806"/>
    <x v="31"/>
    <x v="308"/>
    <x v="7"/>
    <x v="2"/>
    <x v="1"/>
    <x v="1"/>
    <x v="3"/>
    <x v="3"/>
    <x v="7"/>
    <x v="4"/>
    <x v="2"/>
    <x v="610"/>
    <x v="805"/>
    <x v="1"/>
    <x v="0"/>
    <x v="0"/>
  </r>
  <r>
    <x v="345"/>
    <x v="106"/>
    <x v="3"/>
    <x v="1"/>
    <x v="5"/>
    <x v="174"/>
    <x v="5"/>
    <x v="509"/>
    <x v="2"/>
    <x v="2"/>
    <x v="0"/>
    <x v="3"/>
    <x v="2"/>
    <x v="1"/>
    <x v="9"/>
    <x v="1"/>
    <x v="2"/>
    <x v="176"/>
    <x v="170"/>
    <x v="0"/>
    <x v="3"/>
    <x v="2"/>
  </r>
  <r>
    <x v="346"/>
    <x v="110"/>
    <x v="7"/>
    <x v="0"/>
    <x v="3"/>
    <x v="60"/>
    <x v="0"/>
    <x v="292"/>
    <x v="1"/>
    <x v="1"/>
    <x v="1"/>
    <x v="0"/>
    <x v="1"/>
    <x v="0"/>
    <x v="4"/>
    <x v="0"/>
    <x v="4"/>
    <x v="338"/>
    <x v="84"/>
    <x v="1"/>
    <x v="3"/>
    <x v="1"/>
  </r>
  <r>
    <x v="347"/>
    <x v="175"/>
    <x v="1"/>
    <x v="0"/>
    <x v="10"/>
    <x v="216"/>
    <x v="6"/>
    <x v="347"/>
    <x v="5"/>
    <x v="4"/>
    <x v="0"/>
    <x v="3"/>
    <x v="2"/>
    <x v="1"/>
    <x v="6"/>
    <x v="9"/>
    <x v="3"/>
    <x v="397"/>
    <x v="242"/>
    <x v="0"/>
    <x v="2"/>
    <x v="2"/>
  </r>
  <r>
    <x v="348"/>
    <x v="106"/>
    <x v="9"/>
    <x v="1"/>
    <x v="11"/>
    <x v="283"/>
    <x v="8"/>
    <x v="601"/>
    <x v="1"/>
    <x v="0"/>
    <x v="0"/>
    <x v="3"/>
    <x v="2"/>
    <x v="1"/>
    <x v="8"/>
    <x v="4"/>
    <x v="1"/>
    <x v="62"/>
    <x v="252"/>
    <x v="0"/>
    <x v="2"/>
    <x v="3"/>
  </r>
  <r>
    <x v="349"/>
    <x v="124"/>
    <x v="6"/>
    <x v="1"/>
    <x v="22"/>
    <x v="290"/>
    <x v="13"/>
    <x v="746"/>
    <x v="0"/>
    <x v="4"/>
    <x v="0"/>
    <x v="1"/>
    <x v="2"/>
    <x v="2"/>
    <x v="11"/>
    <x v="0"/>
    <x v="3"/>
    <x v="442"/>
    <x v="307"/>
    <x v="0"/>
    <x v="2"/>
    <x v="3"/>
  </r>
  <r>
    <x v="350"/>
    <x v="34"/>
    <x v="4"/>
    <x v="0"/>
    <x v="11"/>
    <x v="34"/>
    <x v="3"/>
    <x v="316"/>
    <x v="7"/>
    <x v="1"/>
    <x v="1"/>
    <x v="2"/>
    <x v="1"/>
    <x v="1"/>
    <x v="0"/>
    <x v="6"/>
    <x v="4"/>
    <x v="277"/>
    <x v="52"/>
    <x v="1"/>
    <x v="3"/>
    <x v="2"/>
  </r>
  <r>
    <x v="351"/>
    <x v="45"/>
    <x v="8"/>
    <x v="1"/>
    <x v="10"/>
    <x v="156"/>
    <x v="9"/>
    <x v="57"/>
    <x v="5"/>
    <x v="2"/>
    <x v="1"/>
    <x v="3"/>
    <x v="2"/>
    <x v="1"/>
    <x v="6"/>
    <x v="10"/>
    <x v="2"/>
    <x v="163"/>
    <x v="158"/>
    <x v="1"/>
    <x v="3"/>
    <x v="3"/>
  </r>
  <r>
    <x v="352"/>
    <x v="23"/>
    <x v="9"/>
    <x v="0"/>
    <x v="12"/>
    <x v="108"/>
    <x v="6"/>
    <x v="117"/>
    <x v="6"/>
    <x v="1"/>
    <x v="1"/>
    <x v="3"/>
    <x v="2"/>
    <x v="1"/>
    <x v="6"/>
    <x v="8"/>
    <x v="4"/>
    <x v="402"/>
    <x v="141"/>
    <x v="1"/>
    <x v="3"/>
    <x v="2"/>
  </r>
  <r>
    <x v="353"/>
    <x v="22"/>
    <x v="7"/>
    <x v="1"/>
    <x v="15"/>
    <x v="375"/>
    <x v="12"/>
    <x v="452"/>
    <x v="3"/>
    <x v="4"/>
    <x v="0"/>
    <x v="1"/>
    <x v="2"/>
    <x v="2"/>
    <x v="6"/>
    <x v="1"/>
    <x v="3"/>
    <x v="512"/>
    <x v="395"/>
    <x v="0"/>
    <x v="2"/>
    <x v="3"/>
  </r>
  <r>
    <x v="354"/>
    <x v="58"/>
    <x v="5"/>
    <x v="1"/>
    <x v="8"/>
    <x v="0"/>
    <x v="0"/>
    <x v="668"/>
    <x v="8"/>
    <x v="0"/>
    <x v="0"/>
    <x v="0"/>
    <x v="1"/>
    <x v="1"/>
    <x v="2"/>
    <x v="6"/>
    <x v="1"/>
    <x v="1"/>
    <x v="1"/>
    <x v="0"/>
    <x v="3"/>
    <x v="1"/>
  </r>
  <r>
    <x v="355"/>
    <x v="36"/>
    <x v="4"/>
    <x v="1"/>
    <x v="24"/>
    <x v="435"/>
    <x v="16"/>
    <x v="875"/>
    <x v="3"/>
    <x v="3"/>
    <x v="0"/>
    <x v="1"/>
    <x v="0"/>
    <x v="3"/>
    <x v="10"/>
    <x v="7"/>
    <x v="0"/>
    <x v="0"/>
    <x v="380"/>
    <x v="0"/>
    <x v="1"/>
    <x v="0"/>
  </r>
  <r>
    <x v="356"/>
    <x v="126"/>
    <x v="2"/>
    <x v="1"/>
    <x v="21"/>
    <x v="492"/>
    <x v="18"/>
    <x v="603"/>
    <x v="2"/>
    <x v="2"/>
    <x v="1"/>
    <x v="1"/>
    <x v="0"/>
    <x v="2"/>
    <x v="9"/>
    <x v="5"/>
    <x v="2"/>
    <x v="423"/>
    <x v="495"/>
    <x v="1"/>
    <x v="1"/>
    <x v="0"/>
  </r>
  <r>
    <x v="357"/>
    <x v="94"/>
    <x v="0"/>
    <x v="0"/>
    <x v="27"/>
    <x v="578"/>
    <x v="22"/>
    <x v="891"/>
    <x v="4"/>
    <x v="4"/>
    <x v="0"/>
    <x v="1"/>
    <x v="0"/>
    <x v="3"/>
    <x v="2"/>
    <x v="4"/>
    <x v="3"/>
    <x v="698"/>
    <x v="611"/>
    <x v="0"/>
    <x v="1"/>
    <x v="0"/>
  </r>
  <r>
    <x v="358"/>
    <x v="97"/>
    <x v="3"/>
    <x v="1"/>
    <x v="33"/>
    <x v="686"/>
    <x v="24"/>
    <x v="459"/>
    <x v="8"/>
    <x v="2"/>
    <x v="0"/>
    <x v="1"/>
    <x v="3"/>
    <x v="3"/>
    <x v="9"/>
    <x v="6"/>
    <x v="2"/>
    <x v="542"/>
    <x v="684"/>
    <x v="0"/>
    <x v="0"/>
    <x v="0"/>
  </r>
  <r>
    <x v="359"/>
    <x v="13"/>
    <x v="3"/>
    <x v="1"/>
    <x v="33"/>
    <x v="750"/>
    <x v="26"/>
    <x v="860"/>
    <x v="7"/>
    <x v="4"/>
    <x v="0"/>
    <x v="1"/>
    <x v="3"/>
    <x v="3"/>
    <x v="9"/>
    <x v="10"/>
    <x v="3"/>
    <x v="773"/>
    <x v="800"/>
    <x v="0"/>
    <x v="0"/>
    <x v="0"/>
  </r>
  <r>
    <x v="360"/>
    <x v="196"/>
    <x v="5"/>
    <x v="1"/>
    <x v="30"/>
    <x v="873"/>
    <x v="31"/>
    <x v="559"/>
    <x v="2"/>
    <x v="1"/>
    <x v="0"/>
    <x v="1"/>
    <x v="3"/>
    <x v="3"/>
    <x v="9"/>
    <x v="9"/>
    <x v="4"/>
    <x v="893"/>
    <x v="943"/>
    <x v="0"/>
    <x v="0"/>
    <x v="0"/>
  </r>
  <r>
    <x v="361"/>
    <x v="14"/>
    <x v="2"/>
    <x v="1"/>
    <x v="39"/>
    <x v="837"/>
    <x v="33"/>
    <x v="451"/>
    <x v="3"/>
    <x v="2"/>
    <x v="0"/>
    <x v="1"/>
    <x v="3"/>
    <x v="3"/>
    <x v="9"/>
    <x v="11"/>
    <x v="2"/>
    <x v="623"/>
    <x v="836"/>
    <x v="0"/>
    <x v="0"/>
    <x v="0"/>
  </r>
  <r>
    <x v="362"/>
    <x v="69"/>
    <x v="9"/>
    <x v="0"/>
    <x v="16"/>
    <x v="337"/>
    <x v="10"/>
    <x v="364"/>
    <x v="4"/>
    <x v="0"/>
    <x v="1"/>
    <x v="1"/>
    <x v="2"/>
    <x v="2"/>
    <x v="11"/>
    <x v="3"/>
    <x v="1"/>
    <x v="81"/>
    <x v="304"/>
    <x v="1"/>
    <x v="2"/>
    <x v="3"/>
  </r>
  <r>
    <x v="363"/>
    <x v="32"/>
    <x v="8"/>
    <x v="0"/>
    <x v="9"/>
    <x v="58"/>
    <x v="3"/>
    <x v="845"/>
    <x v="8"/>
    <x v="2"/>
    <x v="0"/>
    <x v="2"/>
    <x v="1"/>
    <x v="1"/>
    <x v="8"/>
    <x v="6"/>
    <x v="2"/>
    <x v="95"/>
    <x v="64"/>
    <x v="0"/>
    <x v="3"/>
    <x v="2"/>
  </r>
  <r>
    <x v="364"/>
    <x v="8"/>
    <x v="0"/>
    <x v="0"/>
    <x v="36"/>
    <x v="847"/>
    <x v="31"/>
    <x v="867"/>
    <x v="3"/>
    <x v="3"/>
    <x v="0"/>
    <x v="1"/>
    <x v="3"/>
    <x v="3"/>
    <x v="2"/>
    <x v="1"/>
    <x v="0"/>
    <x v="0"/>
    <x v="734"/>
    <x v="0"/>
    <x v="0"/>
    <x v="0"/>
  </r>
  <r>
    <x v="365"/>
    <x v="171"/>
    <x v="5"/>
    <x v="1"/>
    <x v="39"/>
    <x v="865"/>
    <x v="35"/>
    <x v="400"/>
    <x v="7"/>
    <x v="0"/>
    <x v="0"/>
    <x v="1"/>
    <x v="3"/>
    <x v="3"/>
    <x v="2"/>
    <x v="4"/>
    <x v="1"/>
    <x v="308"/>
    <x v="814"/>
    <x v="0"/>
    <x v="0"/>
    <x v="0"/>
  </r>
  <r>
    <x v="366"/>
    <x v="73"/>
    <x v="1"/>
    <x v="0"/>
    <x v="24"/>
    <x v="506"/>
    <x v="21"/>
    <x v="18"/>
    <x v="7"/>
    <x v="0"/>
    <x v="0"/>
    <x v="1"/>
    <x v="0"/>
    <x v="3"/>
    <x v="5"/>
    <x v="4"/>
    <x v="1"/>
    <x v="146"/>
    <x v="475"/>
    <x v="0"/>
    <x v="1"/>
    <x v="0"/>
  </r>
  <r>
    <x v="367"/>
    <x v="171"/>
    <x v="5"/>
    <x v="0"/>
    <x v="6"/>
    <x v="166"/>
    <x v="7"/>
    <x v="516"/>
    <x v="8"/>
    <x v="4"/>
    <x v="0"/>
    <x v="3"/>
    <x v="2"/>
    <x v="1"/>
    <x v="0"/>
    <x v="4"/>
    <x v="3"/>
    <x v="349"/>
    <x v="181"/>
    <x v="0"/>
    <x v="3"/>
    <x v="2"/>
  </r>
  <r>
    <x v="368"/>
    <x v="148"/>
    <x v="6"/>
    <x v="1"/>
    <x v="2"/>
    <x v="103"/>
    <x v="2"/>
    <x v="689"/>
    <x v="9"/>
    <x v="0"/>
    <x v="0"/>
    <x v="2"/>
    <x v="1"/>
    <x v="0"/>
    <x v="3"/>
    <x v="3"/>
    <x v="1"/>
    <x v="19"/>
    <x v="87"/>
    <x v="0"/>
    <x v="3"/>
    <x v="1"/>
  </r>
  <r>
    <x v="369"/>
    <x v="198"/>
    <x v="0"/>
    <x v="1"/>
    <x v="11"/>
    <x v="163"/>
    <x v="7"/>
    <x v="36"/>
    <x v="0"/>
    <x v="0"/>
    <x v="0"/>
    <x v="3"/>
    <x v="2"/>
    <x v="1"/>
    <x v="10"/>
    <x v="0"/>
    <x v="1"/>
    <x v="26"/>
    <x v="149"/>
    <x v="0"/>
    <x v="3"/>
    <x v="2"/>
  </r>
  <r>
    <x v="370"/>
    <x v="46"/>
    <x v="5"/>
    <x v="0"/>
    <x v="12"/>
    <x v="238"/>
    <x v="7"/>
    <x v="655"/>
    <x v="0"/>
    <x v="1"/>
    <x v="0"/>
    <x v="3"/>
    <x v="2"/>
    <x v="1"/>
    <x v="11"/>
    <x v="0"/>
    <x v="4"/>
    <x v="539"/>
    <x v="289"/>
    <x v="0"/>
    <x v="2"/>
    <x v="2"/>
  </r>
  <r>
    <x v="371"/>
    <x v="103"/>
    <x v="8"/>
    <x v="0"/>
    <x v="36"/>
    <x v="773"/>
    <x v="30"/>
    <x v="674"/>
    <x v="6"/>
    <x v="2"/>
    <x v="0"/>
    <x v="1"/>
    <x v="3"/>
    <x v="3"/>
    <x v="3"/>
    <x v="9"/>
    <x v="2"/>
    <x v="587"/>
    <x v="776"/>
    <x v="0"/>
    <x v="0"/>
    <x v="0"/>
  </r>
  <r>
    <x v="372"/>
    <x v="172"/>
    <x v="2"/>
    <x v="1"/>
    <x v="28"/>
    <x v="723"/>
    <x v="24"/>
    <x v="757"/>
    <x v="5"/>
    <x v="4"/>
    <x v="0"/>
    <x v="1"/>
    <x v="3"/>
    <x v="3"/>
    <x v="5"/>
    <x v="5"/>
    <x v="3"/>
    <x v="763"/>
    <x v="778"/>
    <x v="0"/>
    <x v="0"/>
    <x v="0"/>
  </r>
  <r>
    <x v="373"/>
    <x v="20"/>
    <x v="9"/>
    <x v="0"/>
    <x v="34"/>
    <x v="936"/>
    <x v="32"/>
    <x v="435"/>
    <x v="2"/>
    <x v="2"/>
    <x v="0"/>
    <x v="1"/>
    <x v="3"/>
    <x v="3"/>
    <x v="7"/>
    <x v="4"/>
    <x v="2"/>
    <x v="669"/>
    <x v="920"/>
    <x v="0"/>
    <x v="0"/>
    <x v="0"/>
  </r>
  <r>
    <x v="374"/>
    <x v="99"/>
    <x v="5"/>
    <x v="0"/>
    <x v="17"/>
    <x v="184"/>
    <x v="8"/>
    <x v="564"/>
    <x v="0"/>
    <x v="2"/>
    <x v="0"/>
    <x v="3"/>
    <x v="2"/>
    <x v="2"/>
    <x v="11"/>
    <x v="0"/>
    <x v="2"/>
    <x v="181"/>
    <x v="176"/>
    <x v="0"/>
    <x v="3"/>
    <x v="3"/>
  </r>
  <r>
    <x v="375"/>
    <x v="1"/>
    <x v="4"/>
    <x v="1"/>
    <x v="34"/>
    <x v="765"/>
    <x v="26"/>
    <x v="899"/>
    <x v="5"/>
    <x v="0"/>
    <x v="0"/>
    <x v="1"/>
    <x v="3"/>
    <x v="3"/>
    <x v="6"/>
    <x v="8"/>
    <x v="1"/>
    <x v="263"/>
    <x v="709"/>
    <x v="0"/>
    <x v="0"/>
    <x v="0"/>
  </r>
  <r>
    <x v="376"/>
    <x v="175"/>
    <x v="2"/>
    <x v="1"/>
    <x v="7"/>
    <x v="177"/>
    <x v="9"/>
    <x v="759"/>
    <x v="4"/>
    <x v="4"/>
    <x v="0"/>
    <x v="3"/>
    <x v="2"/>
    <x v="1"/>
    <x v="4"/>
    <x v="6"/>
    <x v="3"/>
    <x v="359"/>
    <x v="188"/>
    <x v="0"/>
    <x v="3"/>
    <x v="3"/>
  </r>
  <r>
    <x v="377"/>
    <x v="180"/>
    <x v="5"/>
    <x v="0"/>
    <x v="19"/>
    <x v="292"/>
    <x v="13"/>
    <x v="485"/>
    <x v="9"/>
    <x v="0"/>
    <x v="1"/>
    <x v="1"/>
    <x v="2"/>
    <x v="2"/>
    <x v="8"/>
    <x v="4"/>
    <x v="1"/>
    <x v="67"/>
    <x v="260"/>
    <x v="1"/>
    <x v="2"/>
    <x v="3"/>
  </r>
  <r>
    <x v="378"/>
    <x v="191"/>
    <x v="3"/>
    <x v="1"/>
    <x v="39"/>
    <x v="863"/>
    <x v="32"/>
    <x v="573"/>
    <x v="4"/>
    <x v="0"/>
    <x v="0"/>
    <x v="1"/>
    <x v="3"/>
    <x v="3"/>
    <x v="1"/>
    <x v="4"/>
    <x v="1"/>
    <x v="307"/>
    <x v="812"/>
    <x v="0"/>
    <x v="0"/>
    <x v="0"/>
  </r>
  <r>
    <x v="379"/>
    <x v="13"/>
    <x v="5"/>
    <x v="1"/>
    <x v="19"/>
    <x v="385"/>
    <x v="12"/>
    <x v="627"/>
    <x v="9"/>
    <x v="0"/>
    <x v="0"/>
    <x v="1"/>
    <x v="2"/>
    <x v="2"/>
    <x v="5"/>
    <x v="4"/>
    <x v="1"/>
    <x v="100"/>
    <x v="356"/>
    <x v="0"/>
    <x v="2"/>
    <x v="3"/>
  </r>
  <r>
    <x v="380"/>
    <x v="48"/>
    <x v="0"/>
    <x v="1"/>
    <x v="23"/>
    <x v="461"/>
    <x v="18"/>
    <x v="59"/>
    <x v="5"/>
    <x v="4"/>
    <x v="0"/>
    <x v="1"/>
    <x v="0"/>
    <x v="2"/>
    <x v="1"/>
    <x v="11"/>
    <x v="3"/>
    <x v="602"/>
    <x v="487"/>
    <x v="0"/>
    <x v="1"/>
    <x v="0"/>
  </r>
  <r>
    <x v="381"/>
    <x v="9"/>
    <x v="1"/>
    <x v="1"/>
    <x v="23"/>
    <x v="456"/>
    <x v="17"/>
    <x v="7"/>
    <x v="3"/>
    <x v="4"/>
    <x v="0"/>
    <x v="1"/>
    <x v="0"/>
    <x v="2"/>
    <x v="2"/>
    <x v="2"/>
    <x v="3"/>
    <x v="596"/>
    <x v="484"/>
    <x v="0"/>
    <x v="1"/>
    <x v="0"/>
  </r>
  <r>
    <x v="382"/>
    <x v="172"/>
    <x v="8"/>
    <x v="0"/>
    <x v="12"/>
    <x v="345"/>
    <x v="9"/>
    <x v="597"/>
    <x v="8"/>
    <x v="0"/>
    <x v="0"/>
    <x v="3"/>
    <x v="2"/>
    <x v="1"/>
    <x v="1"/>
    <x v="3"/>
    <x v="1"/>
    <x v="84"/>
    <x v="314"/>
    <x v="0"/>
    <x v="2"/>
    <x v="3"/>
  </r>
  <r>
    <x v="383"/>
    <x v="164"/>
    <x v="5"/>
    <x v="0"/>
    <x v="26"/>
    <x v="520"/>
    <x v="20"/>
    <x v="430"/>
    <x v="8"/>
    <x v="2"/>
    <x v="0"/>
    <x v="1"/>
    <x v="0"/>
    <x v="3"/>
    <x v="4"/>
    <x v="3"/>
    <x v="2"/>
    <x v="438"/>
    <x v="512"/>
    <x v="0"/>
    <x v="1"/>
    <x v="0"/>
  </r>
  <r>
    <x v="384"/>
    <x v="71"/>
    <x v="1"/>
    <x v="1"/>
    <x v="23"/>
    <x v="561"/>
    <x v="22"/>
    <x v="318"/>
    <x v="8"/>
    <x v="4"/>
    <x v="0"/>
    <x v="1"/>
    <x v="0"/>
    <x v="2"/>
    <x v="7"/>
    <x v="6"/>
    <x v="3"/>
    <x v="685"/>
    <x v="595"/>
    <x v="0"/>
    <x v="1"/>
    <x v="0"/>
  </r>
  <r>
    <x v="385"/>
    <x v="194"/>
    <x v="4"/>
    <x v="0"/>
    <x v="27"/>
    <x v="571"/>
    <x v="22"/>
    <x v="583"/>
    <x v="4"/>
    <x v="3"/>
    <x v="0"/>
    <x v="1"/>
    <x v="0"/>
    <x v="3"/>
    <x v="5"/>
    <x v="6"/>
    <x v="0"/>
    <x v="0"/>
    <x v="506"/>
    <x v="0"/>
    <x v="1"/>
    <x v="0"/>
  </r>
  <r>
    <x v="386"/>
    <x v="11"/>
    <x v="5"/>
    <x v="0"/>
    <x v="39"/>
    <x v="921"/>
    <x v="34"/>
    <x v="630"/>
    <x v="7"/>
    <x v="0"/>
    <x v="0"/>
    <x v="1"/>
    <x v="3"/>
    <x v="3"/>
    <x v="0"/>
    <x v="5"/>
    <x v="1"/>
    <x v="331"/>
    <x v="863"/>
    <x v="0"/>
    <x v="0"/>
    <x v="0"/>
  </r>
  <r>
    <x v="387"/>
    <x v="161"/>
    <x v="5"/>
    <x v="1"/>
    <x v="4"/>
    <x v="27"/>
    <x v="2"/>
    <x v="253"/>
    <x v="8"/>
    <x v="2"/>
    <x v="0"/>
    <x v="2"/>
    <x v="1"/>
    <x v="1"/>
    <x v="7"/>
    <x v="7"/>
    <x v="2"/>
    <x v="65"/>
    <x v="32"/>
    <x v="0"/>
    <x v="3"/>
    <x v="1"/>
  </r>
  <r>
    <x v="388"/>
    <x v="148"/>
    <x v="2"/>
    <x v="1"/>
    <x v="21"/>
    <x v="346"/>
    <x v="13"/>
    <x v="194"/>
    <x v="7"/>
    <x v="0"/>
    <x v="0"/>
    <x v="1"/>
    <x v="2"/>
    <x v="2"/>
    <x v="9"/>
    <x v="5"/>
    <x v="1"/>
    <x v="86"/>
    <x v="316"/>
    <x v="0"/>
    <x v="2"/>
    <x v="3"/>
  </r>
  <r>
    <x v="389"/>
    <x v="188"/>
    <x v="8"/>
    <x v="1"/>
    <x v="19"/>
    <x v="512"/>
    <x v="21"/>
    <x v="656"/>
    <x v="4"/>
    <x v="1"/>
    <x v="0"/>
    <x v="1"/>
    <x v="0"/>
    <x v="2"/>
    <x v="1"/>
    <x v="1"/>
    <x v="4"/>
    <x v="774"/>
    <x v="560"/>
    <x v="0"/>
    <x v="1"/>
    <x v="0"/>
  </r>
  <r>
    <x v="390"/>
    <x v="91"/>
    <x v="3"/>
    <x v="1"/>
    <x v="30"/>
    <x v="739"/>
    <x v="26"/>
    <x v="789"/>
    <x v="0"/>
    <x v="2"/>
    <x v="1"/>
    <x v="1"/>
    <x v="3"/>
    <x v="3"/>
    <x v="9"/>
    <x v="4"/>
    <x v="2"/>
    <x v="568"/>
    <x v="733"/>
    <x v="1"/>
    <x v="0"/>
    <x v="0"/>
  </r>
  <r>
    <x v="391"/>
    <x v="173"/>
    <x v="4"/>
    <x v="0"/>
    <x v="11"/>
    <x v="8"/>
    <x v="2"/>
    <x v="248"/>
    <x v="7"/>
    <x v="0"/>
    <x v="1"/>
    <x v="2"/>
    <x v="1"/>
    <x v="1"/>
    <x v="8"/>
    <x v="4"/>
    <x v="1"/>
    <x v="3"/>
    <x v="3"/>
    <x v="1"/>
    <x v="3"/>
    <x v="1"/>
  </r>
  <r>
    <x v="392"/>
    <x v="101"/>
    <x v="6"/>
    <x v="1"/>
    <x v="28"/>
    <x v="567"/>
    <x v="24"/>
    <x v="510"/>
    <x v="4"/>
    <x v="4"/>
    <x v="0"/>
    <x v="1"/>
    <x v="0"/>
    <x v="3"/>
    <x v="10"/>
    <x v="1"/>
    <x v="3"/>
    <x v="690"/>
    <x v="599"/>
    <x v="0"/>
    <x v="1"/>
    <x v="0"/>
  </r>
  <r>
    <x v="393"/>
    <x v="74"/>
    <x v="5"/>
    <x v="1"/>
    <x v="21"/>
    <x v="681"/>
    <x v="23"/>
    <x v="113"/>
    <x v="4"/>
    <x v="1"/>
    <x v="1"/>
    <x v="1"/>
    <x v="3"/>
    <x v="2"/>
    <x v="3"/>
    <x v="7"/>
    <x v="4"/>
    <x v="863"/>
    <x v="773"/>
    <x v="1"/>
    <x v="0"/>
    <x v="0"/>
  </r>
  <r>
    <x v="394"/>
    <x v="47"/>
    <x v="2"/>
    <x v="1"/>
    <x v="22"/>
    <x v="383"/>
    <x v="13"/>
    <x v="29"/>
    <x v="9"/>
    <x v="2"/>
    <x v="0"/>
    <x v="1"/>
    <x v="2"/>
    <x v="2"/>
    <x v="4"/>
    <x v="10"/>
    <x v="2"/>
    <x v="346"/>
    <x v="385"/>
    <x v="0"/>
    <x v="2"/>
    <x v="3"/>
  </r>
  <r>
    <x v="395"/>
    <x v="121"/>
    <x v="1"/>
    <x v="1"/>
    <x v="17"/>
    <x v="406"/>
    <x v="16"/>
    <x v="725"/>
    <x v="4"/>
    <x v="2"/>
    <x v="0"/>
    <x v="1"/>
    <x v="0"/>
    <x v="2"/>
    <x v="4"/>
    <x v="4"/>
    <x v="2"/>
    <x v="363"/>
    <x v="396"/>
    <x v="0"/>
    <x v="1"/>
    <x v="0"/>
  </r>
  <r>
    <x v="396"/>
    <x v="199"/>
    <x v="2"/>
    <x v="1"/>
    <x v="6"/>
    <x v="51"/>
    <x v="4"/>
    <x v="166"/>
    <x v="8"/>
    <x v="2"/>
    <x v="0"/>
    <x v="2"/>
    <x v="1"/>
    <x v="1"/>
    <x v="4"/>
    <x v="6"/>
    <x v="2"/>
    <x v="91"/>
    <x v="53"/>
    <x v="0"/>
    <x v="3"/>
    <x v="2"/>
  </r>
  <r>
    <x v="397"/>
    <x v="75"/>
    <x v="8"/>
    <x v="1"/>
    <x v="25"/>
    <x v="440"/>
    <x v="18"/>
    <x v="143"/>
    <x v="0"/>
    <x v="4"/>
    <x v="0"/>
    <x v="1"/>
    <x v="0"/>
    <x v="3"/>
    <x v="4"/>
    <x v="8"/>
    <x v="3"/>
    <x v="573"/>
    <x v="463"/>
    <x v="0"/>
    <x v="1"/>
    <x v="0"/>
  </r>
  <r>
    <x v="398"/>
    <x v="114"/>
    <x v="6"/>
    <x v="0"/>
    <x v="26"/>
    <x v="650"/>
    <x v="23"/>
    <x v="384"/>
    <x v="1"/>
    <x v="1"/>
    <x v="0"/>
    <x v="1"/>
    <x v="3"/>
    <x v="3"/>
    <x v="3"/>
    <x v="10"/>
    <x v="4"/>
    <x v="853"/>
    <x v="726"/>
    <x v="0"/>
    <x v="0"/>
    <x v="0"/>
  </r>
  <r>
    <x v="399"/>
    <x v="188"/>
    <x v="2"/>
    <x v="1"/>
    <x v="26"/>
    <x v="605"/>
    <x v="21"/>
    <x v="781"/>
    <x v="4"/>
    <x v="4"/>
    <x v="0"/>
    <x v="1"/>
    <x v="0"/>
    <x v="3"/>
    <x v="9"/>
    <x v="2"/>
    <x v="3"/>
    <x v="713"/>
    <x v="635"/>
    <x v="0"/>
    <x v="1"/>
    <x v="0"/>
  </r>
  <r>
    <x v="400"/>
    <x v="156"/>
    <x v="5"/>
    <x v="1"/>
    <x v="14"/>
    <x v="187"/>
    <x v="8"/>
    <x v="768"/>
    <x v="0"/>
    <x v="2"/>
    <x v="0"/>
    <x v="3"/>
    <x v="2"/>
    <x v="2"/>
    <x v="5"/>
    <x v="9"/>
    <x v="2"/>
    <x v="185"/>
    <x v="184"/>
    <x v="0"/>
    <x v="3"/>
    <x v="3"/>
  </r>
  <r>
    <x v="401"/>
    <x v="182"/>
    <x v="2"/>
    <x v="0"/>
    <x v="32"/>
    <x v="644"/>
    <x v="25"/>
    <x v="830"/>
    <x v="5"/>
    <x v="2"/>
    <x v="0"/>
    <x v="1"/>
    <x v="3"/>
    <x v="3"/>
    <x v="0"/>
    <x v="10"/>
    <x v="2"/>
    <x v="517"/>
    <x v="636"/>
    <x v="0"/>
    <x v="0"/>
    <x v="0"/>
  </r>
  <r>
    <x v="402"/>
    <x v="109"/>
    <x v="5"/>
    <x v="1"/>
    <x v="21"/>
    <x v="398"/>
    <x v="14"/>
    <x v="17"/>
    <x v="9"/>
    <x v="2"/>
    <x v="0"/>
    <x v="1"/>
    <x v="0"/>
    <x v="2"/>
    <x v="3"/>
    <x v="4"/>
    <x v="2"/>
    <x v="358"/>
    <x v="394"/>
    <x v="0"/>
    <x v="1"/>
    <x v="3"/>
  </r>
  <r>
    <x v="403"/>
    <x v="87"/>
    <x v="1"/>
    <x v="0"/>
    <x v="16"/>
    <x v="227"/>
    <x v="10"/>
    <x v="76"/>
    <x v="3"/>
    <x v="4"/>
    <x v="0"/>
    <x v="1"/>
    <x v="2"/>
    <x v="2"/>
    <x v="10"/>
    <x v="4"/>
    <x v="3"/>
    <x v="403"/>
    <x v="253"/>
    <x v="0"/>
    <x v="2"/>
    <x v="3"/>
  </r>
  <r>
    <x v="404"/>
    <x v="21"/>
    <x v="7"/>
    <x v="0"/>
    <x v="19"/>
    <x v="379"/>
    <x v="14"/>
    <x v="848"/>
    <x v="7"/>
    <x v="4"/>
    <x v="0"/>
    <x v="1"/>
    <x v="2"/>
    <x v="2"/>
    <x v="1"/>
    <x v="8"/>
    <x v="3"/>
    <x v="518"/>
    <x v="402"/>
    <x v="0"/>
    <x v="2"/>
    <x v="3"/>
  </r>
  <r>
    <x v="405"/>
    <x v="135"/>
    <x v="8"/>
    <x v="1"/>
    <x v="27"/>
    <x v="695"/>
    <x v="29"/>
    <x v="208"/>
    <x v="5"/>
    <x v="1"/>
    <x v="0"/>
    <x v="1"/>
    <x v="3"/>
    <x v="3"/>
    <x v="7"/>
    <x v="0"/>
    <x v="4"/>
    <x v="867"/>
    <x v="799"/>
    <x v="0"/>
    <x v="0"/>
    <x v="0"/>
  </r>
  <r>
    <x v="406"/>
    <x v="111"/>
    <x v="0"/>
    <x v="0"/>
    <x v="27"/>
    <x v="714"/>
    <x v="24"/>
    <x v="861"/>
    <x v="2"/>
    <x v="2"/>
    <x v="0"/>
    <x v="1"/>
    <x v="3"/>
    <x v="3"/>
    <x v="1"/>
    <x v="11"/>
    <x v="2"/>
    <x v="558"/>
    <x v="713"/>
    <x v="0"/>
    <x v="0"/>
    <x v="0"/>
  </r>
  <r>
    <x v="407"/>
    <x v="160"/>
    <x v="4"/>
    <x v="0"/>
    <x v="36"/>
    <x v="927"/>
    <x v="31"/>
    <x v="686"/>
    <x v="9"/>
    <x v="2"/>
    <x v="0"/>
    <x v="1"/>
    <x v="3"/>
    <x v="3"/>
    <x v="0"/>
    <x v="3"/>
    <x v="2"/>
    <x v="665"/>
    <x v="912"/>
    <x v="0"/>
    <x v="0"/>
    <x v="0"/>
  </r>
  <r>
    <x v="408"/>
    <x v="114"/>
    <x v="7"/>
    <x v="1"/>
    <x v="9"/>
    <x v="202"/>
    <x v="9"/>
    <x v="432"/>
    <x v="7"/>
    <x v="2"/>
    <x v="0"/>
    <x v="3"/>
    <x v="2"/>
    <x v="1"/>
    <x v="8"/>
    <x v="3"/>
    <x v="2"/>
    <x v="203"/>
    <x v="202"/>
    <x v="0"/>
    <x v="2"/>
    <x v="3"/>
  </r>
  <r>
    <x v="409"/>
    <x v="116"/>
    <x v="2"/>
    <x v="1"/>
    <x v="35"/>
    <x v="784"/>
    <x v="30"/>
    <x v="358"/>
    <x v="1"/>
    <x v="2"/>
    <x v="0"/>
    <x v="1"/>
    <x v="3"/>
    <x v="3"/>
    <x v="3"/>
    <x v="1"/>
    <x v="2"/>
    <x v="595"/>
    <x v="788"/>
    <x v="0"/>
    <x v="0"/>
    <x v="0"/>
  </r>
  <r>
    <x v="410"/>
    <x v="161"/>
    <x v="0"/>
    <x v="1"/>
    <x v="30"/>
    <x v="940"/>
    <x v="32"/>
    <x v="503"/>
    <x v="4"/>
    <x v="1"/>
    <x v="0"/>
    <x v="1"/>
    <x v="3"/>
    <x v="3"/>
    <x v="3"/>
    <x v="0"/>
    <x v="4"/>
    <x v="903"/>
    <x v="971"/>
    <x v="0"/>
    <x v="0"/>
    <x v="0"/>
  </r>
  <r>
    <x v="411"/>
    <x v="143"/>
    <x v="2"/>
    <x v="1"/>
    <x v="6"/>
    <x v="179"/>
    <x v="5"/>
    <x v="823"/>
    <x v="0"/>
    <x v="0"/>
    <x v="0"/>
    <x v="3"/>
    <x v="2"/>
    <x v="1"/>
    <x v="10"/>
    <x v="5"/>
    <x v="1"/>
    <x v="27"/>
    <x v="155"/>
    <x v="0"/>
    <x v="3"/>
    <x v="2"/>
  </r>
  <r>
    <x v="412"/>
    <x v="150"/>
    <x v="0"/>
    <x v="0"/>
    <x v="34"/>
    <x v="829"/>
    <x v="32"/>
    <x v="232"/>
    <x v="1"/>
    <x v="0"/>
    <x v="0"/>
    <x v="1"/>
    <x v="3"/>
    <x v="3"/>
    <x v="7"/>
    <x v="11"/>
    <x v="1"/>
    <x v="294"/>
    <x v="783"/>
    <x v="0"/>
    <x v="0"/>
    <x v="0"/>
  </r>
  <r>
    <x v="413"/>
    <x v="78"/>
    <x v="2"/>
    <x v="0"/>
    <x v="4"/>
    <x v="129"/>
    <x v="6"/>
    <x v="682"/>
    <x v="0"/>
    <x v="2"/>
    <x v="0"/>
    <x v="3"/>
    <x v="2"/>
    <x v="1"/>
    <x v="11"/>
    <x v="0"/>
    <x v="2"/>
    <x v="141"/>
    <x v="127"/>
    <x v="0"/>
    <x v="3"/>
    <x v="2"/>
  </r>
  <r>
    <x v="414"/>
    <x v="71"/>
    <x v="3"/>
    <x v="0"/>
    <x v="8"/>
    <x v="105"/>
    <x v="2"/>
    <x v="565"/>
    <x v="6"/>
    <x v="1"/>
    <x v="0"/>
    <x v="2"/>
    <x v="1"/>
    <x v="1"/>
    <x v="2"/>
    <x v="1"/>
    <x v="4"/>
    <x v="399"/>
    <x v="137"/>
    <x v="0"/>
    <x v="3"/>
    <x v="1"/>
  </r>
  <r>
    <x v="415"/>
    <x v="109"/>
    <x v="8"/>
    <x v="1"/>
    <x v="29"/>
    <x v="629"/>
    <x v="26"/>
    <x v="426"/>
    <x v="5"/>
    <x v="4"/>
    <x v="0"/>
    <x v="1"/>
    <x v="3"/>
    <x v="3"/>
    <x v="9"/>
    <x v="1"/>
    <x v="3"/>
    <x v="725"/>
    <x v="655"/>
    <x v="0"/>
    <x v="0"/>
    <x v="0"/>
  </r>
  <r>
    <x v="416"/>
    <x v="71"/>
    <x v="0"/>
    <x v="0"/>
    <x v="10"/>
    <x v="278"/>
    <x v="8"/>
    <x v="552"/>
    <x v="9"/>
    <x v="0"/>
    <x v="1"/>
    <x v="3"/>
    <x v="2"/>
    <x v="1"/>
    <x v="5"/>
    <x v="7"/>
    <x v="1"/>
    <x v="56"/>
    <x v="245"/>
    <x v="1"/>
    <x v="2"/>
    <x v="3"/>
  </r>
  <r>
    <x v="417"/>
    <x v="29"/>
    <x v="0"/>
    <x v="0"/>
    <x v="9"/>
    <x v="0"/>
    <x v="0"/>
    <x v="657"/>
    <x v="8"/>
    <x v="2"/>
    <x v="0"/>
    <x v="0"/>
    <x v="1"/>
    <x v="1"/>
    <x v="2"/>
    <x v="1"/>
    <x v="2"/>
    <x v="29"/>
    <x v="5"/>
    <x v="0"/>
    <x v="3"/>
    <x v="1"/>
  </r>
  <r>
    <x v="418"/>
    <x v="89"/>
    <x v="8"/>
    <x v="0"/>
    <x v="13"/>
    <x v="339"/>
    <x v="9"/>
    <x v="231"/>
    <x v="5"/>
    <x v="4"/>
    <x v="0"/>
    <x v="3"/>
    <x v="2"/>
    <x v="1"/>
    <x v="5"/>
    <x v="11"/>
    <x v="3"/>
    <x v="482"/>
    <x v="365"/>
    <x v="0"/>
    <x v="2"/>
    <x v="3"/>
  </r>
  <r>
    <x v="419"/>
    <x v="65"/>
    <x v="6"/>
    <x v="0"/>
    <x v="17"/>
    <x v="439"/>
    <x v="13"/>
    <x v="805"/>
    <x v="5"/>
    <x v="4"/>
    <x v="0"/>
    <x v="1"/>
    <x v="0"/>
    <x v="2"/>
    <x v="10"/>
    <x v="10"/>
    <x v="3"/>
    <x v="569"/>
    <x v="461"/>
    <x v="0"/>
    <x v="1"/>
    <x v="3"/>
  </r>
  <r>
    <x v="420"/>
    <x v="168"/>
    <x v="9"/>
    <x v="0"/>
    <x v="16"/>
    <x v="164"/>
    <x v="8"/>
    <x v="750"/>
    <x v="2"/>
    <x v="2"/>
    <x v="0"/>
    <x v="3"/>
    <x v="2"/>
    <x v="2"/>
    <x v="5"/>
    <x v="3"/>
    <x v="2"/>
    <x v="167"/>
    <x v="161"/>
    <x v="0"/>
    <x v="3"/>
    <x v="3"/>
  </r>
  <r>
    <x v="421"/>
    <x v="157"/>
    <x v="1"/>
    <x v="0"/>
    <x v="39"/>
    <x v="888"/>
    <x v="35"/>
    <x v="240"/>
    <x v="8"/>
    <x v="4"/>
    <x v="0"/>
    <x v="1"/>
    <x v="3"/>
    <x v="3"/>
    <x v="3"/>
    <x v="1"/>
    <x v="3"/>
    <x v="823"/>
    <x v="917"/>
    <x v="0"/>
    <x v="0"/>
    <x v="0"/>
  </r>
  <r>
    <x v="422"/>
    <x v="104"/>
    <x v="8"/>
    <x v="0"/>
    <x v="6"/>
    <x v="82"/>
    <x v="4"/>
    <x v="744"/>
    <x v="0"/>
    <x v="1"/>
    <x v="1"/>
    <x v="2"/>
    <x v="1"/>
    <x v="1"/>
    <x v="8"/>
    <x v="0"/>
    <x v="4"/>
    <x v="374"/>
    <x v="108"/>
    <x v="1"/>
    <x v="3"/>
    <x v="2"/>
  </r>
  <r>
    <x v="423"/>
    <x v="45"/>
    <x v="9"/>
    <x v="1"/>
    <x v="3"/>
    <x v="128"/>
    <x v="3"/>
    <x v="148"/>
    <x v="0"/>
    <x v="1"/>
    <x v="0"/>
    <x v="2"/>
    <x v="2"/>
    <x v="0"/>
    <x v="9"/>
    <x v="9"/>
    <x v="4"/>
    <x v="428"/>
    <x v="162"/>
    <x v="0"/>
    <x v="3"/>
    <x v="2"/>
  </r>
  <r>
    <x v="424"/>
    <x v="7"/>
    <x v="4"/>
    <x v="0"/>
    <x v="38"/>
    <x v="852"/>
    <x v="32"/>
    <x v="591"/>
    <x v="5"/>
    <x v="2"/>
    <x v="0"/>
    <x v="1"/>
    <x v="3"/>
    <x v="3"/>
    <x v="3"/>
    <x v="10"/>
    <x v="2"/>
    <x v="628"/>
    <x v="851"/>
    <x v="0"/>
    <x v="0"/>
    <x v="0"/>
  </r>
  <r>
    <x v="425"/>
    <x v="158"/>
    <x v="5"/>
    <x v="0"/>
    <x v="30"/>
    <x v="615"/>
    <x v="22"/>
    <x v="106"/>
    <x v="6"/>
    <x v="2"/>
    <x v="0"/>
    <x v="1"/>
    <x v="3"/>
    <x v="3"/>
    <x v="9"/>
    <x v="3"/>
    <x v="2"/>
    <x v="502"/>
    <x v="608"/>
    <x v="0"/>
    <x v="0"/>
    <x v="0"/>
  </r>
  <r>
    <x v="426"/>
    <x v="103"/>
    <x v="3"/>
    <x v="0"/>
    <x v="25"/>
    <x v="582"/>
    <x v="22"/>
    <x v="817"/>
    <x v="1"/>
    <x v="2"/>
    <x v="0"/>
    <x v="1"/>
    <x v="0"/>
    <x v="3"/>
    <x v="5"/>
    <x v="4"/>
    <x v="2"/>
    <x v="477"/>
    <x v="572"/>
    <x v="0"/>
    <x v="1"/>
    <x v="0"/>
  </r>
  <r>
    <x v="427"/>
    <x v="91"/>
    <x v="6"/>
    <x v="0"/>
    <x v="32"/>
    <x v="641"/>
    <x v="26"/>
    <x v="423"/>
    <x v="7"/>
    <x v="2"/>
    <x v="0"/>
    <x v="1"/>
    <x v="3"/>
    <x v="3"/>
    <x v="1"/>
    <x v="1"/>
    <x v="2"/>
    <x v="514"/>
    <x v="632"/>
    <x v="0"/>
    <x v="0"/>
    <x v="0"/>
  </r>
  <r>
    <x v="428"/>
    <x v="32"/>
    <x v="8"/>
    <x v="1"/>
    <x v="31"/>
    <x v="687"/>
    <x v="24"/>
    <x v="439"/>
    <x v="7"/>
    <x v="0"/>
    <x v="0"/>
    <x v="1"/>
    <x v="3"/>
    <x v="3"/>
    <x v="5"/>
    <x v="6"/>
    <x v="1"/>
    <x v="226"/>
    <x v="643"/>
    <x v="0"/>
    <x v="0"/>
    <x v="0"/>
  </r>
  <r>
    <x v="429"/>
    <x v="119"/>
    <x v="0"/>
    <x v="0"/>
    <x v="9"/>
    <x v="120"/>
    <x v="7"/>
    <x v="5"/>
    <x v="6"/>
    <x v="2"/>
    <x v="0"/>
    <x v="3"/>
    <x v="2"/>
    <x v="1"/>
    <x v="8"/>
    <x v="1"/>
    <x v="2"/>
    <x v="132"/>
    <x v="116"/>
    <x v="0"/>
    <x v="3"/>
    <x v="2"/>
  </r>
  <r>
    <x v="430"/>
    <x v="198"/>
    <x v="5"/>
    <x v="1"/>
    <x v="32"/>
    <x v="917"/>
    <x v="34"/>
    <x v="757"/>
    <x v="7"/>
    <x v="4"/>
    <x v="0"/>
    <x v="1"/>
    <x v="3"/>
    <x v="3"/>
    <x v="5"/>
    <x v="5"/>
    <x v="3"/>
    <x v="836"/>
    <x v="939"/>
    <x v="0"/>
    <x v="0"/>
    <x v="0"/>
  </r>
  <r>
    <x v="431"/>
    <x v="22"/>
    <x v="9"/>
    <x v="1"/>
    <x v="23"/>
    <x v="519"/>
    <x v="20"/>
    <x v="367"/>
    <x v="9"/>
    <x v="4"/>
    <x v="0"/>
    <x v="1"/>
    <x v="0"/>
    <x v="2"/>
    <x v="6"/>
    <x v="4"/>
    <x v="3"/>
    <x v="649"/>
    <x v="538"/>
    <x v="0"/>
    <x v="1"/>
    <x v="0"/>
  </r>
  <r>
    <x v="432"/>
    <x v="17"/>
    <x v="4"/>
    <x v="1"/>
    <x v="17"/>
    <x v="433"/>
    <x v="16"/>
    <x v="578"/>
    <x v="8"/>
    <x v="0"/>
    <x v="0"/>
    <x v="1"/>
    <x v="0"/>
    <x v="2"/>
    <x v="4"/>
    <x v="5"/>
    <x v="1"/>
    <x v="116"/>
    <x v="400"/>
    <x v="0"/>
    <x v="1"/>
    <x v="0"/>
  </r>
  <r>
    <x v="433"/>
    <x v="192"/>
    <x v="8"/>
    <x v="0"/>
    <x v="38"/>
    <x v="753"/>
    <x v="31"/>
    <x v="360"/>
    <x v="7"/>
    <x v="0"/>
    <x v="0"/>
    <x v="1"/>
    <x v="3"/>
    <x v="3"/>
    <x v="0"/>
    <x v="2"/>
    <x v="1"/>
    <x v="255"/>
    <x v="694"/>
    <x v="0"/>
    <x v="0"/>
    <x v="0"/>
  </r>
  <r>
    <x v="434"/>
    <x v="121"/>
    <x v="0"/>
    <x v="0"/>
    <x v="17"/>
    <x v="315"/>
    <x v="11"/>
    <x v="102"/>
    <x v="6"/>
    <x v="4"/>
    <x v="0"/>
    <x v="1"/>
    <x v="2"/>
    <x v="2"/>
    <x v="8"/>
    <x v="2"/>
    <x v="3"/>
    <x v="458"/>
    <x v="334"/>
    <x v="0"/>
    <x v="2"/>
    <x v="3"/>
  </r>
  <r>
    <x v="435"/>
    <x v="38"/>
    <x v="5"/>
    <x v="0"/>
    <x v="8"/>
    <x v="63"/>
    <x v="2"/>
    <x v="902"/>
    <x v="2"/>
    <x v="0"/>
    <x v="0"/>
    <x v="2"/>
    <x v="1"/>
    <x v="1"/>
    <x v="8"/>
    <x v="10"/>
    <x v="1"/>
    <x v="12"/>
    <x v="55"/>
    <x v="0"/>
    <x v="3"/>
    <x v="1"/>
  </r>
  <r>
    <x v="436"/>
    <x v="75"/>
    <x v="2"/>
    <x v="0"/>
    <x v="0"/>
    <x v="0"/>
    <x v="0"/>
    <x v="163"/>
    <x v="9"/>
    <x v="2"/>
    <x v="0"/>
    <x v="0"/>
    <x v="1"/>
    <x v="0"/>
    <x v="8"/>
    <x v="5"/>
    <x v="2"/>
    <x v="29"/>
    <x v="5"/>
    <x v="0"/>
    <x v="3"/>
    <x v="1"/>
  </r>
  <r>
    <x v="437"/>
    <x v="149"/>
    <x v="7"/>
    <x v="0"/>
    <x v="22"/>
    <x v="475"/>
    <x v="17"/>
    <x v="488"/>
    <x v="4"/>
    <x v="4"/>
    <x v="0"/>
    <x v="1"/>
    <x v="0"/>
    <x v="2"/>
    <x v="8"/>
    <x v="7"/>
    <x v="3"/>
    <x v="616"/>
    <x v="504"/>
    <x v="0"/>
    <x v="1"/>
    <x v="0"/>
  </r>
  <r>
    <x v="438"/>
    <x v="95"/>
    <x v="9"/>
    <x v="0"/>
    <x v="28"/>
    <x v="832"/>
    <x v="28"/>
    <x v="273"/>
    <x v="5"/>
    <x v="3"/>
    <x v="0"/>
    <x v="1"/>
    <x v="3"/>
    <x v="3"/>
    <x v="2"/>
    <x v="2"/>
    <x v="0"/>
    <x v="0"/>
    <x v="722"/>
    <x v="0"/>
    <x v="0"/>
    <x v="0"/>
  </r>
  <r>
    <x v="439"/>
    <x v="67"/>
    <x v="5"/>
    <x v="0"/>
    <x v="12"/>
    <x v="300"/>
    <x v="12"/>
    <x v="272"/>
    <x v="7"/>
    <x v="0"/>
    <x v="0"/>
    <x v="1"/>
    <x v="2"/>
    <x v="1"/>
    <x v="10"/>
    <x v="1"/>
    <x v="1"/>
    <x v="70"/>
    <x v="265"/>
    <x v="0"/>
    <x v="2"/>
    <x v="3"/>
  </r>
  <r>
    <x v="440"/>
    <x v="120"/>
    <x v="6"/>
    <x v="0"/>
    <x v="21"/>
    <x v="579"/>
    <x v="19"/>
    <x v="752"/>
    <x v="8"/>
    <x v="4"/>
    <x v="0"/>
    <x v="1"/>
    <x v="0"/>
    <x v="2"/>
    <x v="1"/>
    <x v="4"/>
    <x v="3"/>
    <x v="699"/>
    <x v="612"/>
    <x v="0"/>
    <x v="1"/>
    <x v="0"/>
  </r>
  <r>
    <x v="441"/>
    <x v="139"/>
    <x v="3"/>
    <x v="0"/>
    <x v="37"/>
    <x v="764"/>
    <x v="28"/>
    <x v="857"/>
    <x v="8"/>
    <x v="4"/>
    <x v="0"/>
    <x v="1"/>
    <x v="3"/>
    <x v="3"/>
    <x v="5"/>
    <x v="10"/>
    <x v="3"/>
    <x v="778"/>
    <x v="811"/>
    <x v="0"/>
    <x v="0"/>
    <x v="0"/>
  </r>
  <r>
    <x v="442"/>
    <x v="187"/>
    <x v="6"/>
    <x v="0"/>
    <x v="30"/>
    <x v="673"/>
    <x v="22"/>
    <x v="523"/>
    <x v="2"/>
    <x v="2"/>
    <x v="0"/>
    <x v="1"/>
    <x v="3"/>
    <x v="3"/>
    <x v="4"/>
    <x v="6"/>
    <x v="2"/>
    <x v="529"/>
    <x v="661"/>
    <x v="0"/>
    <x v="0"/>
    <x v="0"/>
  </r>
  <r>
    <x v="443"/>
    <x v="57"/>
    <x v="7"/>
    <x v="0"/>
    <x v="37"/>
    <x v="914"/>
    <x v="32"/>
    <x v="122"/>
    <x v="0"/>
    <x v="4"/>
    <x v="0"/>
    <x v="1"/>
    <x v="3"/>
    <x v="3"/>
    <x v="1"/>
    <x v="10"/>
    <x v="3"/>
    <x v="835"/>
    <x v="938"/>
    <x v="0"/>
    <x v="0"/>
    <x v="0"/>
  </r>
  <r>
    <x v="444"/>
    <x v="175"/>
    <x v="8"/>
    <x v="0"/>
    <x v="24"/>
    <x v="607"/>
    <x v="25"/>
    <x v="566"/>
    <x v="4"/>
    <x v="4"/>
    <x v="0"/>
    <x v="1"/>
    <x v="0"/>
    <x v="3"/>
    <x v="3"/>
    <x v="1"/>
    <x v="3"/>
    <x v="715"/>
    <x v="638"/>
    <x v="0"/>
    <x v="1"/>
    <x v="0"/>
  </r>
  <r>
    <x v="445"/>
    <x v="7"/>
    <x v="9"/>
    <x v="0"/>
    <x v="31"/>
    <x v="839"/>
    <x v="28"/>
    <x v="133"/>
    <x v="8"/>
    <x v="2"/>
    <x v="0"/>
    <x v="1"/>
    <x v="3"/>
    <x v="3"/>
    <x v="10"/>
    <x v="3"/>
    <x v="2"/>
    <x v="624"/>
    <x v="838"/>
    <x v="0"/>
    <x v="0"/>
    <x v="0"/>
  </r>
  <r>
    <x v="446"/>
    <x v="61"/>
    <x v="3"/>
    <x v="1"/>
    <x v="13"/>
    <x v="400"/>
    <x v="13"/>
    <x v="652"/>
    <x v="5"/>
    <x v="1"/>
    <x v="0"/>
    <x v="1"/>
    <x v="0"/>
    <x v="1"/>
    <x v="2"/>
    <x v="0"/>
    <x v="4"/>
    <x v="693"/>
    <x v="446"/>
    <x v="0"/>
    <x v="1"/>
    <x v="3"/>
  </r>
  <r>
    <x v="447"/>
    <x v="105"/>
    <x v="9"/>
    <x v="1"/>
    <x v="32"/>
    <x v="841"/>
    <x v="33"/>
    <x v="589"/>
    <x v="4"/>
    <x v="2"/>
    <x v="1"/>
    <x v="1"/>
    <x v="3"/>
    <x v="3"/>
    <x v="5"/>
    <x v="9"/>
    <x v="2"/>
    <x v="625"/>
    <x v="841"/>
    <x v="1"/>
    <x v="0"/>
    <x v="0"/>
  </r>
  <r>
    <x v="448"/>
    <x v="129"/>
    <x v="7"/>
    <x v="0"/>
    <x v="36"/>
    <x v="693"/>
    <x v="28"/>
    <x v="298"/>
    <x v="7"/>
    <x v="2"/>
    <x v="0"/>
    <x v="1"/>
    <x v="3"/>
    <x v="3"/>
    <x v="2"/>
    <x v="2"/>
    <x v="2"/>
    <x v="548"/>
    <x v="693"/>
    <x v="0"/>
    <x v="0"/>
    <x v="0"/>
  </r>
  <r>
    <x v="449"/>
    <x v="187"/>
    <x v="8"/>
    <x v="0"/>
    <x v="36"/>
    <x v="968"/>
    <x v="34"/>
    <x v="662"/>
    <x v="0"/>
    <x v="1"/>
    <x v="0"/>
    <x v="1"/>
    <x v="3"/>
    <x v="3"/>
    <x v="9"/>
    <x v="2"/>
    <x v="4"/>
    <x v="909"/>
    <x v="978"/>
    <x v="0"/>
    <x v="0"/>
    <x v="0"/>
  </r>
  <r>
    <x v="450"/>
    <x v="118"/>
    <x v="1"/>
    <x v="0"/>
    <x v="33"/>
    <x v="793"/>
    <x v="27"/>
    <x v="299"/>
    <x v="2"/>
    <x v="0"/>
    <x v="0"/>
    <x v="1"/>
    <x v="3"/>
    <x v="3"/>
    <x v="6"/>
    <x v="2"/>
    <x v="1"/>
    <x v="280"/>
    <x v="742"/>
    <x v="0"/>
    <x v="0"/>
    <x v="0"/>
  </r>
  <r>
    <x v="451"/>
    <x v="59"/>
    <x v="6"/>
    <x v="0"/>
    <x v="28"/>
    <x v="653"/>
    <x v="26"/>
    <x v="646"/>
    <x v="6"/>
    <x v="1"/>
    <x v="0"/>
    <x v="1"/>
    <x v="3"/>
    <x v="3"/>
    <x v="6"/>
    <x v="10"/>
    <x v="4"/>
    <x v="855"/>
    <x v="732"/>
    <x v="0"/>
    <x v="0"/>
    <x v="0"/>
  </r>
  <r>
    <x v="452"/>
    <x v="173"/>
    <x v="9"/>
    <x v="1"/>
    <x v="9"/>
    <x v="53"/>
    <x v="0"/>
    <x v="388"/>
    <x v="6"/>
    <x v="4"/>
    <x v="0"/>
    <x v="0"/>
    <x v="1"/>
    <x v="1"/>
    <x v="10"/>
    <x v="11"/>
    <x v="3"/>
    <x v="188"/>
    <x v="71"/>
    <x v="0"/>
    <x v="3"/>
    <x v="1"/>
  </r>
  <r>
    <x v="453"/>
    <x v="104"/>
    <x v="9"/>
    <x v="0"/>
    <x v="24"/>
    <x v="645"/>
    <x v="23"/>
    <x v="593"/>
    <x v="8"/>
    <x v="4"/>
    <x v="0"/>
    <x v="1"/>
    <x v="3"/>
    <x v="3"/>
    <x v="9"/>
    <x v="10"/>
    <x v="3"/>
    <x v="732"/>
    <x v="677"/>
    <x v="0"/>
    <x v="0"/>
    <x v="0"/>
  </r>
  <r>
    <x v="454"/>
    <x v="134"/>
    <x v="9"/>
    <x v="1"/>
    <x v="35"/>
    <x v="696"/>
    <x v="27"/>
    <x v="132"/>
    <x v="1"/>
    <x v="4"/>
    <x v="0"/>
    <x v="1"/>
    <x v="3"/>
    <x v="3"/>
    <x v="6"/>
    <x v="3"/>
    <x v="3"/>
    <x v="752"/>
    <x v="752"/>
    <x v="0"/>
    <x v="0"/>
    <x v="0"/>
  </r>
  <r>
    <x v="455"/>
    <x v="72"/>
    <x v="9"/>
    <x v="0"/>
    <x v="10"/>
    <x v="158"/>
    <x v="8"/>
    <x v="554"/>
    <x v="3"/>
    <x v="2"/>
    <x v="0"/>
    <x v="3"/>
    <x v="2"/>
    <x v="1"/>
    <x v="10"/>
    <x v="7"/>
    <x v="2"/>
    <x v="164"/>
    <x v="159"/>
    <x v="0"/>
    <x v="3"/>
    <x v="3"/>
  </r>
  <r>
    <x v="456"/>
    <x v="137"/>
    <x v="1"/>
    <x v="1"/>
    <x v="7"/>
    <x v="332"/>
    <x v="9"/>
    <x v="19"/>
    <x v="9"/>
    <x v="4"/>
    <x v="1"/>
    <x v="3"/>
    <x v="2"/>
    <x v="1"/>
    <x v="0"/>
    <x v="5"/>
    <x v="3"/>
    <x v="472"/>
    <x v="352"/>
    <x v="1"/>
    <x v="2"/>
    <x v="3"/>
  </r>
  <r>
    <x v="457"/>
    <x v="69"/>
    <x v="1"/>
    <x v="1"/>
    <x v="5"/>
    <x v="55"/>
    <x v="5"/>
    <x v="754"/>
    <x v="2"/>
    <x v="4"/>
    <x v="0"/>
    <x v="3"/>
    <x v="1"/>
    <x v="1"/>
    <x v="11"/>
    <x v="4"/>
    <x v="3"/>
    <x v="193"/>
    <x v="73"/>
    <x v="0"/>
    <x v="3"/>
    <x v="2"/>
  </r>
  <r>
    <x v="458"/>
    <x v="67"/>
    <x v="9"/>
    <x v="0"/>
    <x v="5"/>
    <x v="64"/>
    <x v="5"/>
    <x v="660"/>
    <x v="5"/>
    <x v="0"/>
    <x v="1"/>
    <x v="3"/>
    <x v="1"/>
    <x v="1"/>
    <x v="5"/>
    <x v="2"/>
    <x v="1"/>
    <x v="13"/>
    <x v="58"/>
    <x v="1"/>
    <x v="3"/>
    <x v="2"/>
  </r>
  <r>
    <x v="459"/>
    <x v="120"/>
    <x v="1"/>
    <x v="1"/>
    <x v="0"/>
    <x v="2"/>
    <x v="0"/>
    <x v="536"/>
    <x v="6"/>
    <x v="0"/>
    <x v="0"/>
    <x v="0"/>
    <x v="1"/>
    <x v="0"/>
    <x v="8"/>
    <x v="1"/>
    <x v="1"/>
    <x v="2"/>
    <x v="2"/>
    <x v="0"/>
    <x v="3"/>
    <x v="1"/>
  </r>
  <r>
    <x v="460"/>
    <x v="121"/>
    <x v="5"/>
    <x v="1"/>
    <x v="18"/>
    <x v="399"/>
    <x v="13"/>
    <x v="888"/>
    <x v="4"/>
    <x v="3"/>
    <x v="0"/>
    <x v="1"/>
    <x v="0"/>
    <x v="2"/>
    <x v="6"/>
    <x v="2"/>
    <x v="0"/>
    <x v="0"/>
    <x v="341"/>
    <x v="0"/>
    <x v="1"/>
    <x v="3"/>
  </r>
  <r>
    <x v="461"/>
    <x v="28"/>
    <x v="9"/>
    <x v="0"/>
    <x v="38"/>
    <x v="812"/>
    <x v="30"/>
    <x v="457"/>
    <x v="2"/>
    <x v="4"/>
    <x v="1"/>
    <x v="1"/>
    <x v="3"/>
    <x v="3"/>
    <x v="4"/>
    <x v="6"/>
    <x v="3"/>
    <x v="796"/>
    <x v="859"/>
    <x v="1"/>
    <x v="0"/>
    <x v="0"/>
  </r>
  <r>
    <x v="462"/>
    <x v="123"/>
    <x v="1"/>
    <x v="1"/>
    <x v="0"/>
    <x v="10"/>
    <x v="0"/>
    <x v="206"/>
    <x v="2"/>
    <x v="4"/>
    <x v="0"/>
    <x v="0"/>
    <x v="1"/>
    <x v="0"/>
    <x v="2"/>
    <x v="11"/>
    <x v="3"/>
    <x v="120"/>
    <x v="18"/>
    <x v="0"/>
    <x v="3"/>
    <x v="1"/>
  </r>
  <r>
    <x v="463"/>
    <x v="126"/>
    <x v="7"/>
    <x v="1"/>
    <x v="6"/>
    <x v="93"/>
    <x v="5"/>
    <x v="555"/>
    <x v="6"/>
    <x v="1"/>
    <x v="0"/>
    <x v="3"/>
    <x v="1"/>
    <x v="1"/>
    <x v="11"/>
    <x v="7"/>
    <x v="4"/>
    <x v="385"/>
    <x v="117"/>
    <x v="0"/>
    <x v="3"/>
    <x v="2"/>
  </r>
  <r>
    <x v="464"/>
    <x v="12"/>
    <x v="9"/>
    <x v="1"/>
    <x v="6"/>
    <x v="211"/>
    <x v="6"/>
    <x v="607"/>
    <x v="5"/>
    <x v="4"/>
    <x v="0"/>
    <x v="3"/>
    <x v="2"/>
    <x v="1"/>
    <x v="5"/>
    <x v="7"/>
    <x v="3"/>
    <x v="393"/>
    <x v="238"/>
    <x v="0"/>
    <x v="2"/>
    <x v="2"/>
  </r>
  <r>
    <x v="465"/>
    <x v="31"/>
    <x v="6"/>
    <x v="0"/>
    <x v="31"/>
    <x v="543"/>
    <x v="22"/>
    <x v="425"/>
    <x v="9"/>
    <x v="0"/>
    <x v="0"/>
    <x v="1"/>
    <x v="0"/>
    <x v="3"/>
    <x v="5"/>
    <x v="1"/>
    <x v="1"/>
    <x v="161"/>
    <x v="509"/>
    <x v="0"/>
    <x v="1"/>
    <x v="0"/>
  </r>
  <r>
    <x v="466"/>
    <x v="71"/>
    <x v="2"/>
    <x v="1"/>
    <x v="17"/>
    <x v="334"/>
    <x v="11"/>
    <x v="129"/>
    <x v="6"/>
    <x v="2"/>
    <x v="0"/>
    <x v="1"/>
    <x v="2"/>
    <x v="2"/>
    <x v="7"/>
    <x v="0"/>
    <x v="2"/>
    <x v="304"/>
    <x v="330"/>
    <x v="0"/>
    <x v="2"/>
    <x v="3"/>
  </r>
  <r>
    <x v="467"/>
    <x v="44"/>
    <x v="2"/>
    <x v="1"/>
    <x v="14"/>
    <x v="252"/>
    <x v="9"/>
    <x v="801"/>
    <x v="0"/>
    <x v="2"/>
    <x v="0"/>
    <x v="3"/>
    <x v="2"/>
    <x v="2"/>
    <x v="5"/>
    <x v="9"/>
    <x v="2"/>
    <x v="230"/>
    <x v="244"/>
    <x v="0"/>
    <x v="2"/>
    <x v="3"/>
  </r>
  <r>
    <x v="468"/>
    <x v="184"/>
    <x v="9"/>
    <x v="0"/>
    <x v="30"/>
    <x v="598"/>
    <x v="23"/>
    <x v="345"/>
    <x v="6"/>
    <x v="2"/>
    <x v="0"/>
    <x v="1"/>
    <x v="0"/>
    <x v="3"/>
    <x v="7"/>
    <x v="7"/>
    <x v="2"/>
    <x v="491"/>
    <x v="592"/>
    <x v="0"/>
    <x v="1"/>
    <x v="0"/>
  </r>
  <r>
    <x v="469"/>
    <x v="91"/>
    <x v="4"/>
    <x v="1"/>
    <x v="16"/>
    <x v="245"/>
    <x v="9"/>
    <x v="795"/>
    <x v="1"/>
    <x v="2"/>
    <x v="0"/>
    <x v="3"/>
    <x v="2"/>
    <x v="2"/>
    <x v="7"/>
    <x v="7"/>
    <x v="2"/>
    <x v="228"/>
    <x v="241"/>
    <x v="0"/>
    <x v="2"/>
    <x v="3"/>
  </r>
  <r>
    <x v="470"/>
    <x v="84"/>
    <x v="1"/>
    <x v="0"/>
    <x v="9"/>
    <x v="285"/>
    <x v="11"/>
    <x v="763"/>
    <x v="3"/>
    <x v="2"/>
    <x v="1"/>
    <x v="1"/>
    <x v="2"/>
    <x v="1"/>
    <x v="2"/>
    <x v="8"/>
    <x v="2"/>
    <x v="262"/>
    <x v="283"/>
    <x v="1"/>
    <x v="2"/>
    <x v="3"/>
  </r>
  <r>
    <x v="471"/>
    <x v="68"/>
    <x v="1"/>
    <x v="1"/>
    <x v="24"/>
    <x v="692"/>
    <x v="23"/>
    <x v="66"/>
    <x v="2"/>
    <x v="1"/>
    <x v="0"/>
    <x v="1"/>
    <x v="3"/>
    <x v="3"/>
    <x v="1"/>
    <x v="1"/>
    <x v="4"/>
    <x v="866"/>
    <x v="796"/>
    <x v="0"/>
    <x v="0"/>
    <x v="0"/>
  </r>
  <r>
    <x v="472"/>
    <x v="75"/>
    <x v="5"/>
    <x v="1"/>
    <x v="39"/>
    <x v="963"/>
    <x v="35"/>
    <x v="333"/>
    <x v="8"/>
    <x v="0"/>
    <x v="1"/>
    <x v="1"/>
    <x v="3"/>
    <x v="3"/>
    <x v="8"/>
    <x v="0"/>
    <x v="1"/>
    <x v="357"/>
    <x v="914"/>
    <x v="1"/>
    <x v="0"/>
    <x v="0"/>
  </r>
  <r>
    <x v="473"/>
    <x v="100"/>
    <x v="9"/>
    <x v="1"/>
    <x v="18"/>
    <x v="493"/>
    <x v="19"/>
    <x v="171"/>
    <x v="0"/>
    <x v="1"/>
    <x v="0"/>
    <x v="1"/>
    <x v="0"/>
    <x v="2"/>
    <x v="2"/>
    <x v="7"/>
    <x v="4"/>
    <x v="761"/>
    <x v="541"/>
    <x v="0"/>
    <x v="1"/>
    <x v="0"/>
  </r>
  <r>
    <x v="474"/>
    <x v="89"/>
    <x v="1"/>
    <x v="0"/>
    <x v="17"/>
    <x v="391"/>
    <x v="11"/>
    <x v="681"/>
    <x v="8"/>
    <x v="2"/>
    <x v="0"/>
    <x v="1"/>
    <x v="0"/>
    <x v="2"/>
    <x v="9"/>
    <x v="0"/>
    <x v="2"/>
    <x v="352"/>
    <x v="388"/>
    <x v="0"/>
    <x v="1"/>
    <x v="3"/>
  </r>
  <r>
    <x v="475"/>
    <x v="183"/>
    <x v="1"/>
    <x v="0"/>
    <x v="10"/>
    <x v="360"/>
    <x v="10"/>
    <x v="75"/>
    <x v="2"/>
    <x v="2"/>
    <x v="0"/>
    <x v="1"/>
    <x v="2"/>
    <x v="1"/>
    <x v="9"/>
    <x v="4"/>
    <x v="2"/>
    <x v="325"/>
    <x v="358"/>
    <x v="0"/>
    <x v="2"/>
    <x v="3"/>
  </r>
  <r>
    <x v="476"/>
    <x v="193"/>
    <x v="9"/>
    <x v="1"/>
    <x v="38"/>
    <x v="961"/>
    <x v="35"/>
    <x v="898"/>
    <x v="5"/>
    <x v="0"/>
    <x v="0"/>
    <x v="1"/>
    <x v="3"/>
    <x v="3"/>
    <x v="9"/>
    <x v="7"/>
    <x v="1"/>
    <x v="353"/>
    <x v="904"/>
    <x v="0"/>
    <x v="0"/>
    <x v="0"/>
  </r>
  <r>
    <x v="477"/>
    <x v="106"/>
    <x v="3"/>
    <x v="0"/>
    <x v="39"/>
    <x v="935"/>
    <x v="35"/>
    <x v="819"/>
    <x v="0"/>
    <x v="3"/>
    <x v="0"/>
    <x v="1"/>
    <x v="3"/>
    <x v="3"/>
    <x v="8"/>
    <x v="4"/>
    <x v="0"/>
    <x v="0"/>
    <x v="828"/>
    <x v="0"/>
    <x v="0"/>
    <x v="0"/>
  </r>
  <r>
    <x v="478"/>
    <x v="29"/>
    <x v="3"/>
    <x v="0"/>
    <x v="7"/>
    <x v="0"/>
    <x v="1"/>
    <x v="228"/>
    <x v="6"/>
    <x v="1"/>
    <x v="0"/>
    <x v="0"/>
    <x v="1"/>
    <x v="1"/>
    <x v="6"/>
    <x v="10"/>
    <x v="4"/>
    <x v="191"/>
    <x v="19"/>
    <x v="0"/>
    <x v="3"/>
    <x v="1"/>
  </r>
  <r>
    <x v="479"/>
    <x v="57"/>
    <x v="6"/>
    <x v="0"/>
    <x v="38"/>
    <x v="939"/>
    <x v="32"/>
    <x v="604"/>
    <x v="0"/>
    <x v="1"/>
    <x v="0"/>
    <x v="1"/>
    <x v="3"/>
    <x v="3"/>
    <x v="3"/>
    <x v="6"/>
    <x v="4"/>
    <x v="902"/>
    <x v="970"/>
    <x v="0"/>
    <x v="0"/>
    <x v="0"/>
  </r>
  <r>
    <x v="480"/>
    <x v="28"/>
    <x v="7"/>
    <x v="0"/>
    <x v="16"/>
    <x v="417"/>
    <x v="15"/>
    <x v="771"/>
    <x v="1"/>
    <x v="1"/>
    <x v="0"/>
    <x v="1"/>
    <x v="0"/>
    <x v="2"/>
    <x v="6"/>
    <x v="11"/>
    <x v="4"/>
    <x v="707"/>
    <x v="457"/>
    <x v="0"/>
    <x v="1"/>
    <x v="0"/>
  </r>
  <r>
    <x v="481"/>
    <x v="84"/>
    <x v="4"/>
    <x v="1"/>
    <x v="39"/>
    <x v="922"/>
    <x v="31"/>
    <x v="570"/>
    <x v="2"/>
    <x v="2"/>
    <x v="0"/>
    <x v="1"/>
    <x v="3"/>
    <x v="3"/>
    <x v="2"/>
    <x v="3"/>
    <x v="2"/>
    <x v="661"/>
    <x v="908"/>
    <x v="0"/>
    <x v="0"/>
    <x v="0"/>
  </r>
  <r>
    <x v="482"/>
    <x v="76"/>
    <x v="0"/>
    <x v="1"/>
    <x v="26"/>
    <x v="622"/>
    <x v="22"/>
    <x v="419"/>
    <x v="4"/>
    <x v="0"/>
    <x v="0"/>
    <x v="1"/>
    <x v="3"/>
    <x v="3"/>
    <x v="2"/>
    <x v="11"/>
    <x v="1"/>
    <x v="198"/>
    <x v="571"/>
    <x v="0"/>
    <x v="0"/>
    <x v="0"/>
  </r>
  <r>
    <x v="483"/>
    <x v="56"/>
    <x v="0"/>
    <x v="0"/>
    <x v="31"/>
    <x v="907"/>
    <x v="33"/>
    <x v="283"/>
    <x v="0"/>
    <x v="4"/>
    <x v="0"/>
    <x v="1"/>
    <x v="3"/>
    <x v="3"/>
    <x v="3"/>
    <x v="8"/>
    <x v="3"/>
    <x v="829"/>
    <x v="930"/>
    <x v="0"/>
    <x v="0"/>
    <x v="0"/>
  </r>
  <r>
    <x v="484"/>
    <x v="59"/>
    <x v="4"/>
    <x v="0"/>
    <x v="31"/>
    <x v="848"/>
    <x v="32"/>
    <x v="234"/>
    <x v="0"/>
    <x v="4"/>
    <x v="0"/>
    <x v="1"/>
    <x v="3"/>
    <x v="3"/>
    <x v="9"/>
    <x v="11"/>
    <x v="3"/>
    <x v="811"/>
    <x v="891"/>
    <x v="0"/>
    <x v="0"/>
    <x v="0"/>
  </r>
  <r>
    <x v="485"/>
    <x v="57"/>
    <x v="1"/>
    <x v="1"/>
    <x v="9"/>
    <x v="104"/>
    <x v="3"/>
    <x v="589"/>
    <x v="7"/>
    <x v="1"/>
    <x v="0"/>
    <x v="2"/>
    <x v="1"/>
    <x v="1"/>
    <x v="5"/>
    <x v="9"/>
    <x v="4"/>
    <x v="398"/>
    <x v="135"/>
    <x v="0"/>
    <x v="3"/>
    <x v="2"/>
  </r>
  <r>
    <x v="486"/>
    <x v="40"/>
    <x v="9"/>
    <x v="1"/>
    <x v="33"/>
    <x v="747"/>
    <x v="25"/>
    <x v="764"/>
    <x v="4"/>
    <x v="2"/>
    <x v="0"/>
    <x v="1"/>
    <x v="3"/>
    <x v="3"/>
    <x v="4"/>
    <x v="8"/>
    <x v="2"/>
    <x v="576"/>
    <x v="746"/>
    <x v="0"/>
    <x v="0"/>
    <x v="0"/>
  </r>
  <r>
    <x v="487"/>
    <x v="19"/>
    <x v="9"/>
    <x v="0"/>
    <x v="30"/>
    <x v="807"/>
    <x v="27"/>
    <x v="74"/>
    <x v="2"/>
    <x v="1"/>
    <x v="0"/>
    <x v="1"/>
    <x v="3"/>
    <x v="3"/>
    <x v="2"/>
    <x v="4"/>
    <x v="4"/>
    <x v="884"/>
    <x v="896"/>
    <x v="0"/>
    <x v="0"/>
    <x v="0"/>
  </r>
  <r>
    <x v="488"/>
    <x v="33"/>
    <x v="2"/>
    <x v="0"/>
    <x v="3"/>
    <x v="7"/>
    <x v="1"/>
    <x v="120"/>
    <x v="3"/>
    <x v="2"/>
    <x v="0"/>
    <x v="0"/>
    <x v="1"/>
    <x v="0"/>
    <x v="7"/>
    <x v="9"/>
    <x v="2"/>
    <x v="36"/>
    <x v="12"/>
    <x v="0"/>
    <x v="3"/>
    <x v="1"/>
  </r>
  <r>
    <x v="489"/>
    <x v="96"/>
    <x v="9"/>
    <x v="1"/>
    <x v="15"/>
    <x v="422"/>
    <x v="14"/>
    <x v="20"/>
    <x v="4"/>
    <x v="0"/>
    <x v="0"/>
    <x v="1"/>
    <x v="0"/>
    <x v="2"/>
    <x v="3"/>
    <x v="5"/>
    <x v="1"/>
    <x v="113"/>
    <x v="391"/>
    <x v="0"/>
    <x v="1"/>
    <x v="3"/>
  </r>
  <r>
    <x v="490"/>
    <x v="21"/>
    <x v="9"/>
    <x v="1"/>
    <x v="3"/>
    <x v="0"/>
    <x v="0"/>
    <x v="119"/>
    <x v="6"/>
    <x v="2"/>
    <x v="1"/>
    <x v="0"/>
    <x v="1"/>
    <x v="0"/>
    <x v="6"/>
    <x v="9"/>
    <x v="2"/>
    <x v="29"/>
    <x v="5"/>
    <x v="1"/>
    <x v="3"/>
    <x v="1"/>
  </r>
  <r>
    <x v="491"/>
    <x v="4"/>
    <x v="8"/>
    <x v="1"/>
    <x v="35"/>
    <x v="957"/>
    <x v="33"/>
    <x v="903"/>
    <x v="4"/>
    <x v="2"/>
    <x v="0"/>
    <x v="1"/>
    <x v="3"/>
    <x v="3"/>
    <x v="10"/>
    <x v="10"/>
    <x v="2"/>
    <x v="679"/>
    <x v="940"/>
    <x v="0"/>
    <x v="0"/>
    <x v="0"/>
  </r>
  <r>
    <x v="492"/>
    <x v="122"/>
    <x v="3"/>
    <x v="1"/>
    <x v="8"/>
    <x v="279"/>
    <x v="10"/>
    <x v="77"/>
    <x v="5"/>
    <x v="0"/>
    <x v="0"/>
    <x v="1"/>
    <x v="2"/>
    <x v="1"/>
    <x v="4"/>
    <x v="5"/>
    <x v="1"/>
    <x v="57"/>
    <x v="247"/>
    <x v="0"/>
    <x v="2"/>
    <x v="3"/>
  </r>
  <r>
    <x v="493"/>
    <x v="100"/>
    <x v="0"/>
    <x v="1"/>
    <x v="25"/>
    <x v="477"/>
    <x v="17"/>
    <x v="50"/>
    <x v="2"/>
    <x v="1"/>
    <x v="0"/>
    <x v="1"/>
    <x v="0"/>
    <x v="3"/>
    <x v="2"/>
    <x v="6"/>
    <x v="4"/>
    <x v="749"/>
    <x v="528"/>
    <x v="0"/>
    <x v="1"/>
    <x v="0"/>
  </r>
  <r>
    <x v="494"/>
    <x v="31"/>
    <x v="3"/>
    <x v="1"/>
    <x v="38"/>
    <x v="912"/>
    <x v="31"/>
    <x v="620"/>
    <x v="9"/>
    <x v="4"/>
    <x v="0"/>
    <x v="1"/>
    <x v="3"/>
    <x v="3"/>
    <x v="1"/>
    <x v="2"/>
    <x v="3"/>
    <x v="833"/>
    <x v="934"/>
    <x v="0"/>
    <x v="0"/>
    <x v="0"/>
  </r>
  <r>
    <x v="495"/>
    <x v="19"/>
    <x v="7"/>
    <x v="0"/>
    <x v="35"/>
    <x v="910"/>
    <x v="33"/>
    <x v="782"/>
    <x v="9"/>
    <x v="4"/>
    <x v="0"/>
    <x v="1"/>
    <x v="3"/>
    <x v="3"/>
    <x v="10"/>
    <x v="2"/>
    <x v="3"/>
    <x v="832"/>
    <x v="933"/>
    <x v="0"/>
    <x v="0"/>
    <x v="0"/>
  </r>
  <r>
    <x v="496"/>
    <x v="1"/>
    <x v="6"/>
    <x v="1"/>
    <x v="34"/>
    <x v="799"/>
    <x v="32"/>
    <x v="329"/>
    <x v="1"/>
    <x v="0"/>
    <x v="0"/>
    <x v="1"/>
    <x v="3"/>
    <x v="3"/>
    <x v="5"/>
    <x v="10"/>
    <x v="1"/>
    <x v="283"/>
    <x v="748"/>
    <x v="0"/>
    <x v="0"/>
    <x v="0"/>
  </r>
  <r>
    <x v="497"/>
    <x v="70"/>
    <x v="0"/>
    <x v="1"/>
    <x v="25"/>
    <x v="523"/>
    <x v="21"/>
    <x v="567"/>
    <x v="0"/>
    <x v="2"/>
    <x v="0"/>
    <x v="1"/>
    <x v="0"/>
    <x v="3"/>
    <x v="1"/>
    <x v="2"/>
    <x v="2"/>
    <x v="441"/>
    <x v="513"/>
    <x v="0"/>
    <x v="1"/>
    <x v="0"/>
  </r>
  <r>
    <x v="498"/>
    <x v="53"/>
    <x v="5"/>
    <x v="1"/>
    <x v="13"/>
    <x v="259"/>
    <x v="9"/>
    <x v="612"/>
    <x v="1"/>
    <x v="2"/>
    <x v="0"/>
    <x v="3"/>
    <x v="2"/>
    <x v="1"/>
    <x v="7"/>
    <x v="8"/>
    <x v="2"/>
    <x v="233"/>
    <x v="254"/>
    <x v="0"/>
    <x v="2"/>
    <x v="3"/>
  </r>
  <r>
    <x v="499"/>
    <x v="53"/>
    <x v="2"/>
    <x v="0"/>
    <x v="28"/>
    <x v="569"/>
    <x v="19"/>
    <x v="340"/>
    <x v="8"/>
    <x v="2"/>
    <x v="0"/>
    <x v="1"/>
    <x v="0"/>
    <x v="3"/>
    <x v="3"/>
    <x v="4"/>
    <x v="2"/>
    <x v="471"/>
    <x v="559"/>
    <x v="0"/>
    <x v="1"/>
    <x v="0"/>
  </r>
  <r>
    <x v="500"/>
    <x v="9"/>
    <x v="0"/>
    <x v="0"/>
    <x v="39"/>
    <x v="905"/>
    <x v="35"/>
    <x v="480"/>
    <x v="4"/>
    <x v="4"/>
    <x v="0"/>
    <x v="1"/>
    <x v="3"/>
    <x v="3"/>
    <x v="4"/>
    <x v="3"/>
    <x v="3"/>
    <x v="828"/>
    <x v="928"/>
    <x v="0"/>
    <x v="0"/>
    <x v="0"/>
  </r>
  <r>
    <x v="501"/>
    <x v="166"/>
    <x v="8"/>
    <x v="0"/>
    <x v="37"/>
    <x v="745"/>
    <x v="28"/>
    <x v="849"/>
    <x v="0"/>
    <x v="0"/>
    <x v="1"/>
    <x v="1"/>
    <x v="3"/>
    <x v="3"/>
    <x v="3"/>
    <x v="8"/>
    <x v="1"/>
    <x v="252"/>
    <x v="690"/>
    <x v="1"/>
    <x v="0"/>
    <x v="0"/>
  </r>
  <r>
    <x v="502"/>
    <x v="67"/>
    <x v="5"/>
    <x v="0"/>
    <x v="21"/>
    <x v="380"/>
    <x v="14"/>
    <x v="173"/>
    <x v="2"/>
    <x v="2"/>
    <x v="0"/>
    <x v="1"/>
    <x v="2"/>
    <x v="2"/>
    <x v="5"/>
    <x v="7"/>
    <x v="2"/>
    <x v="341"/>
    <x v="382"/>
    <x v="0"/>
    <x v="2"/>
    <x v="3"/>
  </r>
  <r>
    <x v="503"/>
    <x v="124"/>
    <x v="3"/>
    <x v="0"/>
    <x v="15"/>
    <x v="368"/>
    <x v="11"/>
    <x v="475"/>
    <x v="5"/>
    <x v="1"/>
    <x v="0"/>
    <x v="1"/>
    <x v="2"/>
    <x v="2"/>
    <x v="10"/>
    <x v="1"/>
    <x v="4"/>
    <x v="667"/>
    <x v="421"/>
    <x v="0"/>
    <x v="2"/>
    <x v="3"/>
  </r>
  <r>
    <x v="504"/>
    <x v="33"/>
    <x v="1"/>
    <x v="0"/>
    <x v="23"/>
    <x v="371"/>
    <x v="14"/>
    <x v="67"/>
    <x v="7"/>
    <x v="1"/>
    <x v="0"/>
    <x v="1"/>
    <x v="2"/>
    <x v="2"/>
    <x v="4"/>
    <x v="1"/>
    <x v="4"/>
    <x v="668"/>
    <x v="423"/>
    <x v="0"/>
    <x v="2"/>
    <x v="3"/>
  </r>
  <r>
    <x v="505"/>
    <x v="194"/>
    <x v="8"/>
    <x v="1"/>
    <x v="19"/>
    <x v="449"/>
    <x v="15"/>
    <x v="243"/>
    <x v="6"/>
    <x v="2"/>
    <x v="0"/>
    <x v="1"/>
    <x v="0"/>
    <x v="2"/>
    <x v="0"/>
    <x v="2"/>
    <x v="2"/>
    <x v="392"/>
    <x v="448"/>
    <x v="0"/>
    <x v="1"/>
    <x v="0"/>
  </r>
  <r>
    <x v="506"/>
    <x v="184"/>
    <x v="3"/>
    <x v="0"/>
    <x v="11"/>
    <x v="207"/>
    <x v="6"/>
    <x v="396"/>
    <x v="6"/>
    <x v="0"/>
    <x v="0"/>
    <x v="3"/>
    <x v="2"/>
    <x v="1"/>
    <x v="0"/>
    <x v="2"/>
    <x v="1"/>
    <x v="35"/>
    <x v="182"/>
    <x v="0"/>
    <x v="2"/>
    <x v="2"/>
  </r>
  <r>
    <x v="507"/>
    <x v="172"/>
    <x v="2"/>
    <x v="0"/>
    <x v="4"/>
    <x v="75"/>
    <x v="3"/>
    <x v="256"/>
    <x v="4"/>
    <x v="4"/>
    <x v="0"/>
    <x v="2"/>
    <x v="1"/>
    <x v="1"/>
    <x v="9"/>
    <x v="9"/>
    <x v="3"/>
    <x v="222"/>
    <x v="89"/>
    <x v="0"/>
    <x v="3"/>
    <x v="2"/>
  </r>
  <r>
    <x v="508"/>
    <x v="151"/>
    <x v="4"/>
    <x v="1"/>
    <x v="12"/>
    <x v="138"/>
    <x v="3"/>
    <x v="320"/>
    <x v="0"/>
    <x v="2"/>
    <x v="0"/>
    <x v="2"/>
    <x v="2"/>
    <x v="1"/>
    <x v="3"/>
    <x v="7"/>
    <x v="2"/>
    <x v="149"/>
    <x v="138"/>
    <x v="0"/>
    <x v="3"/>
    <x v="2"/>
  </r>
  <r>
    <x v="509"/>
    <x v="33"/>
    <x v="9"/>
    <x v="0"/>
    <x v="34"/>
    <x v="945"/>
    <x v="34"/>
    <x v="267"/>
    <x v="8"/>
    <x v="4"/>
    <x v="1"/>
    <x v="1"/>
    <x v="3"/>
    <x v="3"/>
    <x v="9"/>
    <x v="0"/>
    <x v="3"/>
    <x v="847"/>
    <x v="955"/>
    <x v="1"/>
    <x v="0"/>
    <x v="0"/>
  </r>
  <r>
    <x v="510"/>
    <x v="18"/>
    <x v="5"/>
    <x v="0"/>
    <x v="19"/>
    <x v="419"/>
    <x v="16"/>
    <x v="257"/>
    <x v="6"/>
    <x v="1"/>
    <x v="0"/>
    <x v="1"/>
    <x v="0"/>
    <x v="2"/>
    <x v="2"/>
    <x v="10"/>
    <x v="4"/>
    <x v="708"/>
    <x v="462"/>
    <x v="0"/>
    <x v="1"/>
    <x v="0"/>
  </r>
  <r>
    <x v="511"/>
    <x v="193"/>
    <x v="2"/>
    <x v="1"/>
    <x v="14"/>
    <x v="361"/>
    <x v="10"/>
    <x v="438"/>
    <x v="1"/>
    <x v="1"/>
    <x v="0"/>
    <x v="1"/>
    <x v="2"/>
    <x v="2"/>
    <x v="8"/>
    <x v="5"/>
    <x v="4"/>
    <x v="656"/>
    <x v="407"/>
    <x v="0"/>
    <x v="2"/>
    <x v="3"/>
  </r>
  <r>
    <x v="512"/>
    <x v="35"/>
    <x v="2"/>
    <x v="1"/>
    <x v="20"/>
    <x v="234"/>
    <x v="11"/>
    <x v="876"/>
    <x v="1"/>
    <x v="4"/>
    <x v="0"/>
    <x v="1"/>
    <x v="2"/>
    <x v="2"/>
    <x v="9"/>
    <x v="8"/>
    <x v="3"/>
    <x v="405"/>
    <x v="255"/>
    <x v="0"/>
    <x v="2"/>
    <x v="3"/>
  </r>
  <r>
    <x v="513"/>
    <x v="186"/>
    <x v="8"/>
    <x v="0"/>
    <x v="10"/>
    <x v="336"/>
    <x v="12"/>
    <x v="289"/>
    <x v="9"/>
    <x v="2"/>
    <x v="0"/>
    <x v="1"/>
    <x v="2"/>
    <x v="1"/>
    <x v="0"/>
    <x v="0"/>
    <x v="2"/>
    <x v="306"/>
    <x v="332"/>
    <x v="0"/>
    <x v="2"/>
    <x v="3"/>
  </r>
  <r>
    <x v="514"/>
    <x v="76"/>
    <x v="9"/>
    <x v="0"/>
    <x v="20"/>
    <x v="426"/>
    <x v="13"/>
    <x v="175"/>
    <x v="0"/>
    <x v="2"/>
    <x v="1"/>
    <x v="1"/>
    <x v="0"/>
    <x v="2"/>
    <x v="10"/>
    <x v="7"/>
    <x v="2"/>
    <x v="376"/>
    <x v="418"/>
    <x v="1"/>
    <x v="1"/>
    <x v="3"/>
  </r>
  <r>
    <x v="515"/>
    <x v="127"/>
    <x v="3"/>
    <x v="0"/>
    <x v="36"/>
    <x v="886"/>
    <x v="35"/>
    <x v="663"/>
    <x v="2"/>
    <x v="1"/>
    <x v="0"/>
    <x v="1"/>
    <x v="3"/>
    <x v="3"/>
    <x v="4"/>
    <x v="3"/>
    <x v="4"/>
    <x v="895"/>
    <x v="948"/>
    <x v="0"/>
    <x v="0"/>
    <x v="0"/>
  </r>
  <r>
    <x v="516"/>
    <x v="173"/>
    <x v="8"/>
    <x v="1"/>
    <x v="3"/>
    <x v="80"/>
    <x v="5"/>
    <x v="225"/>
    <x v="7"/>
    <x v="3"/>
    <x v="0"/>
    <x v="3"/>
    <x v="1"/>
    <x v="0"/>
    <x v="9"/>
    <x v="8"/>
    <x v="0"/>
    <x v="0"/>
    <x v="57"/>
    <x v="0"/>
    <x v="3"/>
    <x v="2"/>
  </r>
  <r>
    <x v="517"/>
    <x v="154"/>
    <x v="5"/>
    <x v="1"/>
    <x v="21"/>
    <x v="556"/>
    <x v="23"/>
    <x v="500"/>
    <x v="4"/>
    <x v="4"/>
    <x v="0"/>
    <x v="1"/>
    <x v="0"/>
    <x v="2"/>
    <x v="6"/>
    <x v="11"/>
    <x v="3"/>
    <x v="678"/>
    <x v="585"/>
    <x v="0"/>
    <x v="1"/>
    <x v="0"/>
  </r>
  <r>
    <x v="518"/>
    <x v="20"/>
    <x v="8"/>
    <x v="1"/>
    <x v="30"/>
    <x v="762"/>
    <x v="30"/>
    <x v="751"/>
    <x v="8"/>
    <x v="4"/>
    <x v="0"/>
    <x v="1"/>
    <x v="3"/>
    <x v="3"/>
    <x v="6"/>
    <x v="3"/>
    <x v="3"/>
    <x v="777"/>
    <x v="807"/>
    <x v="0"/>
    <x v="0"/>
    <x v="0"/>
  </r>
  <r>
    <x v="519"/>
    <x v="131"/>
    <x v="8"/>
    <x v="0"/>
    <x v="32"/>
    <x v="943"/>
    <x v="33"/>
    <x v="279"/>
    <x v="1"/>
    <x v="2"/>
    <x v="0"/>
    <x v="1"/>
    <x v="3"/>
    <x v="3"/>
    <x v="6"/>
    <x v="6"/>
    <x v="2"/>
    <x v="674"/>
    <x v="926"/>
    <x v="0"/>
    <x v="0"/>
    <x v="0"/>
  </r>
  <r>
    <x v="520"/>
    <x v="115"/>
    <x v="9"/>
    <x v="1"/>
    <x v="37"/>
    <x v="902"/>
    <x v="31"/>
    <x v="486"/>
    <x v="8"/>
    <x v="0"/>
    <x v="0"/>
    <x v="1"/>
    <x v="3"/>
    <x v="3"/>
    <x v="11"/>
    <x v="4"/>
    <x v="1"/>
    <x v="322"/>
    <x v="845"/>
    <x v="0"/>
    <x v="0"/>
    <x v="0"/>
  </r>
  <r>
    <x v="521"/>
    <x v="146"/>
    <x v="7"/>
    <x v="0"/>
    <x v="6"/>
    <x v="0"/>
    <x v="1"/>
    <x v="747"/>
    <x v="6"/>
    <x v="0"/>
    <x v="0"/>
    <x v="0"/>
    <x v="1"/>
    <x v="1"/>
    <x v="4"/>
    <x v="1"/>
    <x v="1"/>
    <x v="1"/>
    <x v="1"/>
    <x v="0"/>
    <x v="3"/>
    <x v="1"/>
  </r>
  <r>
    <x v="522"/>
    <x v="171"/>
    <x v="5"/>
    <x v="0"/>
    <x v="11"/>
    <x v="344"/>
    <x v="13"/>
    <x v="743"/>
    <x v="3"/>
    <x v="4"/>
    <x v="1"/>
    <x v="1"/>
    <x v="2"/>
    <x v="1"/>
    <x v="6"/>
    <x v="0"/>
    <x v="3"/>
    <x v="485"/>
    <x v="369"/>
    <x v="1"/>
    <x v="2"/>
    <x v="3"/>
  </r>
  <r>
    <x v="523"/>
    <x v="7"/>
    <x v="9"/>
    <x v="0"/>
    <x v="15"/>
    <x v="194"/>
    <x v="7"/>
    <x v="811"/>
    <x v="2"/>
    <x v="4"/>
    <x v="0"/>
    <x v="3"/>
    <x v="2"/>
    <x v="2"/>
    <x v="7"/>
    <x v="1"/>
    <x v="3"/>
    <x v="380"/>
    <x v="219"/>
    <x v="0"/>
    <x v="2"/>
    <x v="2"/>
  </r>
  <r>
    <x v="524"/>
    <x v="189"/>
    <x v="1"/>
    <x v="0"/>
    <x v="35"/>
    <x v="728"/>
    <x v="30"/>
    <x v="483"/>
    <x v="3"/>
    <x v="2"/>
    <x v="0"/>
    <x v="1"/>
    <x v="3"/>
    <x v="3"/>
    <x v="3"/>
    <x v="4"/>
    <x v="2"/>
    <x v="564"/>
    <x v="727"/>
    <x v="0"/>
    <x v="0"/>
    <x v="0"/>
  </r>
  <r>
    <x v="525"/>
    <x v="89"/>
    <x v="7"/>
    <x v="1"/>
    <x v="35"/>
    <x v="960"/>
    <x v="33"/>
    <x v="818"/>
    <x v="1"/>
    <x v="2"/>
    <x v="1"/>
    <x v="1"/>
    <x v="3"/>
    <x v="3"/>
    <x v="7"/>
    <x v="4"/>
    <x v="2"/>
    <x v="681"/>
    <x v="942"/>
    <x v="1"/>
    <x v="0"/>
    <x v="0"/>
  </r>
  <r>
    <x v="526"/>
    <x v="83"/>
    <x v="0"/>
    <x v="1"/>
    <x v="15"/>
    <x v="473"/>
    <x v="17"/>
    <x v="23"/>
    <x v="0"/>
    <x v="2"/>
    <x v="0"/>
    <x v="1"/>
    <x v="0"/>
    <x v="2"/>
    <x v="8"/>
    <x v="6"/>
    <x v="2"/>
    <x v="411"/>
    <x v="476"/>
    <x v="0"/>
    <x v="1"/>
    <x v="0"/>
  </r>
  <r>
    <x v="527"/>
    <x v="119"/>
    <x v="1"/>
    <x v="0"/>
    <x v="9"/>
    <x v="190"/>
    <x v="7"/>
    <x v="497"/>
    <x v="9"/>
    <x v="4"/>
    <x v="1"/>
    <x v="3"/>
    <x v="2"/>
    <x v="1"/>
    <x v="0"/>
    <x v="11"/>
    <x v="3"/>
    <x v="378"/>
    <x v="213"/>
    <x v="1"/>
    <x v="3"/>
    <x v="2"/>
  </r>
  <r>
    <x v="528"/>
    <x v="28"/>
    <x v="1"/>
    <x v="1"/>
    <x v="35"/>
    <x v="860"/>
    <x v="33"/>
    <x v="217"/>
    <x v="7"/>
    <x v="4"/>
    <x v="1"/>
    <x v="1"/>
    <x v="3"/>
    <x v="3"/>
    <x v="2"/>
    <x v="5"/>
    <x v="3"/>
    <x v="813"/>
    <x v="899"/>
    <x v="1"/>
    <x v="0"/>
    <x v="0"/>
  </r>
  <r>
    <x v="529"/>
    <x v="45"/>
    <x v="7"/>
    <x v="1"/>
    <x v="32"/>
    <x v="835"/>
    <x v="32"/>
    <x v="508"/>
    <x v="8"/>
    <x v="0"/>
    <x v="0"/>
    <x v="1"/>
    <x v="3"/>
    <x v="3"/>
    <x v="7"/>
    <x v="1"/>
    <x v="1"/>
    <x v="298"/>
    <x v="789"/>
    <x v="0"/>
    <x v="0"/>
    <x v="0"/>
  </r>
  <r>
    <x v="530"/>
    <x v="48"/>
    <x v="3"/>
    <x v="0"/>
    <x v="39"/>
    <x v="851"/>
    <x v="33"/>
    <x v="210"/>
    <x v="3"/>
    <x v="2"/>
    <x v="0"/>
    <x v="1"/>
    <x v="3"/>
    <x v="3"/>
    <x v="4"/>
    <x v="1"/>
    <x v="2"/>
    <x v="627"/>
    <x v="849"/>
    <x v="0"/>
    <x v="0"/>
    <x v="0"/>
  </r>
  <r>
    <x v="531"/>
    <x v="176"/>
    <x v="8"/>
    <x v="0"/>
    <x v="8"/>
    <x v="181"/>
    <x v="5"/>
    <x v="365"/>
    <x v="9"/>
    <x v="1"/>
    <x v="0"/>
    <x v="3"/>
    <x v="2"/>
    <x v="1"/>
    <x v="1"/>
    <x v="4"/>
    <x v="4"/>
    <x v="479"/>
    <x v="221"/>
    <x v="0"/>
    <x v="3"/>
    <x v="2"/>
  </r>
  <r>
    <x v="532"/>
    <x v="38"/>
    <x v="6"/>
    <x v="1"/>
    <x v="21"/>
    <x v="514"/>
    <x v="20"/>
    <x v="140"/>
    <x v="1"/>
    <x v="4"/>
    <x v="0"/>
    <x v="1"/>
    <x v="0"/>
    <x v="2"/>
    <x v="6"/>
    <x v="6"/>
    <x v="3"/>
    <x v="642"/>
    <x v="532"/>
    <x v="0"/>
    <x v="1"/>
    <x v="0"/>
  </r>
  <r>
    <x v="533"/>
    <x v="195"/>
    <x v="2"/>
    <x v="0"/>
    <x v="16"/>
    <x v="405"/>
    <x v="17"/>
    <x v="502"/>
    <x v="0"/>
    <x v="4"/>
    <x v="0"/>
    <x v="1"/>
    <x v="0"/>
    <x v="2"/>
    <x v="2"/>
    <x v="0"/>
    <x v="3"/>
    <x v="533"/>
    <x v="427"/>
    <x v="0"/>
    <x v="1"/>
    <x v="0"/>
  </r>
  <r>
    <x v="534"/>
    <x v="36"/>
    <x v="2"/>
    <x v="1"/>
    <x v="15"/>
    <x v="363"/>
    <x v="15"/>
    <x v="716"/>
    <x v="7"/>
    <x v="2"/>
    <x v="0"/>
    <x v="1"/>
    <x v="2"/>
    <x v="2"/>
    <x v="6"/>
    <x v="2"/>
    <x v="2"/>
    <x v="329"/>
    <x v="361"/>
    <x v="0"/>
    <x v="2"/>
    <x v="0"/>
  </r>
  <r>
    <x v="535"/>
    <x v="73"/>
    <x v="1"/>
    <x v="0"/>
    <x v="2"/>
    <x v="100"/>
    <x v="3"/>
    <x v="461"/>
    <x v="4"/>
    <x v="1"/>
    <x v="0"/>
    <x v="2"/>
    <x v="1"/>
    <x v="0"/>
    <x v="1"/>
    <x v="7"/>
    <x v="4"/>
    <x v="394"/>
    <x v="125"/>
    <x v="0"/>
    <x v="3"/>
    <x v="2"/>
  </r>
  <r>
    <x v="536"/>
    <x v="33"/>
    <x v="2"/>
    <x v="1"/>
    <x v="22"/>
    <x v="631"/>
    <x v="21"/>
    <x v="149"/>
    <x v="7"/>
    <x v="3"/>
    <x v="0"/>
    <x v="1"/>
    <x v="3"/>
    <x v="2"/>
    <x v="1"/>
    <x v="10"/>
    <x v="0"/>
    <x v="0"/>
    <x v="540"/>
    <x v="0"/>
    <x v="0"/>
    <x v="0"/>
  </r>
  <r>
    <x v="537"/>
    <x v="53"/>
    <x v="6"/>
    <x v="0"/>
    <x v="11"/>
    <x v="160"/>
    <x v="6"/>
    <x v="250"/>
    <x v="5"/>
    <x v="2"/>
    <x v="0"/>
    <x v="3"/>
    <x v="2"/>
    <x v="1"/>
    <x v="10"/>
    <x v="6"/>
    <x v="2"/>
    <x v="166"/>
    <x v="160"/>
    <x v="0"/>
    <x v="3"/>
    <x v="2"/>
  </r>
  <r>
    <x v="538"/>
    <x v="68"/>
    <x v="7"/>
    <x v="0"/>
    <x v="20"/>
    <x v="331"/>
    <x v="11"/>
    <x v="390"/>
    <x v="7"/>
    <x v="2"/>
    <x v="1"/>
    <x v="1"/>
    <x v="2"/>
    <x v="2"/>
    <x v="7"/>
    <x v="0"/>
    <x v="2"/>
    <x v="300"/>
    <x v="323"/>
    <x v="1"/>
    <x v="2"/>
    <x v="3"/>
  </r>
  <r>
    <x v="539"/>
    <x v="99"/>
    <x v="5"/>
    <x v="1"/>
    <x v="12"/>
    <x v="301"/>
    <x v="10"/>
    <x v="255"/>
    <x v="4"/>
    <x v="2"/>
    <x v="0"/>
    <x v="1"/>
    <x v="2"/>
    <x v="1"/>
    <x v="2"/>
    <x v="9"/>
    <x v="2"/>
    <x v="278"/>
    <x v="297"/>
    <x v="0"/>
    <x v="2"/>
    <x v="3"/>
  </r>
  <r>
    <x v="540"/>
    <x v="162"/>
    <x v="0"/>
    <x v="1"/>
    <x v="39"/>
    <x v="947"/>
    <x v="34"/>
    <x v="237"/>
    <x v="2"/>
    <x v="4"/>
    <x v="0"/>
    <x v="1"/>
    <x v="3"/>
    <x v="3"/>
    <x v="9"/>
    <x v="0"/>
    <x v="3"/>
    <x v="849"/>
    <x v="959"/>
    <x v="0"/>
    <x v="0"/>
    <x v="0"/>
  </r>
  <r>
    <x v="541"/>
    <x v="191"/>
    <x v="9"/>
    <x v="1"/>
    <x v="22"/>
    <x v="447"/>
    <x v="13"/>
    <x v="33"/>
    <x v="8"/>
    <x v="0"/>
    <x v="0"/>
    <x v="1"/>
    <x v="0"/>
    <x v="2"/>
    <x v="9"/>
    <x v="11"/>
    <x v="1"/>
    <x v="119"/>
    <x v="420"/>
    <x v="0"/>
    <x v="1"/>
    <x v="3"/>
  </r>
  <r>
    <x v="542"/>
    <x v="37"/>
    <x v="6"/>
    <x v="0"/>
    <x v="30"/>
    <x v="924"/>
    <x v="31"/>
    <x v="587"/>
    <x v="8"/>
    <x v="4"/>
    <x v="1"/>
    <x v="1"/>
    <x v="3"/>
    <x v="3"/>
    <x v="10"/>
    <x v="8"/>
    <x v="3"/>
    <x v="838"/>
    <x v="944"/>
    <x v="1"/>
    <x v="0"/>
    <x v="0"/>
  </r>
  <r>
    <x v="543"/>
    <x v="128"/>
    <x v="9"/>
    <x v="1"/>
    <x v="14"/>
    <x v="256"/>
    <x v="6"/>
    <x v="48"/>
    <x v="0"/>
    <x v="4"/>
    <x v="0"/>
    <x v="3"/>
    <x v="2"/>
    <x v="2"/>
    <x v="8"/>
    <x v="5"/>
    <x v="3"/>
    <x v="419"/>
    <x v="275"/>
    <x v="0"/>
    <x v="2"/>
    <x v="2"/>
  </r>
  <r>
    <x v="544"/>
    <x v="82"/>
    <x v="9"/>
    <x v="1"/>
    <x v="0"/>
    <x v="0"/>
    <x v="0"/>
    <x v="786"/>
    <x v="2"/>
    <x v="2"/>
    <x v="0"/>
    <x v="0"/>
    <x v="1"/>
    <x v="0"/>
    <x v="10"/>
    <x v="3"/>
    <x v="2"/>
    <x v="29"/>
    <x v="5"/>
    <x v="0"/>
    <x v="3"/>
    <x v="1"/>
  </r>
  <r>
    <x v="545"/>
    <x v="153"/>
    <x v="3"/>
    <x v="0"/>
    <x v="26"/>
    <x v="516"/>
    <x v="19"/>
    <x v="30"/>
    <x v="1"/>
    <x v="2"/>
    <x v="0"/>
    <x v="1"/>
    <x v="0"/>
    <x v="3"/>
    <x v="9"/>
    <x v="10"/>
    <x v="2"/>
    <x v="435"/>
    <x v="510"/>
    <x v="0"/>
    <x v="1"/>
    <x v="0"/>
  </r>
  <r>
    <x v="546"/>
    <x v="18"/>
    <x v="6"/>
    <x v="1"/>
    <x v="16"/>
    <x v="510"/>
    <x v="18"/>
    <x v="319"/>
    <x v="9"/>
    <x v="1"/>
    <x v="0"/>
    <x v="1"/>
    <x v="0"/>
    <x v="2"/>
    <x v="1"/>
    <x v="7"/>
    <x v="4"/>
    <x v="772"/>
    <x v="557"/>
    <x v="0"/>
    <x v="1"/>
    <x v="0"/>
  </r>
  <r>
    <x v="547"/>
    <x v="104"/>
    <x v="0"/>
    <x v="1"/>
    <x v="36"/>
    <x v="811"/>
    <x v="27"/>
    <x v="121"/>
    <x v="1"/>
    <x v="2"/>
    <x v="0"/>
    <x v="1"/>
    <x v="3"/>
    <x v="3"/>
    <x v="8"/>
    <x v="9"/>
    <x v="2"/>
    <x v="611"/>
    <x v="809"/>
    <x v="0"/>
    <x v="0"/>
    <x v="0"/>
  </r>
  <r>
    <x v="548"/>
    <x v="147"/>
    <x v="6"/>
    <x v="1"/>
    <x v="30"/>
    <x v="776"/>
    <x v="30"/>
    <x v="474"/>
    <x v="1"/>
    <x v="0"/>
    <x v="0"/>
    <x v="1"/>
    <x v="3"/>
    <x v="3"/>
    <x v="8"/>
    <x v="1"/>
    <x v="1"/>
    <x v="267"/>
    <x v="721"/>
    <x v="0"/>
    <x v="0"/>
    <x v="0"/>
  </r>
  <r>
    <x v="549"/>
    <x v="147"/>
    <x v="4"/>
    <x v="1"/>
    <x v="0"/>
    <x v="0"/>
    <x v="0"/>
    <x v="729"/>
    <x v="5"/>
    <x v="2"/>
    <x v="0"/>
    <x v="0"/>
    <x v="1"/>
    <x v="0"/>
    <x v="3"/>
    <x v="7"/>
    <x v="2"/>
    <x v="29"/>
    <x v="5"/>
    <x v="0"/>
    <x v="3"/>
    <x v="1"/>
  </r>
  <r>
    <x v="550"/>
    <x v="141"/>
    <x v="1"/>
    <x v="0"/>
    <x v="38"/>
    <x v="872"/>
    <x v="29"/>
    <x v="547"/>
    <x v="2"/>
    <x v="2"/>
    <x v="0"/>
    <x v="1"/>
    <x v="3"/>
    <x v="3"/>
    <x v="9"/>
    <x v="5"/>
    <x v="2"/>
    <x v="637"/>
    <x v="871"/>
    <x v="0"/>
    <x v="0"/>
    <x v="0"/>
  </r>
  <r>
    <x v="551"/>
    <x v="111"/>
    <x v="6"/>
    <x v="0"/>
    <x v="14"/>
    <x v="434"/>
    <x v="14"/>
    <x v="52"/>
    <x v="6"/>
    <x v="2"/>
    <x v="0"/>
    <x v="1"/>
    <x v="0"/>
    <x v="2"/>
    <x v="0"/>
    <x v="7"/>
    <x v="2"/>
    <x v="381"/>
    <x v="430"/>
    <x v="0"/>
    <x v="1"/>
    <x v="3"/>
  </r>
  <r>
    <x v="552"/>
    <x v="68"/>
    <x v="2"/>
    <x v="0"/>
    <x v="21"/>
    <x v="544"/>
    <x v="23"/>
    <x v="55"/>
    <x v="7"/>
    <x v="2"/>
    <x v="1"/>
    <x v="1"/>
    <x v="0"/>
    <x v="2"/>
    <x v="10"/>
    <x v="9"/>
    <x v="2"/>
    <x v="454"/>
    <x v="536"/>
    <x v="1"/>
    <x v="1"/>
    <x v="0"/>
  </r>
  <r>
    <x v="553"/>
    <x v="151"/>
    <x v="8"/>
    <x v="0"/>
    <x v="32"/>
    <x v="955"/>
    <x v="33"/>
    <x v="713"/>
    <x v="0"/>
    <x v="4"/>
    <x v="0"/>
    <x v="1"/>
    <x v="3"/>
    <x v="3"/>
    <x v="1"/>
    <x v="2"/>
    <x v="3"/>
    <x v="854"/>
    <x v="963"/>
    <x v="0"/>
    <x v="0"/>
    <x v="0"/>
  </r>
  <r>
    <x v="554"/>
    <x v="63"/>
    <x v="7"/>
    <x v="0"/>
    <x v="6"/>
    <x v="143"/>
    <x v="3"/>
    <x v="874"/>
    <x v="2"/>
    <x v="2"/>
    <x v="0"/>
    <x v="2"/>
    <x v="2"/>
    <x v="1"/>
    <x v="0"/>
    <x v="7"/>
    <x v="2"/>
    <x v="154"/>
    <x v="145"/>
    <x v="0"/>
    <x v="3"/>
    <x v="2"/>
  </r>
  <r>
    <x v="555"/>
    <x v="173"/>
    <x v="6"/>
    <x v="1"/>
    <x v="20"/>
    <x v="457"/>
    <x v="18"/>
    <x v="495"/>
    <x v="7"/>
    <x v="2"/>
    <x v="0"/>
    <x v="1"/>
    <x v="0"/>
    <x v="2"/>
    <x v="0"/>
    <x v="10"/>
    <x v="2"/>
    <x v="401"/>
    <x v="458"/>
    <x v="0"/>
    <x v="1"/>
    <x v="0"/>
  </r>
  <r>
    <x v="556"/>
    <x v="172"/>
    <x v="4"/>
    <x v="1"/>
    <x v="17"/>
    <x v="199"/>
    <x v="10"/>
    <x v="521"/>
    <x v="6"/>
    <x v="0"/>
    <x v="0"/>
    <x v="1"/>
    <x v="2"/>
    <x v="2"/>
    <x v="6"/>
    <x v="5"/>
    <x v="1"/>
    <x v="32"/>
    <x v="174"/>
    <x v="0"/>
    <x v="2"/>
    <x v="3"/>
  </r>
  <r>
    <x v="557"/>
    <x v="136"/>
    <x v="4"/>
    <x v="1"/>
    <x v="6"/>
    <x v="92"/>
    <x v="4"/>
    <x v="595"/>
    <x v="0"/>
    <x v="2"/>
    <x v="0"/>
    <x v="2"/>
    <x v="1"/>
    <x v="1"/>
    <x v="2"/>
    <x v="2"/>
    <x v="2"/>
    <x v="117"/>
    <x v="90"/>
    <x v="0"/>
    <x v="3"/>
    <x v="2"/>
  </r>
  <r>
    <x v="558"/>
    <x v="112"/>
    <x v="2"/>
    <x v="1"/>
    <x v="17"/>
    <x v="302"/>
    <x v="9"/>
    <x v="505"/>
    <x v="2"/>
    <x v="0"/>
    <x v="0"/>
    <x v="3"/>
    <x v="2"/>
    <x v="2"/>
    <x v="8"/>
    <x v="0"/>
    <x v="1"/>
    <x v="71"/>
    <x v="267"/>
    <x v="0"/>
    <x v="2"/>
    <x v="3"/>
  </r>
  <r>
    <x v="559"/>
    <x v="144"/>
    <x v="9"/>
    <x v="0"/>
    <x v="5"/>
    <x v="214"/>
    <x v="5"/>
    <x v="456"/>
    <x v="1"/>
    <x v="0"/>
    <x v="0"/>
    <x v="3"/>
    <x v="2"/>
    <x v="1"/>
    <x v="3"/>
    <x v="6"/>
    <x v="1"/>
    <x v="39"/>
    <x v="192"/>
    <x v="0"/>
    <x v="2"/>
    <x v="2"/>
  </r>
  <r>
    <x v="560"/>
    <x v="96"/>
    <x v="2"/>
    <x v="0"/>
    <x v="20"/>
    <x v="384"/>
    <x v="13"/>
    <x v="606"/>
    <x v="5"/>
    <x v="2"/>
    <x v="0"/>
    <x v="1"/>
    <x v="2"/>
    <x v="2"/>
    <x v="1"/>
    <x v="7"/>
    <x v="2"/>
    <x v="348"/>
    <x v="386"/>
    <x v="0"/>
    <x v="2"/>
    <x v="3"/>
  </r>
  <r>
    <x v="561"/>
    <x v="65"/>
    <x v="2"/>
    <x v="0"/>
    <x v="32"/>
    <x v="862"/>
    <x v="30"/>
    <x v="846"/>
    <x v="3"/>
    <x v="4"/>
    <x v="0"/>
    <x v="1"/>
    <x v="3"/>
    <x v="3"/>
    <x v="5"/>
    <x v="7"/>
    <x v="3"/>
    <x v="816"/>
    <x v="902"/>
    <x v="0"/>
    <x v="0"/>
    <x v="0"/>
  </r>
  <r>
    <x v="562"/>
    <x v="128"/>
    <x v="5"/>
    <x v="0"/>
    <x v="23"/>
    <x v="513"/>
    <x v="18"/>
    <x v="869"/>
    <x v="5"/>
    <x v="3"/>
    <x v="0"/>
    <x v="1"/>
    <x v="0"/>
    <x v="2"/>
    <x v="7"/>
    <x v="4"/>
    <x v="0"/>
    <x v="0"/>
    <x v="452"/>
    <x v="0"/>
    <x v="1"/>
    <x v="0"/>
  </r>
  <r>
    <x v="563"/>
    <x v="84"/>
    <x v="1"/>
    <x v="1"/>
    <x v="20"/>
    <x v="460"/>
    <x v="17"/>
    <x v="780"/>
    <x v="0"/>
    <x v="0"/>
    <x v="0"/>
    <x v="1"/>
    <x v="0"/>
    <x v="2"/>
    <x v="5"/>
    <x v="2"/>
    <x v="1"/>
    <x v="125"/>
    <x v="433"/>
    <x v="0"/>
    <x v="1"/>
    <x v="0"/>
  </r>
  <r>
    <x v="564"/>
    <x v="8"/>
    <x v="3"/>
    <x v="0"/>
    <x v="18"/>
    <x v="355"/>
    <x v="12"/>
    <x v="366"/>
    <x v="8"/>
    <x v="4"/>
    <x v="1"/>
    <x v="1"/>
    <x v="2"/>
    <x v="2"/>
    <x v="4"/>
    <x v="4"/>
    <x v="3"/>
    <x v="498"/>
    <x v="383"/>
    <x v="1"/>
    <x v="2"/>
    <x v="3"/>
  </r>
  <r>
    <x v="565"/>
    <x v="26"/>
    <x v="3"/>
    <x v="1"/>
    <x v="32"/>
    <x v="934"/>
    <x v="33"/>
    <x v="558"/>
    <x v="3"/>
    <x v="4"/>
    <x v="0"/>
    <x v="1"/>
    <x v="3"/>
    <x v="3"/>
    <x v="7"/>
    <x v="9"/>
    <x v="3"/>
    <x v="843"/>
    <x v="953"/>
    <x v="0"/>
    <x v="0"/>
    <x v="0"/>
  </r>
  <r>
    <x v="566"/>
    <x v="103"/>
    <x v="2"/>
    <x v="1"/>
    <x v="20"/>
    <x v="326"/>
    <x v="13"/>
    <x v="262"/>
    <x v="1"/>
    <x v="1"/>
    <x v="0"/>
    <x v="1"/>
    <x v="2"/>
    <x v="2"/>
    <x v="2"/>
    <x v="11"/>
    <x v="4"/>
    <x v="619"/>
    <x v="370"/>
    <x v="0"/>
    <x v="2"/>
    <x v="3"/>
  </r>
  <r>
    <x v="567"/>
    <x v="134"/>
    <x v="7"/>
    <x v="0"/>
    <x v="18"/>
    <x v="482"/>
    <x v="16"/>
    <x v="352"/>
    <x v="1"/>
    <x v="2"/>
    <x v="0"/>
    <x v="1"/>
    <x v="0"/>
    <x v="2"/>
    <x v="1"/>
    <x v="11"/>
    <x v="2"/>
    <x v="417"/>
    <x v="483"/>
    <x v="0"/>
    <x v="1"/>
    <x v="0"/>
  </r>
  <r>
    <x v="568"/>
    <x v="135"/>
    <x v="2"/>
    <x v="0"/>
    <x v="6"/>
    <x v="41"/>
    <x v="4"/>
    <x v="39"/>
    <x v="8"/>
    <x v="4"/>
    <x v="0"/>
    <x v="2"/>
    <x v="1"/>
    <x v="1"/>
    <x v="8"/>
    <x v="1"/>
    <x v="3"/>
    <x v="179"/>
    <x v="59"/>
    <x v="0"/>
    <x v="3"/>
    <x v="2"/>
  </r>
  <r>
    <x v="569"/>
    <x v="51"/>
    <x v="0"/>
    <x v="1"/>
    <x v="32"/>
    <x v="930"/>
    <x v="31"/>
    <x v="647"/>
    <x v="0"/>
    <x v="4"/>
    <x v="0"/>
    <x v="1"/>
    <x v="3"/>
    <x v="3"/>
    <x v="8"/>
    <x v="10"/>
    <x v="3"/>
    <x v="840"/>
    <x v="947"/>
    <x v="0"/>
    <x v="0"/>
    <x v="0"/>
  </r>
  <r>
    <x v="570"/>
    <x v="132"/>
    <x v="3"/>
    <x v="0"/>
    <x v="11"/>
    <x v="145"/>
    <x v="6"/>
    <x v="742"/>
    <x v="1"/>
    <x v="1"/>
    <x v="1"/>
    <x v="3"/>
    <x v="2"/>
    <x v="1"/>
    <x v="2"/>
    <x v="0"/>
    <x v="4"/>
    <x v="444"/>
    <x v="180"/>
    <x v="1"/>
    <x v="3"/>
    <x v="2"/>
  </r>
  <r>
    <x v="571"/>
    <x v="103"/>
    <x v="3"/>
    <x v="0"/>
    <x v="0"/>
    <x v="29"/>
    <x v="0"/>
    <x v="622"/>
    <x v="7"/>
    <x v="4"/>
    <x v="0"/>
    <x v="0"/>
    <x v="1"/>
    <x v="0"/>
    <x v="5"/>
    <x v="2"/>
    <x v="3"/>
    <x v="157"/>
    <x v="38"/>
    <x v="0"/>
    <x v="3"/>
    <x v="1"/>
  </r>
  <r>
    <x v="572"/>
    <x v="68"/>
    <x v="8"/>
    <x v="0"/>
    <x v="31"/>
    <x v="658"/>
    <x v="27"/>
    <x v="726"/>
    <x v="2"/>
    <x v="1"/>
    <x v="0"/>
    <x v="1"/>
    <x v="3"/>
    <x v="3"/>
    <x v="5"/>
    <x v="4"/>
    <x v="4"/>
    <x v="857"/>
    <x v="739"/>
    <x v="0"/>
    <x v="0"/>
    <x v="0"/>
  </r>
  <r>
    <x v="573"/>
    <x v="198"/>
    <x v="1"/>
    <x v="0"/>
    <x v="23"/>
    <x v="455"/>
    <x v="19"/>
    <x v="339"/>
    <x v="9"/>
    <x v="4"/>
    <x v="0"/>
    <x v="1"/>
    <x v="0"/>
    <x v="2"/>
    <x v="2"/>
    <x v="4"/>
    <x v="3"/>
    <x v="592"/>
    <x v="480"/>
    <x v="0"/>
    <x v="1"/>
    <x v="0"/>
  </r>
  <r>
    <x v="574"/>
    <x v="108"/>
    <x v="7"/>
    <x v="0"/>
    <x v="17"/>
    <x v="224"/>
    <x v="11"/>
    <x v="395"/>
    <x v="8"/>
    <x v="2"/>
    <x v="0"/>
    <x v="1"/>
    <x v="2"/>
    <x v="2"/>
    <x v="8"/>
    <x v="1"/>
    <x v="2"/>
    <x v="215"/>
    <x v="232"/>
    <x v="0"/>
    <x v="2"/>
    <x v="3"/>
  </r>
  <r>
    <x v="575"/>
    <x v="80"/>
    <x v="1"/>
    <x v="0"/>
    <x v="37"/>
    <x v="711"/>
    <x v="28"/>
    <x v="571"/>
    <x v="8"/>
    <x v="1"/>
    <x v="1"/>
    <x v="1"/>
    <x v="3"/>
    <x v="3"/>
    <x v="3"/>
    <x v="3"/>
    <x v="4"/>
    <x v="870"/>
    <x v="813"/>
    <x v="1"/>
    <x v="0"/>
    <x v="0"/>
  </r>
  <r>
    <x v="576"/>
    <x v="36"/>
    <x v="3"/>
    <x v="0"/>
    <x v="39"/>
    <x v="926"/>
    <x v="34"/>
    <x v="489"/>
    <x v="3"/>
    <x v="2"/>
    <x v="0"/>
    <x v="1"/>
    <x v="3"/>
    <x v="3"/>
    <x v="11"/>
    <x v="7"/>
    <x v="2"/>
    <x v="664"/>
    <x v="911"/>
    <x v="0"/>
    <x v="0"/>
    <x v="0"/>
  </r>
  <r>
    <x v="577"/>
    <x v="42"/>
    <x v="5"/>
    <x v="1"/>
    <x v="30"/>
    <x v="501"/>
    <x v="21"/>
    <x v="106"/>
    <x v="0"/>
    <x v="1"/>
    <x v="0"/>
    <x v="1"/>
    <x v="0"/>
    <x v="3"/>
    <x v="9"/>
    <x v="3"/>
    <x v="4"/>
    <x v="765"/>
    <x v="548"/>
    <x v="0"/>
    <x v="1"/>
    <x v="0"/>
  </r>
  <r>
    <x v="578"/>
    <x v="76"/>
    <x v="9"/>
    <x v="1"/>
    <x v="13"/>
    <x v="330"/>
    <x v="14"/>
    <x v="141"/>
    <x v="3"/>
    <x v="2"/>
    <x v="1"/>
    <x v="1"/>
    <x v="2"/>
    <x v="1"/>
    <x v="3"/>
    <x v="7"/>
    <x v="2"/>
    <x v="299"/>
    <x v="322"/>
    <x v="1"/>
    <x v="2"/>
    <x v="3"/>
  </r>
  <r>
    <x v="579"/>
    <x v="77"/>
    <x v="8"/>
    <x v="1"/>
    <x v="19"/>
    <x v="233"/>
    <x v="11"/>
    <x v="642"/>
    <x v="8"/>
    <x v="0"/>
    <x v="1"/>
    <x v="1"/>
    <x v="2"/>
    <x v="2"/>
    <x v="6"/>
    <x v="9"/>
    <x v="1"/>
    <x v="44"/>
    <x v="211"/>
    <x v="1"/>
    <x v="2"/>
    <x v="3"/>
  </r>
  <r>
    <x v="580"/>
    <x v="194"/>
    <x v="7"/>
    <x v="1"/>
    <x v="12"/>
    <x v="286"/>
    <x v="7"/>
    <x v="335"/>
    <x v="0"/>
    <x v="1"/>
    <x v="0"/>
    <x v="3"/>
    <x v="2"/>
    <x v="1"/>
    <x v="4"/>
    <x v="2"/>
    <x v="4"/>
    <x v="582"/>
    <x v="336"/>
    <x v="0"/>
    <x v="2"/>
    <x v="2"/>
  </r>
  <r>
    <x v="581"/>
    <x v="198"/>
    <x v="4"/>
    <x v="0"/>
    <x v="34"/>
    <x v="931"/>
    <x v="34"/>
    <x v="385"/>
    <x v="1"/>
    <x v="0"/>
    <x v="0"/>
    <x v="1"/>
    <x v="3"/>
    <x v="3"/>
    <x v="4"/>
    <x v="10"/>
    <x v="1"/>
    <x v="333"/>
    <x v="875"/>
    <x v="0"/>
    <x v="0"/>
    <x v="0"/>
  </r>
  <r>
    <x v="582"/>
    <x v="127"/>
    <x v="4"/>
    <x v="0"/>
    <x v="26"/>
    <x v="704"/>
    <x v="26"/>
    <x v="387"/>
    <x v="1"/>
    <x v="2"/>
    <x v="0"/>
    <x v="1"/>
    <x v="3"/>
    <x v="3"/>
    <x v="3"/>
    <x v="11"/>
    <x v="2"/>
    <x v="555"/>
    <x v="708"/>
    <x v="0"/>
    <x v="0"/>
    <x v="0"/>
  </r>
  <r>
    <x v="583"/>
    <x v="85"/>
    <x v="0"/>
    <x v="0"/>
    <x v="6"/>
    <x v="0"/>
    <x v="1"/>
    <x v="625"/>
    <x v="1"/>
    <x v="1"/>
    <x v="0"/>
    <x v="0"/>
    <x v="1"/>
    <x v="1"/>
    <x v="0"/>
    <x v="3"/>
    <x v="4"/>
    <x v="191"/>
    <x v="19"/>
    <x v="0"/>
    <x v="3"/>
    <x v="1"/>
  </r>
  <r>
    <x v="584"/>
    <x v="76"/>
    <x v="8"/>
    <x v="1"/>
    <x v="13"/>
    <x v="365"/>
    <x v="13"/>
    <x v="161"/>
    <x v="7"/>
    <x v="2"/>
    <x v="0"/>
    <x v="1"/>
    <x v="2"/>
    <x v="1"/>
    <x v="10"/>
    <x v="3"/>
    <x v="2"/>
    <x v="330"/>
    <x v="363"/>
    <x v="0"/>
    <x v="2"/>
    <x v="3"/>
  </r>
  <r>
    <x v="585"/>
    <x v="28"/>
    <x v="5"/>
    <x v="1"/>
    <x v="13"/>
    <x v="130"/>
    <x v="5"/>
    <x v="592"/>
    <x v="0"/>
    <x v="2"/>
    <x v="0"/>
    <x v="3"/>
    <x v="2"/>
    <x v="1"/>
    <x v="7"/>
    <x v="10"/>
    <x v="2"/>
    <x v="143"/>
    <x v="128"/>
    <x v="0"/>
    <x v="3"/>
    <x v="2"/>
  </r>
  <r>
    <x v="586"/>
    <x v="25"/>
    <x v="3"/>
    <x v="1"/>
    <x v="29"/>
    <x v="672"/>
    <x v="23"/>
    <x v="40"/>
    <x v="8"/>
    <x v="2"/>
    <x v="0"/>
    <x v="1"/>
    <x v="3"/>
    <x v="3"/>
    <x v="4"/>
    <x v="2"/>
    <x v="2"/>
    <x v="528"/>
    <x v="660"/>
    <x v="0"/>
    <x v="0"/>
    <x v="0"/>
  </r>
  <r>
    <x v="587"/>
    <x v="126"/>
    <x v="7"/>
    <x v="0"/>
    <x v="17"/>
    <x v="313"/>
    <x v="9"/>
    <x v="787"/>
    <x v="9"/>
    <x v="4"/>
    <x v="0"/>
    <x v="3"/>
    <x v="2"/>
    <x v="2"/>
    <x v="11"/>
    <x v="3"/>
    <x v="3"/>
    <x v="456"/>
    <x v="333"/>
    <x v="0"/>
    <x v="2"/>
    <x v="3"/>
  </r>
  <r>
    <x v="588"/>
    <x v="187"/>
    <x v="2"/>
    <x v="1"/>
    <x v="29"/>
    <x v="729"/>
    <x v="27"/>
    <x v="25"/>
    <x v="7"/>
    <x v="1"/>
    <x v="0"/>
    <x v="1"/>
    <x v="3"/>
    <x v="3"/>
    <x v="10"/>
    <x v="7"/>
    <x v="4"/>
    <x v="873"/>
    <x v="825"/>
    <x v="0"/>
    <x v="0"/>
    <x v="0"/>
  </r>
  <r>
    <x v="589"/>
    <x v="194"/>
    <x v="9"/>
    <x v="0"/>
    <x v="31"/>
    <x v="804"/>
    <x v="32"/>
    <x v="293"/>
    <x v="9"/>
    <x v="2"/>
    <x v="0"/>
    <x v="1"/>
    <x v="3"/>
    <x v="3"/>
    <x v="5"/>
    <x v="0"/>
    <x v="2"/>
    <x v="609"/>
    <x v="804"/>
    <x v="0"/>
    <x v="0"/>
    <x v="0"/>
  </r>
  <r>
    <x v="590"/>
    <x v="24"/>
    <x v="9"/>
    <x v="1"/>
    <x v="10"/>
    <x v="168"/>
    <x v="7"/>
    <x v="407"/>
    <x v="7"/>
    <x v="4"/>
    <x v="0"/>
    <x v="3"/>
    <x v="2"/>
    <x v="1"/>
    <x v="2"/>
    <x v="7"/>
    <x v="3"/>
    <x v="350"/>
    <x v="183"/>
    <x v="0"/>
    <x v="3"/>
    <x v="2"/>
  </r>
  <r>
    <x v="591"/>
    <x v="164"/>
    <x v="7"/>
    <x v="1"/>
    <x v="29"/>
    <x v="883"/>
    <x v="31"/>
    <x v="35"/>
    <x v="7"/>
    <x v="4"/>
    <x v="0"/>
    <x v="1"/>
    <x v="3"/>
    <x v="3"/>
    <x v="3"/>
    <x v="0"/>
    <x v="3"/>
    <x v="822"/>
    <x v="915"/>
    <x v="0"/>
    <x v="0"/>
    <x v="0"/>
  </r>
  <r>
    <x v="592"/>
    <x v="86"/>
    <x v="6"/>
    <x v="1"/>
    <x v="20"/>
    <x v="362"/>
    <x v="12"/>
    <x v="519"/>
    <x v="8"/>
    <x v="4"/>
    <x v="0"/>
    <x v="1"/>
    <x v="2"/>
    <x v="2"/>
    <x v="6"/>
    <x v="4"/>
    <x v="3"/>
    <x v="505"/>
    <x v="387"/>
    <x v="0"/>
    <x v="2"/>
    <x v="3"/>
  </r>
  <r>
    <x v="593"/>
    <x v="173"/>
    <x v="2"/>
    <x v="1"/>
    <x v="34"/>
    <x v="820"/>
    <x v="29"/>
    <x v="86"/>
    <x v="0"/>
    <x v="0"/>
    <x v="0"/>
    <x v="1"/>
    <x v="3"/>
    <x v="3"/>
    <x v="3"/>
    <x v="9"/>
    <x v="1"/>
    <x v="289"/>
    <x v="764"/>
    <x v="0"/>
    <x v="0"/>
    <x v="0"/>
  </r>
  <r>
    <x v="594"/>
    <x v="23"/>
    <x v="1"/>
    <x v="0"/>
    <x v="36"/>
    <x v="898"/>
    <x v="35"/>
    <x v="762"/>
    <x v="4"/>
    <x v="0"/>
    <x v="0"/>
    <x v="1"/>
    <x v="3"/>
    <x v="3"/>
    <x v="9"/>
    <x v="7"/>
    <x v="1"/>
    <x v="318"/>
    <x v="839"/>
    <x v="0"/>
    <x v="0"/>
    <x v="0"/>
  </r>
  <r>
    <x v="595"/>
    <x v="113"/>
    <x v="2"/>
    <x v="1"/>
    <x v="9"/>
    <x v="38"/>
    <x v="0"/>
    <x v="372"/>
    <x v="5"/>
    <x v="4"/>
    <x v="0"/>
    <x v="0"/>
    <x v="1"/>
    <x v="1"/>
    <x v="5"/>
    <x v="5"/>
    <x v="3"/>
    <x v="168"/>
    <x v="45"/>
    <x v="0"/>
    <x v="3"/>
    <x v="1"/>
  </r>
  <r>
    <x v="596"/>
    <x v="68"/>
    <x v="1"/>
    <x v="0"/>
    <x v="0"/>
    <x v="98"/>
    <x v="2"/>
    <x v="655"/>
    <x v="9"/>
    <x v="1"/>
    <x v="0"/>
    <x v="2"/>
    <x v="1"/>
    <x v="0"/>
    <x v="11"/>
    <x v="0"/>
    <x v="4"/>
    <x v="390"/>
    <x v="124"/>
    <x v="0"/>
    <x v="3"/>
    <x v="1"/>
  </r>
  <r>
    <x v="597"/>
    <x v="170"/>
    <x v="4"/>
    <x v="1"/>
    <x v="11"/>
    <x v="54"/>
    <x v="5"/>
    <x v="398"/>
    <x v="7"/>
    <x v="3"/>
    <x v="0"/>
    <x v="3"/>
    <x v="1"/>
    <x v="1"/>
    <x v="9"/>
    <x v="3"/>
    <x v="0"/>
    <x v="0"/>
    <x v="35"/>
    <x v="0"/>
    <x v="3"/>
    <x v="2"/>
  </r>
  <r>
    <x v="598"/>
    <x v="54"/>
    <x v="2"/>
    <x v="0"/>
    <x v="19"/>
    <x v="550"/>
    <x v="19"/>
    <x v="544"/>
    <x v="7"/>
    <x v="3"/>
    <x v="0"/>
    <x v="1"/>
    <x v="0"/>
    <x v="2"/>
    <x v="0"/>
    <x v="5"/>
    <x v="0"/>
    <x v="0"/>
    <x v="488"/>
    <x v="0"/>
    <x v="1"/>
    <x v="0"/>
  </r>
  <r>
    <x v="599"/>
    <x v="125"/>
    <x v="0"/>
    <x v="0"/>
    <x v="8"/>
    <x v="0"/>
    <x v="0"/>
    <x v="536"/>
    <x v="0"/>
    <x v="0"/>
    <x v="0"/>
    <x v="0"/>
    <x v="1"/>
    <x v="1"/>
    <x v="8"/>
    <x v="1"/>
    <x v="1"/>
    <x v="1"/>
    <x v="1"/>
    <x v="0"/>
    <x v="3"/>
    <x v="1"/>
  </r>
  <r>
    <x v="600"/>
    <x v="121"/>
    <x v="7"/>
    <x v="1"/>
    <x v="39"/>
    <x v="903"/>
    <x v="34"/>
    <x v="734"/>
    <x v="8"/>
    <x v="2"/>
    <x v="0"/>
    <x v="1"/>
    <x v="3"/>
    <x v="3"/>
    <x v="1"/>
    <x v="10"/>
    <x v="2"/>
    <x v="650"/>
    <x v="892"/>
    <x v="0"/>
    <x v="0"/>
    <x v="0"/>
  </r>
  <r>
    <x v="601"/>
    <x v="188"/>
    <x v="5"/>
    <x v="1"/>
    <x v="27"/>
    <x v="682"/>
    <x v="24"/>
    <x v="6"/>
    <x v="1"/>
    <x v="4"/>
    <x v="0"/>
    <x v="1"/>
    <x v="3"/>
    <x v="3"/>
    <x v="0"/>
    <x v="2"/>
    <x v="3"/>
    <x v="744"/>
    <x v="725"/>
    <x v="0"/>
    <x v="0"/>
    <x v="0"/>
  </r>
  <r>
    <x v="602"/>
    <x v="80"/>
    <x v="9"/>
    <x v="0"/>
    <x v="22"/>
    <x v="633"/>
    <x v="21"/>
    <x v="545"/>
    <x v="2"/>
    <x v="2"/>
    <x v="0"/>
    <x v="1"/>
    <x v="3"/>
    <x v="2"/>
    <x v="2"/>
    <x v="5"/>
    <x v="2"/>
    <x v="506"/>
    <x v="620"/>
    <x v="0"/>
    <x v="0"/>
    <x v="0"/>
  </r>
  <r>
    <x v="603"/>
    <x v="32"/>
    <x v="5"/>
    <x v="1"/>
    <x v="23"/>
    <x v="497"/>
    <x v="17"/>
    <x v="586"/>
    <x v="7"/>
    <x v="1"/>
    <x v="0"/>
    <x v="1"/>
    <x v="0"/>
    <x v="2"/>
    <x v="6"/>
    <x v="7"/>
    <x v="4"/>
    <x v="762"/>
    <x v="545"/>
    <x v="0"/>
    <x v="1"/>
    <x v="0"/>
  </r>
  <r>
    <x v="604"/>
    <x v="150"/>
    <x v="1"/>
    <x v="1"/>
    <x v="39"/>
    <x v="967"/>
    <x v="34"/>
    <x v="631"/>
    <x v="8"/>
    <x v="2"/>
    <x v="0"/>
    <x v="1"/>
    <x v="3"/>
    <x v="3"/>
    <x v="6"/>
    <x v="5"/>
    <x v="2"/>
    <x v="694"/>
    <x v="952"/>
    <x v="0"/>
    <x v="0"/>
    <x v="0"/>
  </r>
  <r>
    <x v="605"/>
    <x v="52"/>
    <x v="2"/>
    <x v="1"/>
    <x v="25"/>
    <x v="660"/>
    <x v="25"/>
    <x v="648"/>
    <x v="6"/>
    <x v="1"/>
    <x v="0"/>
    <x v="1"/>
    <x v="3"/>
    <x v="3"/>
    <x v="1"/>
    <x v="11"/>
    <x v="4"/>
    <x v="858"/>
    <x v="750"/>
    <x v="0"/>
    <x v="0"/>
    <x v="0"/>
  </r>
  <r>
    <x v="606"/>
    <x v="5"/>
    <x v="9"/>
    <x v="1"/>
    <x v="3"/>
    <x v="57"/>
    <x v="1"/>
    <x v="476"/>
    <x v="3"/>
    <x v="2"/>
    <x v="0"/>
    <x v="0"/>
    <x v="1"/>
    <x v="0"/>
    <x v="2"/>
    <x v="2"/>
    <x v="2"/>
    <x v="94"/>
    <x v="63"/>
    <x v="0"/>
    <x v="3"/>
    <x v="1"/>
  </r>
  <r>
    <x v="607"/>
    <x v="192"/>
    <x v="8"/>
    <x v="0"/>
    <x v="20"/>
    <x v="411"/>
    <x v="14"/>
    <x v="762"/>
    <x v="7"/>
    <x v="2"/>
    <x v="0"/>
    <x v="1"/>
    <x v="0"/>
    <x v="2"/>
    <x v="9"/>
    <x v="7"/>
    <x v="2"/>
    <x v="368"/>
    <x v="405"/>
    <x v="0"/>
    <x v="1"/>
    <x v="3"/>
  </r>
  <r>
    <x v="608"/>
    <x v="69"/>
    <x v="6"/>
    <x v="1"/>
    <x v="26"/>
    <x v="472"/>
    <x v="19"/>
    <x v="444"/>
    <x v="1"/>
    <x v="4"/>
    <x v="0"/>
    <x v="1"/>
    <x v="0"/>
    <x v="3"/>
    <x v="6"/>
    <x v="9"/>
    <x v="3"/>
    <x v="613"/>
    <x v="503"/>
    <x v="0"/>
    <x v="1"/>
    <x v="0"/>
  </r>
  <r>
    <x v="609"/>
    <x v="185"/>
    <x v="2"/>
    <x v="1"/>
    <x v="24"/>
    <x v="634"/>
    <x v="22"/>
    <x v="705"/>
    <x v="1"/>
    <x v="2"/>
    <x v="0"/>
    <x v="1"/>
    <x v="3"/>
    <x v="3"/>
    <x v="3"/>
    <x v="11"/>
    <x v="2"/>
    <x v="510"/>
    <x v="625"/>
    <x v="0"/>
    <x v="0"/>
    <x v="0"/>
  </r>
  <r>
    <x v="610"/>
    <x v="35"/>
    <x v="7"/>
    <x v="1"/>
    <x v="11"/>
    <x v="219"/>
    <x v="10"/>
    <x v="100"/>
    <x v="9"/>
    <x v="3"/>
    <x v="0"/>
    <x v="1"/>
    <x v="2"/>
    <x v="1"/>
    <x v="0"/>
    <x v="2"/>
    <x v="0"/>
    <x v="0"/>
    <x v="172"/>
    <x v="0"/>
    <x v="2"/>
    <x v="3"/>
  </r>
  <r>
    <x v="611"/>
    <x v="31"/>
    <x v="2"/>
    <x v="0"/>
    <x v="39"/>
    <x v="877"/>
    <x v="35"/>
    <x v="244"/>
    <x v="8"/>
    <x v="3"/>
    <x v="0"/>
    <x v="1"/>
    <x v="3"/>
    <x v="3"/>
    <x v="7"/>
    <x v="3"/>
    <x v="0"/>
    <x v="0"/>
    <x v="768"/>
    <x v="0"/>
    <x v="0"/>
    <x v="0"/>
  </r>
  <r>
    <x v="612"/>
    <x v="56"/>
    <x v="5"/>
    <x v="0"/>
    <x v="5"/>
    <x v="79"/>
    <x v="1"/>
    <x v="127"/>
    <x v="4"/>
    <x v="3"/>
    <x v="0"/>
    <x v="0"/>
    <x v="1"/>
    <x v="1"/>
    <x v="3"/>
    <x v="0"/>
    <x v="0"/>
    <x v="0"/>
    <x v="56"/>
    <x v="0"/>
    <x v="3"/>
    <x v="1"/>
  </r>
  <r>
    <x v="613"/>
    <x v="39"/>
    <x v="4"/>
    <x v="0"/>
    <x v="32"/>
    <x v="897"/>
    <x v="30"/>
    <x v="535"/>
    <x v="3"/>
    <x v="0"/>
    <x v="0"/>
    <x v="1"/>
    <x v="3"/>
    <x v="3"/>
    <x v="3"/>
    <x v="0"/>
    <x v="1"/>
    <x v="317"/>
    <x v="837"/>
    <x v="0"/>
    <x v="0"/>
    <x v="0"/>
  </r>
  <r>
    <x v="614"/>
    <x v="112"/>
    <x v="7"/>
    <x v="1"/>
    <x v="16"/>
    <x v="307"/>
    <x v="8"/>
    <x v="424"/>
    <x v="2"/>
    <x v="4"/>
    <x v="0"/>
    <x v="3"/>
    <x v="2"/>
    <x v="2"/>
    <x v="2"/>
    <x v="1"/>
    <x v="3"/>
    <x v="449"/>
    <x v="326"/>
    <x v="0"/>
    <x v="2"/>
    <x v="3"/>
  </r>
  <r>
    <x v="615"/>
    <x v="26"/>
    <x v="4"/>
    <x v="0"/>
    <x v="10"/>
    <x v="50"/>
    <x v="3"/>
    <x v="714"/>
    <x v="8"/>
    <x v="0"/>
    <x v="0"/>
    <x v="2"/>
    <x v="1"/>
    <x v="1"/>
    <x v="4"/>
    <x v="2"/>
    <x v="1"/>
    <x v="11"/>
    <x v="39"/>
    <x v="0"/>
    <x v="3"/>
    <x v="2"/>
  </r>
  <r>
    <x v="616"/>
    <x v="129"/>
    <x v="0"/>
    <x v="1"/>
    <x v="36"/>
    <x v="838"/>
    <x v="32"/>
    <x v="890"/>
    <x v="5"/>
    <x v="4"/>
    <x v="0"/>
    <x v="1"/>
    <x v="3"/>
    <x v="3"/>
    <x v="10"/>
    <x v="2"/>
    <x v="3"/>
    <x v="807"/>
    <x v="882"/>
    <x v="0"/>
    <x v="0"/>
    <x v="0"/>
  </r>
  <r>
    <x v="617"/>
    <x v="31"/>
    <x v="4"/>
    <x v="1"/>
    <x v="27"/>
    <x v="638"/>
    <x v="23"/>
    <x v="264"/>
    <x v="7"/>
    <x v="4"/>
    <x v="0"/>
    <x v="1"/>
    <x v="3"/>
    <x v="3"/>
    <x v="0"/>
    <x v="0"/>
    <x v="3"/>
    <x v="728"/>
    <x v="665"/>
    <x v="0"/>
    <x v="0"/>
    <x v="0"/>
  </r>
  <r>
    <x v="618"/>
    <x v="144"/>
    <x v="2"/>
    <x v="1"/>
    <x v="31"/>
    <x v="689"/>
    <x v="26"/>
    <x v="91"/>
    <x v="1"/>
    <x v="0"/>
    <x v="0"/>
    <x v="1"/>
    <x v="3"/>
    <x v="3"/>
    <x v="3"/>
    <x v="11"/>
    <x v="1"/>
    <x v="227"/>
    <x v="644"/>
    <x v="0"/>
    <x v="0"/>
    <x v="0"/>
  </r>
  <r>
    <x v="619"/>
    <x v="108"/>
    <x v="3"/>
    <x v="0"/>
    <x v="15"/>
    <x v="424"/>
    <x v="13"/>
    <x v="277"/>
    <x v="4"/>
    <x v="1"/>
    <x v="0"/>
    <x v="1"/>
    <x v="0"/>
    <x v="2"/>
    <x v="7"/>
    <x v="5"/>
    <x v="4"/>
    <x v="711"/>
    <x v="467"/>
    <x v="0"/>
    <x v="1"/>
    <x v="3"/>
  </r>
  <r>
    <x v="620"/>
    <x v="50"/>
    <x v="2"/>
    <x v="0"/>
    <x v="26"/>
    <x v="769"/>
    <x v="26"/>
    <x v="376"/>
    <x v="4"/>
    <x v="2"/>
    <x v="0"/>
    <x v="1"/>
    <x v="3"/>
    <x v="3"/>
    <x v="10"/>
    <x v="8"/>
    <x v="2"/>
    <x v="584"/>
    <x v="770"/>
    <x v="0"/>
    <x v="0"/>
    <x v="0"/>
  </r>
  <r>
    <x v="621"/>
    <x v="182"/>
    <x v="9"/>
    <x v="1"/>
    <x v="39"/>
    <x v="881"/>
    <x v="35"/>
    <x v="258"/>
    <x v="3"/>
    <x v="0"/>
    <x v="0"/>
    <x v="1"/>
    <x v="3"/>
    <x v="3"/>
    <x v="6"/>
    <x v="10"/>
    <x v="1"/>
    <x v="314"/>
    <x v="824"/>
    <x v="0"/>
    <x v="0"/>
    <x v="0"/>
  </r>
  <r>
    <x v="622"/>
    <x v="174"/>
    <x v="2"/>
    <x v="0"/>
    <x v="11"/>
    <x v="253"/>
    <x v="9"/>
    <x v="185"/>
    <x v="9"/>
    <x v="1"/>
    <x v="0"/>
    <x v="3"/>
    <x v="2"/>
    <x v="1"/>
    <x v="10"/>
    <x v="1"/>
    <x v="4"/>
    <x v="549"/>
    <x v="300"/>
    <x v="0"/>
    <x v="2"/>
    <x v="3"/>
  </r>
  <r>
    <x v="623"/>
    <x v="13"/>
    <x v="1"/>
    <x v="0"/>
    <x v="0"/>
    <x v="24"/>
    <x v="1"/>
    <x v="629"/>
    <x v="4"/>
    <x v="3"/>
    <x v="1"/>
    <x v="0"/>
    <x v="1"/>
    <x v="0"/>
    <x v="11"/>
    <x v="4"/>
    <x v="0"/>
    <x v="0"/>
    <x v="15"/>
    <x v="1"/>
    <x v="3"/>
    <x v="1"/>
  </r>
  <r>
    <x v="624"/>
    <x v="137"/>
    <x v="8"/>
    <x v="1"/>
    <x v="39"/>
    <x v="760"/>
    <x v="30"/>
    <x v="466"/>
    <x v="1"/>
    <x v="2"/>
    <x v="0"/>
    <x v="1"/>
    <x v="3"/>
    <x v="3"/>
    <x v="8"/>
    <x v="8"/>
    <x v="2"/>
    <x v="580"/>
    <x v="758"/>
    <x v="0"/>
    <x v="0"/>
    <x v="0"/>
  </r>
  <r>
    <x v="625"/>
    <x v="149"/>
    <x v="3"/>
    <x v="0"/>
    <x v="25"/>
    <x v="499"/>
    <x v="20"/>
    <x v="162"/>
    <x v="4"/>
    <x v="4"/>
    <x v="0"/>
    <x v="1"/>
    <x v="0"/>
    <x v="3"/>
    <x v="8"/>
    <x v="4"/>
    <x v="3"/>
    <x v="631"/>
    <x v="519"/>
    <x v="0"/>
    <x v="1"/>
    <x v="0"/>
  </r>
  <r>
    <x v="626"/>
    <x v="93"/>
    <x v="2"/>
    <x v="0"/>
    <x v="39"/>
    <x v="831"/>
    <x v="33"/>
    <x v="199"/>
    <x v="2"/>
    <x v="0"/>
    <x v="0"/>
    <x v="1"/>
    <x v="3"/>
    <x v="3"/>
    <x v="4"/>
    <x v="8"/>
    <x v="1"/>
    <x v="295"/>
    <x v="784"/>
    <x v="0"/>
    <x v="0"/>
    <x v="0"/>
  </r>
  <r>
    <x v="627"/>
    <x v="56"/>
    <x v="2"/>
    <x v="0"/>
    <x v="21"/>
    <x v="532"/>
    <x v="19"/>
    <x v="688"/>
    <x v="2"/>
    <x v="2"/>
    <x v="0"/>
    <x v="1"/>
    <x v="0"/>
    <x v="2"/>
    <x v="2"/>
    <x v="3"/>
    <x v="2"/>
    <x v="447"/>
    <x v="524"/>
    <x v="0"/>
    <x v="1"/>
    <x v="0"/>
  </r>
  <r>
    <x v="628"/>
    <x v="110"/>
    <x v="5"/>
    <x v="1"/>
    <x v="35"/>
    <x v="854"/>
    <x v="31"/>
    <x v="810"/>
    <x v="5"/>
    <x v="1"/>
    <x v="0"/>
    <x v="1"/>
    <x v="3"/>
    <x v="3"/>
    <x v="3"/>
    <x v="1"/>
    <x v="4"/>
    <x v="890"/>
    <x v="929"/>
    <x v="0"/>
    <x v="0"/>
    <x v="0"/>
  </r>
  <r>
    <x v="629"/>
    <x v="179"/>
    <x v="2"/>
    <x v="0"/>
    <x v="28"/>
    <x v="719"/>
    <x v="29"/>
    <x v="298"/>
    <x v="0"/>
    <x v="0"/>
    <x v="0"/>
    <x v="1"/>
    <x v="3"/>
    <x v="3"/>
    <x v="2"/>
    <x v="2"/>
    <x v="1"/>
    <x v="242"/>
    <x v="672"/>
    <x v="0"/>
    <x v="0"/>
    <x v="0"/>
  </r>
  <r>
    <x v="630"/>
    <x v="117"/>
    <x v="2"/>
    <x v="1"/>
    <x v="36"/>
    <x v="858"/>
    <x v="33"/>
    <x v="901"/>
    <x v="4"/>
    <x v="1"/>
    <x v="0"/>
    <x v="1"/>
    <x v="3"/>
    <x v="3"/>
    <x v="6"/>
    <x v="10"/>
    <x v="4"/>
    <x v="892"/>
    <x v="936"/>
    <x v="0"/>
    <x v="0"/>
    <x v="0"/>
  </r>
  <r>
    <x v="631"/>
    <x v="98"/>
    <x v="3"/>
    <x v="0"/>
    <x v="9"/>
    <x v="169"/>
    <x v="8"/>
    <x v="149"/>
    <x v="5"/>
    <x v="2"/>
    <x v="0"/>
    <x v="3"/>
    <x v="2"/>
    <x v="1"/>
    <x v="1"/>
    <x v="10"/>
    <x v="2"/>
    <x v="174"/>
    <x v="167"/>
    <x v="0"/>
    <x v="3"/>
    <x v="3"/>
  </r>
  <r>
    <x v="632"/>
    <x v="122"/>
    <x v="4"/>
    <x v="0"/>
    <x v="3"/>
    <x v="14"/>
    <x v="2"/>
    <x v="770"/>
    <x v="3"/>
    <x v="0"/>
    <x v="0"/>
    <x v="2"/>
    <x v="1"/>
    <x v="0"/>
    <x v="0"/>
    <x v="11"/>
    <x v="1"/>
    <x v="7"/>
    <x v="11"/>
    <x v="0"/>
    <x v="3"/>
    <x v="1"/>
  </r>
  <r>
    <x v="633"/>
    <x v="23"/>
    <x v="9"/>
    <x v="1"/>
    <x v="6"/>
    <x v="33"/>
    <x v="4"/>
    <x v="24"/>
    <x v="2"/>
    <x v="0"/>
    <x v="0"/>
    <x v="2"/>
    <x v="1"/>
    <x v="1"/>
    <x v="2"/>
    <x v="7"/>
    <x v="1"/>
    <x v="9"/>
    <x v="24"/>
    <x v="0"/>
    <x v="3"/>
    <x v="2"/>
  </r>
  <r>
    <x v="634"/>
    <x v="161"/>
    <x v="8"/>
    <x v="1"/>
    <x v="0"/>
    <x v="0"/>
    <x v="1"/>
    <x v="638"/>
    <x v="6"/>
    <x v="3"/>
    <x v="0"/>
    <x v="0"/>
    <x v="1"/>
    <x v="0"/>
    <x v="6"/>
    <x v="7"/>
    <x v="0"/>
    <x v="0"/>
    <x v="0"/>
    <x v="0"/>
    <x v="3"/>
    <x v="1"/>
  </r>
  <r>
    <x v="635"/>
    <x v="177"/>
    <x v="5"/>
    <x v="1"/>
    <x v="3"/>
    <x v="185"/>
    <x v="4"/>
    <x v="707"/>
    <x v="8"/>
    <x v="2"/>
    <x v="0"/>
    <x v="2"/>
    <x v="2"/>
    <x v="0"/>
    <x v="0"/>
    <x v="0"/>
    <x v="2"/>
    <x v="184"/>
    <x v="179"/>
    <x v="0"/>
    <x v="3"/>
    <x v="2"/>
  </r>
  <r>
    <x v="636"/>
    <x v="97"/>
    <x v="7"/>
    <x v="0"/>
    <x v="19"/>
    <x v="425"/>
    <x v="13"/>
    <x v="639"/>
    <x v="5"/>
    <x v="2"/>
    <x v="0"/>
    <x v="1"/>
    <x v="0"/>
    <x v="2"/>
    <x v="8"/>
    <x v="7"/>
    <x v="2"/>
    <x v="375"/>
    <x v="417"/>
    <x v="0"/>
    <x v="1"/>
    <x v="3"/>
  </r>
  <r>
    <x v="637"/>
    <x v="92"/>
    <x v="4"/>
    <x v="1"/>
    <x v="19"/>
    <x v="353"/>
    <x v="13"/>
    <x v="598"/>
    <x v="7"/>
    <x v="1"/>
    <x v="0"/>
    <x v="1"/>
    <x v="2"/>
    <x v="2"/>
    <x v="9"/>
    <x v="3"/>
    <x v="4"/>
    <x v="647"/>
    <x v="397"/>
    <x v="0"/>
    <x v="2"/>
    <x v="3"/>
  </r>
  <r>
    <x v="638"/>
    <x v="105"/>
    <x v="1"/>
    <x v="0"/>
    <x v="32"/>
    <x v="611"/>
    <x v="23"/>
    <x v="852"/>
    <x v="7"/>
    <x v="1"/>
    <x v="0"/>
    <x v="1"/>
    <x v="3"/>
    <x v="3"/>
    <x v="0"/>
    <x v="9"/>
    <x v="4"/>
    <x v="830"/>
    <x v="678"/>
    <x v="0"/>
    <x v="0"/>
    <x v="0"/>
  </r>
  <r>
    <x v="639"/>
    <x v="152"/>
    <x v="7"/>
    <x v="1"/>
    <x v="20"/>
    <x v="432"/>
    <x v="14"/>
    <x v="218"/>
    <x v="3"/>
    <x v="3"/>
    <x v="0"/>
    <x v="1"/>
    <x v="0"/>
    <x v="2"/>
    <x v="6"/>
    <x v="5"/>
    <x v="0"/>
    <x v="0"/>
    <x v="371"/>
    <x v="0"/>
    <x v="1"/>
    <x v="3"/>
  </r>
  <r>
    <x v="640"/>
    <x v="158"/>
    <x v="2"/>
    <x v="0"/>
    <x v="39"/>
    <x v="779"/>
    <x v="31"/>
    <x v="643"/>
    <x v="5"/>
    <x v="2"/>
    <x v="0"/>
    <x v="1"/>
    <x v="3"/>
    <x v="3"/>
    <x v="8"/>
    <x v="9"/>
    <x v="2"/>
    <x v="593"/>
    <x v="785"/>
    <x v="0"/>
    <x v="0"/>
    <x v="0"/>
  </r>
  <r>
    <x v="641"/>
    <x v="23"/>
    <x v="0"/>
    <x v="1"/>
    <x v="15"/>
    <x v="122"/>
    <x v="6"/>
    <x v="406"/>
    <x v="9"/>
    <x v="4"/>
    <x v="0"/>
    <x v="3"/>
    <x v="2"/>
    <x v="2"/>
    <x v="1"/>
    <x v="6"/>
    <x v="3"/>
    <x v="296"/>
    <x v="140"/>
    <x v="0"/>
    <x v="3"/>
    <x v="2"/>
  </r>
  <r>
    <x v="642"/>
    <x v="85"/>
    <x v="0"/>
    <x v="0"/>
    <x v="36"/>
    <x v="782"/>
    <x v="27"/>
    <x v="897"/>
    <x v="7"/>
    <x v="0"/>
    <x v="0"/>
    <x v="1"/>
    <x v="3"/>
    <x v="3"/>
    <x v="6"/>
    <x v="7"/>
    <x v="1"/>
    <x v="273"/>
    <x v="729"/>
    <x v="0"/>
    <x v="0"/>
    <x v="0"/>
  </r>
  <r>
    <x v="643"/>
    <x v="95"/>
    <x v="1"/>
    <x v="0"/>
    <x v="30"/>
    <x v="724"/>
    <x v="25"/>
    <x v="64"/>
    <x v="9"/>
    <x v="1"/>
    <x v="0"/>
    <x v="1"/>
    <x v="3"/>
    <x v="3"/>
    <x v="6"/>
    <x v="0"/>
    <x v="4"/>
    <x v="872"/>
    <x v="822"/>
    <x v="0"/>
    <x v="0"/>
    <x v="0"/>
  </r>
  <r>
    <x v="644"/>
    <x v="7"/>
    <x v="0"/>
    <x v="0"/>
    <x v="6"/>
    <x v="151"/>
    <x v="8"/>
    <x v="221"/>
    <x v="1"/>
    <x v="0"/>
    <x v="0"/>
    <x v="3"/>
    <x v="2"/>
    <x v="1"/>
    <x v="1"/>
    <x v="7"/>
    <x v="1"/>
    <x v="23"/>
    <x v="142"/>
    <x v="0"/>
    <x v="3"/>
    <x v="3"/>
  </r>
  <r>
    <x v="645"/>
    <x v="62"/>
    <x v="9"/>
    <x v="0"/>
    <x v="26"/>
    <x v="467"/>
    <x v="19"/>
    <x v="533"/>
    <x v="7"/>
    <x v="2"/>
    <x v="0"/>
    <x v="1"/>
    <x v="0"/>
    <x v="3"/>
    <x v="1"/>
    <x v="11"/>
    <x v="2"/>
    <x v="406"/>
    <x v="469"/>
    <x v="0"/>
    <x v="1"/>
    <x v="0"/>
  </r>
  <r>
    <x v="646"/>
    <x v="6"/>
    <x v="0"/>
    <x v="1"/>
    <x v="37"/>
    <x v="827"/>
    <x v="31"/>
    <x v="450"/>
    <x v="5"/>
    <x v="0"/>
    <x v="0"/>
    <x v="1"/>
    <x v="3"/>
    <x v="3"/>
    <x v="7"/>
    <x v="11"/>
    <x v="1"/>
    <x v="293"/>
    <x v="780"/>
    <x v="0"/>
    <x v="0"/>
    <x v="0"/>
  </r>
  <r>
    <x v="647"/>
    <x v="185"/>
    <x v="2"/>
    <x v="0"/>
    <x v="31"/>
    <x v="774"/>
    <x v="28"/>
    <x v="103"/>
    <x v="5"/>
    <x v="2"/>
    <x v="1"/>
    <x v="1"/>
    <x v="3"/>
    <x v="3"/>
    <x v="9"/>
    <x v="2"/>
    <x v="2"/>
    <x v="588"/>
    <x v="779"/>
    <x v="1"/>
    <x v="0"/>
    <x v="0"/>
  </r>
  <r>
    <x v="648"/>
    <x v="61"/>
    <x v="5"/>
    <x v="0"/>
    <x v="10"/>
    <x v="250"/>
    <x v="8"/>
    <x v="188"/>
    <x v="7"/>
    <x v="0"/>
    <x v="0"/>
    <x v="3"/>
    <x v="2"/>
    <x v="1"/>
    <x v="10"/>
    <x v="2"/>
    <x v="1"/>
    <x v="49"/>
    <x v="223"/>
    <x v="0"/>
    <x v="2"/>
    <x v="3"/>
  </r>
  <r>
    <x v="649"/>
    <x v="103"/>
    <x v="7"/>
    <x v="0"/>
    <x v="35"/>
    <x v="973"/>
    <x v="35"/>
    <x v="0"/>
    <x v="2"/>
    <x v="4"/>
    <x v="0"/>
    <x v="1"/>
    <x v="3"/>
    <x v="3"/>
    <x v="1"/>
    <x v="0"/>
    <x v="3"/>
    <x v="864"/>
    <x v="974"/>
    <x v="0"/>
    <x v="0"/>
    <x v="0"/>
  </r>
  <r>
    <x v="650"/>
    <x v="86"/>
    <x v="7"/>
    <x v="0"/>
    <x v="1"/>
    <x v="153"/>
    <x v="3"/>
    <x v="134"/>
    <x v="8"/>
    <x v="1"/>
    <x v="0"/>
    <x v="2"/>
    <x v="2"/>
    <x v="0"/>
    <x v="1"/>
    <x v="4"/>
    <x v="4"/>
    <x v="455"/>
    <x v="191"/>
    <x v="0"/>
    <x v="3"/>
    <x v="2"/>
  </r>
  <r>
    <x v="651"/>
    <x v="110"/>
    <x v="6"/>
    <x v="1"/>
    <x v="30"/>
    <x v="741"/>
    <x v="27"/>
    <x v="825"/>
    <x v="8"/>
    <x v="4"/>
    <x v="0"/>
    <x v="1"/>
    <x v="3"/>
    <x v="3"/>
    <x v="9"/>
    <x v="7"/>
    <x v="3"/>
    <x v="770"/>
    <x v="793"/>
    <x v="0"/>
    <x v="0"/>
    <x v="0"/>
  </r>
  <r>
    <x v="652"/>
    <x v="34"/>
    <x v="8"/>
    <x v="0"/>
    <x v="18"/>
    <x v="527"/>
    <x v="19"/>
    <x v="645"/>
    <x v="4"/>
    <x v="1"/>
    <x v="0"/>
    <x v="1"/>
    <x v="0"/>
    <x v="2"/>
    <x v="3"/>
    <x v="10"/>
    <x v="4"/>
    <x v="784"/>
    <x v="580"/>
    <x v="0"/>
    <x v="1"/>
    <x v="0"/>
  </r>
  <r>
    <x v="653"/>
    <x v="109"/>
    <x v="8"/>
    <x v="1"/>
    <x v="10"/>
    <x v="73"/>
    <x v="1"/>
    <x v="46"/>
    <x v="7"/>
    <x v="3"/>
    <x v="0"/>
    <x v="0"/>
    <x v="1"/>
    <x v="1"/>
    <x v="0"/>
    <x v="5"/>
    <x v="0"/>
    <x v="0"/>
    <x v="44"/>
    <x v="0"/>
    <x v="3"/>
    <x v="1"/>
  </r>
  <r>
    <x v="654"/>
    <x v="197"/>
    <x v="8"/>
    <x v="0"/>
    <x v="15"/>
    <x v="133"/>
    <x v="6"/>
    <x v="437"/>
    <x v="2"/>
    <x v="2"/>
    <x v="0"/>
    <x v="3"/>
    <x v="2"/>
    <x v="2"/>
    <x v="7"/>
    <x v="5"/>
    <x v="2"/>
    <x v="145"/>
    <x v="131"/>
    <x v="0"/>
    <x v="3"/>
    <x v="2"/>
  </r>
  <r>
    <x v="655"/>
    <x v="175"/>
    <x v="3"/>
    <x v="0"/>
    <x v="28"/>
    <x v="781"/>
    <x v="27"/>
    <x v="261"/>
    <x v="0"/>
    <x v="0"/>
    <x v="0"/>
    <x v="1"/>
    <x v="3"/>
    <x v="3"/>
    <x v="1"/>
    <x v="11"/>
    <x v="1"/>
    <x v="270"/>
    <x v="728"/>
    <x v="0"/>
    <x v="0"/>
    <x v="0"/>
  </r>
  <r>
    <x v="656"/>
    <x v="81"/>
    <x v="1"/>
    <x v="0"/>
    <x v="26"/>
    <x v="610"/>
    <x v="25"/>
    <x v="429"/>
    <x v="9"/>
    <x v="2"/>
    <x v="0"/>
    <x v="1"/>
    <x v="3"/>
    <x v="3"/>
    <x v="2"/>
    <x v="3"/>
    <x v="2"/>
    <x v="499"/>
    <x v="604"/>
    <x v="0"/>
    <x v="0"/>
    <x v="0"/>
  </r>
  <r>
    <x v="657"/>
    <x v="189"/>
    <x v="9"/>
    <x v="0"/>
    <x v="21"/>
    <x v="588"/>
    <x v="22"/>
    <x v="777"/>
    <x v="5"/>
    <x v="0"/>
    <x v="0"/>
    <x v="1"/>
    <x v="0"/>
    <x v="2"/>
    <x v="11"/>
    <x v="0"/>
    <x v="1"/>
    <x v="183"/>
    <x v="544"/>
    <x v="0"/>
    <x v="1"/>
    <x v="0"/>
  </r>
  <r>
    <x v="658"/>
    <x v="1"/>
    <x v="2"/>
    <x v="0"/>
    <x v="23"/>
    <x v="496"/>
    <x v="16"/>
    <x v="25"/>
    <x v="9"/>
    <x v="2"/>
    <x v="0"/>
    <x v="1"/>
    <x v="0"/>
    <x v="2"/>
    <x v="10"/>
    <x v="7"/>
    <x v="2"/>
    <x v="427"/>
    <x v="499"/>
    <x v="0"/>
    <x v="1"/>
    <x v="0"/>
  </r>
  <r>
    <x v="659"/>
    <x v="121"/>
    <x v="9"/>
    <x v="0"/>
    <x v="31"/>
    <x v="853"/>
    <x v="29"/>
    <x v="679"/>
    <x v="7"/>
    <x v="3"/>
    <x v="0"/>
    <x v="1"/>
    <x v="3"/>
    <x v="3"/>
    <x v="9"/>
    <x v="11"/>
    <x v="0"/>
    <x v="0"/>
    <x v="745"/>
    <x v="0"/>
    <x v="0"/>
    <x v="0"/>
  </r>
  <r>
    <x v="660"/>
    <x v="150"/>
    <x v="0"/>
    <x v="0"/>
    <x v="10"/>
    <x v="200"/>
    <x v="9"/>
    <x v="740"/>
    <x v="4"/>
    <x v="0"/>
    <x v="0"/>
    <x v="3"/>
    <x v="2"/>
    <x v="1"/>
    <x v="6"/>
    <x v="11"/>
    <x v="1"/>
    <x v="33"/>
    <x v="175"/>
    <x v="0"/>
    <x v="2"/>
    <x v="3"/>
  </r>
  <r>
    <x v="661"/>
    <x v="26"/>
    <x v="9"/>
    <x v="0"/>
    <x v="12"/>
    <x v="373"/>
    <x v="10"/>
    <x v="504"/>
    <x v="7"/>
    <x v="2"/>
    <x v="1"/>
    <x v="1"/>
    <x v="2"/>
    <x v="1"/>
    <x v="5"/>
    <x v="0"/>
    <x v="2"/>
    <x v="336"/>
    <x v="377"/>
    <x v="1"/>
    <x v="2"/>
    <x v="3"/>
  </r>
  <r>
    <x v="662"/>
    <x v="165"/>
    <x v="2"/>
    <x v="1"/>
    <x v="37"/>
    <x v="885"/>
    <x v="31"/>
    <x v="550"/>
    <x v="4"/>
    <x v="2"/>
    <x v="1"/>
    <x v="1"/>
    <x v="3"/>
    <x v="3"/>
    <x v="9"/>
    <x v="6"/>
    <x v="2"/>
    <x v="641"/>
    <x v="877"/>
    <x v="1"/>
    <x v="0"/>
    <x v="0"/>
  </r>
  <r>
    <x v="663"/>
    <x v="66"/>
    <x v="3"/>
    <x v="1"/>
    <x v="25"/>
    <x v="530"/>
    <x v="17"/>
    <x v="334"/>
    <x v="2"/>
    <x v="2"/>
    <x v="1"/>
    <x v="1"/>
    <x v="0"/>
    <x v="3"/>
    <x v="3"/>
    <x v="2"/>
    <x v="2"/>
    <x v="445"/>
    <x v="521"/>
    <x v="1"/>
    <x v="1"/>
    <x v="0"/>
  </r>
  <r>
    <x v="664"/>
    <x v="107"/>
    <x v="9"/>
    <x v="1"/>
    <x v="18"/>
    <x v="537"/>
    <x v="19"/>
    <x v="722"/>
    <x v="0"/>
    <x v="2"/>
    <x v="0"/>
    <x v="1"/>
    <x v="0"/>
    <x v="2"/>
    <x v="8"/>
    <x v="3"/>
    <x v="2"/>
    <x v="450"/>
    <x v="530"/>
    <x v="0"/>
    <x v="1"/>
    <x v="0"/>
  </r>
  <r>
    <x v="665"/>
    <x v="78"/>
    <x v="7"/>
    <x v="0"/>
    <x v="31"/>
    <x v="932"/>
    <x v="32"/>
    <x v="684"/>
    <x v="0"/>
    <x v="2"/>
    <x v="1"/>
    <x v="1"/>
    <x v="3"/>
    <x v="3"/>
    <x v="5"/>
    <x v="1"/>
    <x v="2"/>
    <x v="666"/>
    <x v="916"/>
    <x v="1"/>
    <x v="0"/>
    <x v="0"/>
  </r>
  <r>
    <x v="666"/>
    <x v="25"/>
    <x v="1"/>
    <x v="0"/>
    <x v="33"/>
    <x v="628"/>
    <x v="24"/>
    <x v="760"/>
    <x v="4"/>
    <x v="4"/>
    <x v="1"/>
    <x v="1"/>
    <x v="3"/>
    <x v="3"/>
    <x v="9"/>
    <x v="6"/>
    <x v="3"/>
    <x v="724"/>
    <x v="653"/>
    <x v="1"/>
    <x v="0"/>
    <x v="0"/>
  </r>
  <r>
    <x v="667"/>
    <x v="184"/>
    <x v="1"/>
    <x v="1"/>
    <x v="8"/>
    <x v="142"/>
    <x v="3"/>
    <x v="826"/>
    <x v="4"/>
    <x v="2"/>
    <x v="1"/>
    <x v="2"/>
    <x v="2"/>
    <x v="1"/>
    <x v="8"/>
    <x v="8"/>
    <x v="2"/>
    <x v="153"/>
    <x v="144"/>
    <x v="1"/>
    <x v="3"/>
    <x v="2"/>
  </r>
  <r>
    <x v="668"/>
    <x v="76"/>
    <x v="3"/>
    <x v="1"/>
    <x v="12"/>
    <x v="314"/>
    <x v="9"/>
    <x v="2"/>
    <x v="4"/>
    <x v="0"/>
    <x v="1"/>
    <x v="3"/>
    <x v="2"/>
    <x v="1"/>
    <x v="8"/>
    <x v="0"/>
    <x v="1"/>
    <x v="76"/>
    <x v="279"/>
    <x v="1"/>
    <x v="2"/>
    <x v="3"/>
  </r>
  <r>
    <x v="669"/>
    <x v="180"/>
    <x v="1"/>
    <x v="0"/>
    <x v="39"/>
    <x v="949"/>
    <x v="35"/>
    <x v="572"/>
    <x v="3"/>
    <x v="0"/>
    <x v="0"/>
    <x v="1"/>
    <x v="3"/>
    <x v="3"/>
    <x v="8"/>
    <x v="3"/>
    <x v="1"/>
    <x v="342"/>
    <x v="895"/>
    <x v="0"/>
    <x v="0"/>
    <x v="0"/>
  </r>
  <r>
    <x v="670"/>
    <x v="170"/>
    <x v="2"/>
    <x v="0"/>
    <x v="27"/>
    <x v="667"/>
    <x v="25"/>
    <x v="247"/>
    <x v="2"/>
    <x v="3"/>
    <x v="0"/>
    <x v="1"/>
    <x v="3"/>
    <x v="3"/>
    <x v="2"/>
    <x v="4"/>
    <x v="0"/>
    <x v="0"/>
    <x v="582"/>
    <x v="0"/>
    <x v="0"/>
    <x v="0"/>
  </r>
  <r>
    <x v="671"/>
    <x v="64"/>
    <x v="7"/>
    <x v="0"/>
    <x v="24"/>
    <x v="683"/>
    <x v="26"/>
    <x v="530"/>
    <x v="8"/>
    <x v="0"/>
    <x v="0"/>
    <x v="1"/>
    <x v="3"/>
    <x v="3"/>
    <x v="1"/>
    <x v="10"/>
    <x v="1"/>
    <x v="223"/>
    <x v="640"/>
    <x v="0"/>
    <x v="0"/>
    <x v="0"/>
  </r>
  <r>
    <x v="672"/>
    <x v="189"/>
    <x v="1"/>
    <x v="1"/>
    <x v="19"/>
    <x v="273"/>
    <x v="10"/>
    <x v="285"/>
    <x v="3"/>
    <x v="1"/>
    <x v="0"/>
    <x v="1"/>
    <x v="2"/>
    <x v="2"/>
    <x v="11"/>
    <x v="8"/>
    <x v="4"/>
    <x v="570"/>
    <x v="319"/>
    <x v="0"/>
    <x v="2"/>
    <x v="3"/>
  </r>
  <r>
    <x v="673"/>
    <x v="179"/>
    <x v="8"/>
    <x v="1"/>
    <x v="19"/>
    <x v="359"/>
    <x v="11"/>
    <x v="543"/>
    <x v="8"/>
    <x v="1"/>
    <x v="0"/>
    <x v="1"/>
    <x v="2"/>
    <x v="2"/>
    <x v="3"/>
    <x v="4"/>
    <x v="4"/>
    <x v="654"/>
    <x v="404"/>
    <x v="0"/>
    <x v="2"/>
    <x v="3"/>
  </r>
  <r>
    <x v="674"/>
    <x v="192"/>
    <x v="1"/>
    <x v="1"/>
    <x v="11"/>
    <x v="350"/>
    <x v="10"/>
    <x v="7"/>
    <x v="4"/>
    <x v="0"/>
    <x v="0"/>
    <x v="1"/>
    <x v="2"/>
    <x v="1"/>
    <x v="2"/>
    <x v="2"/>
    <x v="1"/>
    <x v="89"/>
    <x v="320"/>
    <x v="0"/>
    <x v="2"/>
    <x v="3"/>
  </r>
  <r>
    <x v="675"/>
    <x v="149"/>
    <x v="2"/>
    <x v="0"/>
    <x v="19"/>
    <x v="401"/>
    <x v="11"/>
    <x v="200"/>
    <x v="5"/>
    <x v="0"/>
    <x v="0"/>
    <x v="1"/>
    <x v="0"/>
    <x v="2"/>
    <x v="7"/>
    <x v="8"/>
    <x v="1"/>
    <x v="108"/>
    <x v="373"/>
    <x v="0"/>
    <x v="1"/>
    <x v="3"/>
  </r>
  <r>
    <x v="676"/>
    <x v="25"/>
    <x v="2"/>
    <x v="1"/>
    <x v="12"/>
    <x v="325"/>
    <x v="14"/>
    <x v="481"/>
    <x v="5"/>
    <x v="0"/>
    <x v="0"/>
    <x v="1"/>
    <x v="2"/>
    <x v="1"/>
    <x v="5"/>
    <x v="3"/>
    <x v="1"/>
    <x v="78"/>
    <x v="291"/>
    <x v="0"/>
    <x v="2"/>
    <x v="3"/>
  </r>
  <r>
    <x v="677"/>
    <x v="88"/>
    <x v="3"/>
    <x v="0"/>
    <x v="34"/>
    <x v="701"/>
    <x v="27"/>
    <x v="198"/>
    <x v="7"/>
    <x v="1"/>
    <x v="0"/>
    <x v="1"/>
    <x v="3"/>
    <x v="3"/>
    <x v="3"/>
    <x v="8"/>
    <x v="4"/>
    <x v="868"/>
    <x v="806"/>
    <x v="0"/>
    <x v="0"/>
    <x v="0"/>
  </r>
  <r>
    <x v="678"/>
    <x v="135"/>
    <x v="1"/>
    <x v="0"/>
    <x v="30"/>
    <x v="821"/>
    <x v="31"/>
    <x v="665"/>
    <x v="1"/>
    <x v="4"/>
    <x v="0"/>
    <x v="1"/>
    <x v="3"/>
    <x v="3"/>
    <x v="4"/>
    <x v="5"/>
    <x v="3"/>
    <x v="802"/>
    <x v="866"/>
    <x v="0"/>
    <x v="0"/>
    <x v="0"/>
  </r>
  <r>
    <x v="679"/>
    <x v="24"/>
    <x v="2"/>
    <x v="0"/>
    <x v="28"/>
    <x v="816"/>
    <x v="27"/>
    <x v="27"/>
    <x v="1"/>
    <x v="3"/>
    <x v="0"/>
    <x v="1"/>
    <x v="3"/>
    <x v="3"/>
    <x v="4"/>
    <x v="9"/>
    <x v="0"/>
    <x v="0"/>
    <x v="703"/>
    <x v="0"/>
    <x v="0"/>
    <x v="0"/>
  </r>
  <r>
    <x v="680"/>
    <x v="13"/>
    <x v="1"/>
    <x v="1"/>
    <x v="3"/>
    <x v="19"/>
    <x v="1"/>
    <x v="355"/>
    <x v="3"/>
    <x v="2"/>
    <x v="0"/>
    <x v="0"/>
    <x v="1"/>
    <x v="0"/>
    <x v="5"/>
    <x v="0"/>
    <x v="2"/>
    <x v="54"/>
    <x v="25"/>
    <x v="0"/>
    <x v="3"/>
    <x v="1"/>
  </r>
  <r>
    <x v="681"/>
    <x v="143"/>
    <x v="6"/>
    <x v="1"/>
    <x v="30"/>
    <x v="822"/>
    <x v="30"/>
    <x v="9"/>
    <x v="8"/>
    <x v="2"/>
    <x v="0"/>
    <x v="1"/>
    <x v="3"/>
    <x v="3"/>
    <x v="8"/>
    <x v="2"/>
    <x v="2"/>
    <x v="614"/>
    <x v="817"/>
    <x v="0"/>
    <x v="0"/>
    <x v="0"/>
  </r>
  <r>
    <x v="682"/>
    <x v="13"/>
    <x v="8"/>
    <x v="1"/>
    <x v="33"/>
    <x v="889"/>
    <x v="35"/>
    <x v="549"/>
    <x v="3"/>
    <x v="3"/>
    <x v="0"/>
    <x v="1"/>
    <x v="3"/>
    <x v="3"/>
    <x v="7"/>
    <x v="6"/>
    <x v="0"/>
    <x v="0"/>
    <x v="777"/>
    <x v="0"/>
    <x v="0"/>
    <x v="0"/>
  </r>
  <r>
    <x v="683"/>
    <x v="51"/>
    <x v="3"/>
    <x v="1"/>
    <x v="22"/>
    <x v="464"/>
    <x v="16"/>
    <x v="416"/>
    <x v="4"/>
    <x v="3"/>
    <x v="0"/>
    <x v="1"/>
    <x v="0"/>
    <x v="2"/>
    <x v="6"/>
    <x v="10"/>
    <x v="0"/>
    <x v="0"/>
    <x v="409"/>
    <x v="0"/>
    <x v="1"/>
    <x v="0"/>
  </r>
  <r>
    <x v="684"/>
    <x v="191"/>
    <x v="0"/>
    <x v="1"/>
    <x v="16"/>
    <x v="342"/>
    <x v="10"/>
    <x v="270"/>
    <x v="4"/>
    <x v="0"/>
    <x v="0"/>
    <x v="1"/>
    <x v="2"/>
    <x v="2"/>
    <x v="7"/>
    <x v="1"/>
    <x v="1"/>
    <x v="82"/>
    <x v="312"/>
    <x v="0"/>
    <x v="2"/>
    <x v="3"/>
  </r>
  <r>
    <x v="685"/>
    <x v="139"/>
    <x v="0"/>
    <x v="0"/>
    <x v="10"/>
    <x v="114"/>
    <x v="7"/>
    <x v="378"/>
    <x v="4"/>
    <x v="2"/>
    <x v="0"/>
    <x v="3"/>
    <x v="2"/>
    <x v="1"/>
    <x v="2"/>
    <x v="9"/>
    <x v="2"/>
    <x v="129"/>
    <x v="112"/>
    <x v="0"/>
    <x v="3"/>
    <x v="2"/>
  </r>
  <r>
    <x v="686"/>
    <x v="67"/>
    <x v="5"/>
    <x v="0"/>
    <x v="22"/>
    <x v="451"/>
    <x v="16"/>
    <x v="259"/>
    <x v="3"/>
    <x v="0"/>
    <x v="0"/>
    <x v="1"/>
    <x v="0"/>
    <x v="2"/>
    <x v="9"/>
    <x v="10"/>
    <x v="1"/>
    <x v="121"/>
    <x v="424"/>
    <x v="0"/>
    <x v="1"/>
    <x v="0"/>
  </r>
  <r>
    <x v="687"/>
    <x v="162"/>
    <x v="0"/>
    <x v="1"/>
    <x v="12"/>
    <x v="270"/>
    <x v="12"/>
    <x v="783"/>
    <x v="7"/>
    <x v="4"/>
    <x v="0"/>
    <x v="1"/>
    <x v="2"/>
    <x v="1"/>
    <x v="5"/>
    <x v="3"/>
    <x v="3"/>
    <x v="430"/>
    <x v="293"/>
    <x v="0"/>
    <x v="2"/>
    <x v="3"/>
  </r>
  <r>
    <x v="688"/>
    <x v="58"/>
    <x v="7"/>
    <x v="1"/>
    <x v="7"/>
    <x v="67"/>
    <x v="2"/>
    <x v="529"/>
    <x v="9"/>
    <x v="2"/>
    <x v="1"/>
    <x v="2"/>
    <x v="1"/>
    <x v="1"/>
    <x v="10"/>
    <x v="9"/>
    <x v="2"/>
    <x v="101"/>
    <x v="75"/>
    <x v="1"/>
    <x v="3"/>
    <x v="1"/>
  </r>
  <r>
    <x v="689"/>
    <x v="80"/>
    <x v="8"/>
    <x v="1"/>
    <x v="18"/>
    <x v="458"/>
    <x v="18"/>
    <x v="877"/>
    <x v="6"/>
    <x v="0"/>
    <x v="0"/>
    <x v="1"/>
    <x v="0"/>
    <x v="2"/>
    <x v="11"/>
    <x v="8"/>
    <x v="1"/>
    <x v="124"/>
    <x v="431"/>
    <x v="0"/>
    <x v="1"/>
    <x v="0"/>
  </r>
  <r>
    <x v="690"/>
    <x v="196"/>
    <x v="6"/>
    <x v="1"/>
    <x v="15"/>
    <x v="240"/>
    <x v="11"/>
    <x v="249"/>
    <x v="5"/>
    <x v="0"/>
    <x v="0"/>
    <x v="1"/>
    <x v="2"/>
    <x v="2"/>
    <x v="5"/>
    <x v="5"/>
    <x v="1"/>
    <x v="45"/>
    <x v="216"/>
    <x v="0"/>
    <x v="2"/>
    <x v="3"/>
  </r>
  <r>
    <x v="691"/>
    <x v="62"/>
    <x v="6"/>
    <x v="1"/>
    <x v="30"/>
    <x v="558"/>
    <x v="23"/>
    <x v="94"/>
    <x v="2"/>
    <x v="4"/>
    <x v="1"/>
    <x v="1"/>
    <x v="0"/>
    <x v="3"/>
    <x v="7"/>
    <x v="0"/>
    <x v="3"/>
    <x v="682"/>
    <x v="590"/>
    <x v="1"/>
    <x v="1"/>
    <x v="0"/>
  </r>
  <r>
    <x v="692"/>
    <x v="87"/>
    <x v="9"/>
    <x v="1"/>
    <x v="10"/>
    <x v="95"/>
    <x v="2"/>
    <x v="421"/>
    <x v="4"/>
    <x v="3"/>
    <x v="0"/>
    <x v="2"/>
    <x v="1"/>
    <x v="1"/>
    <x v="7"/>
    <x v="0"/>
    <x v="0"/>
    <x v="0"/>
    <x v="72"/>
    <x v="0"/>
    <x v="3"/>
    <x v="1"/>
  </r>
  <r>
    <x v="693"/>
    <x v="114"/>
    <x v="4"/>
    <x v="1"/>
    <x v="18"/>
    <x v="479"/>
    <x v="20"/>
    <x v="632"/>
    <x v="9"/>
    <x v="1"/>
    <x v="0"/>
    <x v="1"/>
    <x v="0"/>
    <x v="2"/>
    <x v="8"/>
    <x v="5"/>
    <x v="4"/>
    <x v="751"/>
    <x v="529"/>
    <x v="0"/>
    <x v="1"/>
    <x v="0"/>
  </r>
  <r>
    <x v="694"/>
    <x v="58"/>
    <x v="6"/>
    <x v="0"/>
    <x v="14"/>
    <x v="322"/>
    <x v="10"/>
    <x v="672"/>
    <x v="5"/>
    <x v="2"/>
    <x v="0"/>
    <x v="1"/>
    <x v="2"/>
    <x v="2"/>
    <x v="6"/>
    <x v="8"/>
    <x v="2"/>
    <x v="291"/>
    <x v="311"/>
    <x v="0"/>
    <x v="2"/>
    <x v="3"/>
  </r>
  <r>
    <x v="695"/>
    <x v="11"/>
    <x v="9"/>
    <x v="0"/>
    <x v="27"/>
    <x v="590"/>
    <x v="19"/>
    <x v="298"/>
    <x v="7"/>
    <x v="4"/>
    <x v="1"/>
    <x v="1"/>
    <x v="0"/>
    <x v="3"/>
    <x v="2"/>
    <x v="2"/>
    <x v="3"/>
    <x v="704"/>
    <x v="621"/>
    <x v="1"/>
    <x v="1"/>
    <x v="0"/>
  </r>
  <r>
    <x v="696"/>
    <x v="13"/>
    <x v="2"/>
    <x v="0"/>
    <x v="29"/>
    <x v="636"/>
    <x v="24"/>
    <x v="792"/>
    <x v="5"/>
    <x v="1"/>
    <x v="0"/>
    <x v="1"/>
    <x v="3"/>
    <x v="3"/>
    <x v="9"/>
    <x v="6"/>
    <x v="4"/>
    <x v="842"/>
    <x v="704"/>
    <x v="0"/>
    <x v="0"/>
    <x v="0"/>
  </r>
  <r>
    <x v="697"/>
    <x v="52"/>
    <x v="5"/>
    <x v="1"/>
    <x v="3"/>
    <x v="192"/>
    <x v="5"/>
    <x v="885"/>
    <x v="4"/>
    <x v="3"/>
    <x v="0"/>
    <x v="3"/>
    <x v="2"/>
    <x v="0"/>
    <x v="7"/>
    <x v="1"/>
    <x v="0"/>
    <x v="0"/>
    <x v="152"/>
    <x v="0"/>
    <x v="3"/>
    <x v="2"/>
  </r>
  <r>
    <x v="698"/>
    <x v="170"/>
    <x v="5"/>
    <x v="0"/>
    <x v="33"/>
    <x v="705"/>
    <x v="29"/>
    <x v="501"/>
    <x v="4"/>
    <x v="4"/>
    <x v="0"/>
    <x v="1"/>
    <x v="3"/>
    <x v="3"/>
    <x v="10"/>
    <x v="11"/>
    <x v="3"/>
    <x v="757"/>
    <x v="761"/>
    <x v="0"/>
    <x v="0"/>
    <x v="0"/>
  </r>
  <r>
    <x v="699"/>
    <x v="148"/>
    <x v="1"/>
    <x v="0"/>
    <x v="9"/>
    <x v="21"/>
    <x v="3"/>
    <x v="134"/>
    <x v="2"/>
    <x v="2"/>
    <x v="0"/>
    <x v="2"/>
    <x v="1"/>
    <x v="1"/>
    <x v="1"/>
    <x v="4"/>
    <x v="2"/>
    <x v="55"/>
    <x v="26"/>
    <x v="0"/>
    <x v="3"/>
    <x v="2"/>
  </r>
  <r>
    <x v="700"/>
    <x v="37"/>
    <x v="2"/>
    <x v="0"/>
    <x v="23"/>
    <x v="396"/>
    <x v="16"/>
    <x v="473"/>
    <x v="3"/>
    <x v="1"/>
    <x v="0"/>
    <x v="1"/>
    <x v="0"/>
    <x v="2"/>
    <x v="11"/>
    <x v="0"/>
    <x v="4"/>
    <x v="686"/>
    <x v="441"/>
    <x v="0"/>
    <x v="1"/>
    <x v="0"/>
  </r>
  <r>
    <x v="701"/>
    <x v="33"/>
    <x v="6"/>
    <x v="0"/>
    <x v="9"/>
    <x v="127"/>
    <x v="5"/>
    <x v="435"/>
    <x v="1"/>
    <x v="2"/>
    <x v="0"/>
    <x v="3"/>
    <x v="2"/>
    <x v="1"/>
    <x v="7"/>
    <x v="4"/>
    <x v="2"/>
    <x v="140"/>
    <x v="126"/>
    <x v="0"/>
    <x v="3"/>
    <x v="2"/>
  </r>
  <r>
    <x v="702"/>
    <x v="186"/>
    <x v="3"/>
    <x v="0"/>
    <x v="13"/>
    <x v="311"/>
    <x v="13"/>
    <x v="736"/>
    <x v="8"/>
    <x v="0"/>
    <x v="1"/>
    <x v="1"/>
    <x v="2"/>
    <x v="1"/>
    <x v="5"/>
    <x v="10"/>
    <x v="1"/>
    <x v="74"/>
    <x v="276"/>
    <x v="1"/>
    <x v="2"/>
    <x v="3"/>
  </r>
  <r>
    <x v="703"/>
    <x v="72"/>
    <x v="6"/>
    <x v="0"/>
    <x v="0"/>
    <x v="45"/>
    <x v="0"/>
    <x v="776"/>
    <x v="5"/>
    <x v="2"/>
    <x v="0"/>
    <x v="0"/>
    <x v="1"/>
    <x v="0"/>
    <x v="10"/>
    <x v="0"/>
    <x v="2"/>
    <x v="83"/>
    <x v="49"/>
    <x v="0"/>
    <x v="3"/>
    <x v="1"/>
  </r>
  <r>
    <x v="704"/>
    <x v="0"/>
    <x v="3"/>
    <x v="1"/>
    <x v="18"/>
    <x v="471"/>
    <x v="19"/>
    <x v="307"/>
    <x v="7"/>
    <x v="1"/>
    <x v="1"/>
    <x v="1"/>
    <x v="0"/>
    <x v="2"/>
    <x v="3"/>
    <x v="4"/>
    <x v="4"/>
    <x v="745"/>
    <x v="520"/>
    <x v="1"/>
    <x v="1"/>
    <x v="0"/>
  </r>
  <r>
    <x v="705"/>
    <x v="180"/>
    <x v="4"/>
    <x v="0"/>
    <x v="17"/>
    <x v="231"/>
    <x v="9"/>
    <x v="259"/>
    <x v="7"/>
    <x v="0"/>
    <x v="0"/>
    <x v="3"/>
    <x v="2"/>
    <x v="2"/>
    <x v="9"/>
    <x v="10"/>
    <x v="1"/>
    <x v="42"/>
    <x v="209"/>
    <x v="0"/>
    <x v="2"/>
    <x v="3"/>
  </r>
  <r>
    <x v="706"/>
    <x v="32"/>
    <x v="1"/>
    <x v="1"/>
    <x v="14"/>
    <x v="291"/>
    <x v="9"/>
    <x v="824"/>
    <x v="7"/>
    <x v="1"/>
    <x v="0"/>
    <x v="3"/>
    <x v="2"/>
    <x v="2"/>
    <x v="0"/>
    <x v="6"/>
    <x v="4"/>
    <x v="591"/>
    <x v="342"/>
    <x v="0"/>
    <x v="2"/>
    <x v="3"/>
  </r>
  <r>
    <x v="707"/>
    <x v="144"/>
    <x v="1"/>
    <x v="0"/>
    <x v="16"/>
    <x v="430"/>
    <x v="15"/>
    <x v="448"/>
    <x v="3"/>
    <x v="1"/>
    <x v="1"/>
    <x v="1"/>
    <x v="0"/>
    <x v="2"/>
    <x v="8"/>
    <x v="10"/>
    <x v="4"/>
    <x v="714"/>
    <x v="471"/>
    <x v="1"/>
    <x v="1"/>
    <x v="0"/>
  </r>
  <r>
    <x v="708"/>
    <x v="4"/>
    <x v="8"/>
    <x v="0"/>
    <x v="35"/>
    <x v="901"/>
    <x v="31"/>
    <x v="274"/>
    <x v="6"/>
    <x v="4"/>
    <x v="1"/>
    <x v="1"/>
    <x v="3"/>
    <x v="3"/>
    <x v="10"/>
    <x v="2"/>
    <x v="3"/>
    <x v="826"/>
    <x v="924"/>
    <x v="1"/>
    <x v="0"/>
    <x v="0"/>
  </r>
  <r>
    <x v="709"/>
    <x v="12"/>
    <x v="0"/>
    <x v="1"/>
    <x v="6"/>
    <x v="136"/>
    <x v="4"/>
    <x v="359"/>
    <x v="1"/>
    <x v="1"/>
    <x v="0"/>
    <x v="2"/>
    <x v="2"/>
    <x v="1"/>
    <x v="10"/>
    <x v="1"/>
    <x v="4"/>
    <x v="434"/>
    <x v="171"/>
    <x v="0"/>
    <x v="3"/>
    <x v="2"/>
  </r>
  <r>
    <x v="710"/>
    <x v="113"/>
    <x v="7"/>
    <x v="0"/>
    <x v="27"/>
    <x v="465"/>
    <x v="18"/>
    <x v="315"/>
    <x v="1"/>
    <x v="4"/>
    <x v="0"/>
    <x v="1"/>
    <x v="0"/>
    <x v="3"/>
    <x v="10"/>
    <x v="5"/>
    <x v="3"/>
    <x v="606"/>
    <x v="490"/>
    <x v="0"/>
    <x v="1"/>
    <x v="0"/>
  </r>
  <r>
    <x v="711"/>
    <x v="12"/>
    <x v="2"/>
    <x v="1"/>
    <x v="27"/>
    <x v="515"/>
    <x v="18"/>
    <x v="202"/>
    <x v="4"/>
    <x v="0"/>
    <x v="0"/>
    <x v="1"/>
    <x v="0"/>
    <x v="3"/>
    <x v="9"/>
    <x v="8"/>
    <x v="1"/>
    <x v="152"/>
    <x v="481"/>
    <x v="0"/>
    <x v="1"/>
    <x v="0"/>
  </r>
  <r>
    <x v="712"/>
    <x v="68"/>
    <x v="0"/>
    <x v="0"/>
    <x v="13"/>
    <x v="186"/>
    <x v="5"/>
    <x v="673"/>
    <x v="4"/>
    <x v="4"/>
    <x v="0"/>
    <x v="3"/>
    <x v="2"/>
    <x v="1"/>
    <x v="2"/>
    <x v="9"/>
    <x v="3"/>
    <x v="371"/>
    <x v="203"/>
    <x v="0"/>
    <x v="3"/>
    <x v="2"/>
  </r>
  <r>
    <x v="713"/>
    <x v="139"/>
    <x v="2"/>
    <x v="1"/>
    <x v="16"/>
    <x v="478"/>
    <x v="15"/>
    <x v="599"/>
    <x v="6"/>
    <x v="3"/>
    <x v="0"/>
    <x v="1"/>
    <x v="0"/>
    <x v="2"/>
    <x v="1"/>
    <x v="4"/>
    <x v="0"/>
    <x v="0"/>
    <x v="428"/>
    <x v="0"/>
    <x v="1"/>
    <x v="0"/>
  </r>
  <r>
    <x v="714"/>
    <x v="180"/>
    <x v="1"/>
    <x v="0"/>
    <x v="1"/>
    <x v="61"/>
    <x v="2"/>
    <x v="812"/>
    <x v="2"/>
    <x v="1"/>
    <x v="0"/>
    <x v="2"/>
    <x v="1"/>
    <x v="0"/>
    <x v="9"/>
    <x v="1"/>
    <x v="4"/>
    <x v="339"/>
    <x v="85"/>
    <x v="0"/>
    <x v="3"/>
    <x v="1"/>
  </r>
  <r>
    <x v="715"/>
    <x v="43"/>
    <x v="4"/>
    <x v="1"/>
    <x v="20"/>
    <x v="657"/>
    <x v="22"/>
    <x v="887"/>
    <x v="7"/>
    <x v="0"/>
    <x v="0"/>
    <x v="1"/>
    <x v="3"/>
    <x v="2"/>
    <x v="5"/>
    <x v="2"/>
    <x v="1"/>
    <x v="211"/>
    <x v="615"/>
    <x v="0"/>
    <x v="0"/>
    <x v="0"/>
  </r>
  <r>
    <x v="716"/>
    <x v="97"/>
    <x v="4"/>
    <x v="1"/>
    <x v="28"/>
    <x v="716"/>
    <x v="29"/>
    <x v="389"/>
    <x v="2"/>
    <x v="0"/>
    <x v="1"/>
    <x v="1"/>
    <x v="3"/>
    <x v="3"/>
    <x v="2"/>
    <x v="0"/>
    <x v="1"/>
    <x v="241"/>
    <x v="669"/>
    <x v="1"/>
    <x v="0"/>
    <x v="0"/>
  </r>
  <r>
    <x v="717"/>
    <x v="97"/>
    <x v="7"/>
    <x v="0"/>
    <x v="19"/>
    <x v="281"/>
    <x v="10"/>
    <x v="733"/>
    <x v="1"/>
    <x v="0"/>
    <x v="0"/>
    <x v="1"/>
    <x v="2"/>
    <x v="2"/>
    <x v="9"/>
    <x v="9"/>
    <x v="1"/>
    <x v="61"/>
    <x v="251"/>
    <x v="0"/>
    <x v="2"/>
    <x v="3"/>
  </r>
  <r>
    <x v="718"/>
    <x v="69"/>
    <x v="6"/>
    <x v="1"/>
    <x v="8"/>
    <x v="232"/>
    <x v="7"/>
    <x v="809"/>
    <x v="8"/>
    <x v="0"/>
    <x v="1"/>
    <x v="3"/>
    <x v="2"/>
    <x v="1"/>
    <x v="9"/>
    <x v="0"/>
    <x v="1"/>
    <x v="43"/>
    <x v="210"/>
    <x v="1"/>
    <x v="2"/>
    <x v="2"/>
  </r>
  <r>
    <x v="719"/>
    <x v="44"/>
    <x v="9"/>
    <x v="1"/>
    <x v="20"/>
    <x v="495"/>
    <x v="17"/>
    <x v="43"/>
    <x v="5"/>
    <x v="2"/>
    <x v="0"/>
    <x v="1"/>
    <x v="0"/>
    <x v="2"/>
    <x v="8"/>
    <x v="3"/>
    <x v="2"/>
    <x v="425"/>
    <x v="497"/>
    <x v="0"/>
    <x v="1"/>
    <x v="0"/>
  </r>
  <r>
    <x v="720"/>
    <x v="1"/>
    <x v="4"/>
    <x v="1"/>
    <x v="30"/>
    <x v="744"/>
    <x v="26"/>
    <x v="304"/>
    <x v="2"/>
    <x v="3"/>
    <x v="0"/>
    <x v="1"/>
    <x v="3"/>
    <x v="3"/>
    <x v="8"/>
    <x v="3"/>
    <x v="0"/>
    <x v="0"/>
    <x v="645"/>
    <x v="0"/>
    <x v="0"/>
    <x v="0"/>
  </r>
  <r>
    <x v="721"/>
    <x v="53"/>
    <x v="3"/>
    <x v="0"/>
    <x v="24"/>
    <x v="508"/>
    <x v="20"/>
    <x v="741"/>
    <x v="5"/>
    <x v="1"/>
    <x v="0"/>
    <x v="1"/>
    <x v="0"/>
    <x v="3"/>
    <x v="9"/>
    <x v="11"/>
    <x v="4"/>
    <x v="771"/>
    <x v="554"/>
    <x v="0"/>
    <x v="1"/>
    <x v="0"/>
  </r>
  <r>
    <x v="722"/>
    <x v="16"/>
    <x v="6"/>
    <x v="1"/>
    <x v="33"/>
    <x v="742"/>
    <x v="25"/>
    <x v="858"/>
    <x v="5"/>
    <x v="2"/>
    <x v="0"/>
    <x v="1"/>
    <x v="3"/>
    <x v="3"/>
    <x v="6"/>
    <x v="10"/>
    <x v="2"/>
    <x v="571"/>
    <x v="737"/>
    <x v="0"/>
    <x v="0"/>
    <x v="0"/>
  </r>
  <r>
    <x v="723"/>
    <x v="100"/>
    <x v="6"/>
    <x v="1"/>
    <x v="36"/>
    <x v="718"/>
    <x v="28"/>
    <x v="10"/>
    <x v="3"/>
    <x v="2"/>
    <x v="0"/>
    <x v="1"/>
    <x v="3"/>
    <x v="3"/>
    <x v="9"/>
    <x v="2"/>
    <x v="2"/>
    <x v="560"/>
    <x v="716"/>
    <x v="0"/>
    <x v="0"/>
    <x v="0"/>
  </r>
  <r>
    <x v="724"/>
    <x v="28"/>
    <x v="5"/>
    <x v="0"/>
    <x v="37"/>
    <x v="944"/>
    <x v="34"/>
    <x v="856"/>
    <x v="6"/>
    <x v="2"/>
    <x v="0"/>
    <x v="1"/>
    <x v="3"/>
    <x v="3"/>
    <x v="2"/>
    <x v="10"/>
    <x v="2"/>
    <x v="676"/>
    <x v="927"/>
    <x v="0"/>
    <x v="0"/>
    <x v="0"/>
  </r>
  <r>
    <x v="725"/>
    <x v="85"/>
    <x v="9"/>
    <x v="0"/>
    <x v="29"/>
    <x v="529"/>
    <x v="21"/>
    <x v="312"/>
    <x v="5"/>
    <x v="1"/>
    <x v="0"/>
    <x v="1"/>
    <x v="0"/>
    <x v="3"/>
    <x v="0"/>
    <x v="5"/>
    <x v="4"/>
    <x v="785"/>
    <x v="584"/>
    <x v="0"/>
    <x v="1"/>
    <x v="0"/>
  </r>
  <r>
    <x v="726"/>
    <x v="96"/>
    <x v="4"/>
    <x v="0"/>
    <x v="31"/>
    <x v="798"/>
    <x v="32"/>
    <x v="412"/>
    <x v="4"/>
    <x v="4"/>
    <x v="0"/>
    <x v="1"/>
    <x v="3"/>
    <x v="3"/>
    <x v="8"/>
    <x v="8"/>
    <x v="3"/>
    <x v="792"/>
    <x v="848"/>
    <x v="0"/>
    <x v="0"/>
    <x v="0"/>
  </r>
  <r>
    <x v="727"/>
    <x v="81"/>
    <x v="8"/>
    <x v="1"/>
    <x v="5"/>
    <x v="16"/>
    <x v="0"/>
    <x v="504"/>
    <x v="2"/>
    <x v="0"/>
    <x v="0"/>
    <x v="0"/>
    <x v="1"/>
    <x v="1"/>
    <x v="5"/>
    <x v="0"/>
    <x v="1"/>
    <x v="8"/>
    <x v="16"/>
    <x v="0"/>
    <x v="3"/>
    <x v="1"/>
  </r>
  <r>
    <x v="728"/>
    <x v="118"/>
    <x v="7"/>
    <x v="1"/>
    <x v="21"/>
    <x v="583"/>
    <x v="19"/>
    <x v="571"/>
    <x v="2"/>
    <x v="2"/>
    <x v="0"/>
    <x v="1"/>
    <x v="0"/>
    <x v="2"/>
    <x v="3"/>
    <x v="3"/>
    <x v="2"/>
    <x v="478"/>
    <x v="574"/>
    <x v="0"/>
    <x v="1"/>
    <x v="0"/>
  </r>
  <r>
    <x v="729"/>
    <x v="124"/>
    <x v="2"/>
    <x v="0"/>
    <x v="28"/>
    <x v="735"/>
    <x v="29"/>
    <x v="547"/>
    <x v="9"/>
    <x v="0"/>
    <x v="1"/>
    <x v="1"/>
    <x v="3"/>
    <x v="3"/>
    <x v="9"/>
    <x v="5"/>
    <x v="1"/>
    <x v="248"/>
    <x v="682"/>
    <x v="1"/>
    <x v="0"/>
    <x v="0"/>
  </r>
  <r>
    <x v="730"/>
    <x v="105"/>
    <x v="8"/>
    <x v="0"/>
    <x v="27"/>
    <x v="772"/>
    <x v="28"/>
    <x v="369"/>
    <x v="5"/>
    <x v="2"/>
    <x v="0"/>
    <x v="1"/>
    <x v="3"/>
    <x v="3"/>
    <x v="9"/>
    <x v="4"/>
    <x v="2"/>
    <x v="586"/>
    <x v="774"/>
    <x v="0"/>
    <x v="0"/>
    <x v="0"/>
  </r>
  <r>
    <x v="731"/>
    <x v="52"/>
    <x v="1"/>
    <x v="1"/>
    <x v="37"/>
    <x v="810"/>
    <x v="28"/>
    <x v="225"/>
    <x v="6"/>
    <x v="0"/>
    <x v="0"/>
    <x v="1"/>
    <x v="3"/>
    <x v="3"/>
    <x v="9"/>
    <x v="8"/>
    <x v="1"/>
    <x v="286"/>
    <x v="760"/>
    <x v="0"/>
    <x v="0"/>
    <x v="0"/>
  </r>
  <r>
    <x v="732"/>
    <x v="189"/>
    <x v="4"/>
    <x v="0"/>
    <x v="32"/>
    <x v="870"/>
    <x v="33"/>
    <x v="554"/>
    <x v="8"/>
    <x v="2"/>
    <x v="0"/>
    <x v="1"/>
    <x v="3"/>
    <x v="3"/>
    <x v="10"/>
    <x v="7"/>
    <x v="2"/>
    <x v="635"/>
    <x v="869"/>
    <x v="0"/>
    <x v="0"/>
    <x v="0"/>
  </r>
  <r>
    <x v="733"/>
    <x v="15"/>
    <x v="7"/>
    <x v="0"/>
    <x v="10"/>
    <x v="276"/>
    <x v="7"/>
    <x v="872"/>
    <x v="4"/>
    <x v="1"/>
    <x v="0"/>
    <x v="3"/>
    <x v="2"/>
    <x v="1"/>
    <x v="6"/>
    <x v="6"/>
    <x v="4"/>
    <x v="577"/>
    <x v="327"/>
    <x v="0"/>
    <x v="2"/>
    <x v="2"/>
  </r>
  <r>
    <x v="734"/>
    <x v="175"/>
    <x v="9"/>
    <x v="1"/>
    <x v="29"/>
    <x v="792"/>
    <x v="31"/>
    <x v="281"/>
    <x v="7"/>
    <x v="0"/>
    <x v="0"/>
    <x v="1"/>
    <x v="3"/>
    <x v="3"/>
    <x v="3"/>
    <x v="7"/>
    <x v="1"/>
    <x v="279"/>
    <x v="741"/>
    <x v="0"/>
    <x v="0"/>
    <x v="0"/>
  </r>
  <r>
    <x v="735"/>
    <x v="63"/>
    <x v="6"/>
    <x v="0"/>
    <x v="0"/>
    <x v="65"/>
    <x v="0"/>
    <x v="804"/>
    <x v="2"/>
    <x v="1"/>
    <x v="1"/>
    <x v="0"/>
    <x v="1"/>
    <x v="0"/>
    <x v="7"/>
    <x v="10"/>
    <x v="4"/>
    <x v="347"/>
    <x v="91"/>
    <x v="1"/>
    <x v="3"/>
    <x v="1"/>
  </r>
  <r>
    <x v="736"/>
    <x v="32"/>
    <x v="1"/>
    <x v="1"/>
    <x v="29"/>
    <x v="720"/>
    <x v="24"/>
    <x v="659"/>
    <x v="2"/>
    <x v="0"/>
    <x v="0"/>
    <x v="1"/>
    <x v="3"/>
    <x v="3"/>
    <x v="2"/>
    <x v="2"/>
    <x v="1"/>
    <x v="243"/>
    <x v="673"/>
    <x v="0"/>
    <x v="0"/>
    <x v="0"/>
  </r>
  <r>
    <x v="737"/>
    <x v="186"/>
    <x v="1"/>
    <x v="0"/>
    <x v="12"/>
    <x v="162"/>
    <x v="5"/>
    <x v="233"/>
    <x v="8"/>
    <x v="4"/>
    <x v="0"/>
    <x v="3"/>
    <x v="2"/>
    <x v="1"/>
    <x v="8"/>
    <x v="11"/>
    <x v="3"/>
    <x v="344"/>
    <x v="178"/>
    <x v="0"/>
    <x v="3"/>
    <x v="2"/>
  </r>
  <r>
    <x v="738"/>
    <x v="188"/>
    <x v="9"/>
    <x v="1"/>
    <x v="19"/>
    <x v="191"/>
    <x v="10"/>
    <x v="131"/>
    <x v="0"/>
    <x v="2"/>
    <x v="0"/>
    <x v="1"/>
    <x v="2"/>
    <x v="2"/>
    <x v="6"/>
    <x v="2"/>
    <x v="2"/>
    <x v="190"/>
    <x v="187"/>
    <x v="0"/>
    <x v="3"/>
    <x v="3"/>
  </r>
  <r>
    <x v="739"/>
    <x v="187"/>
    <x v="3"/>
    <x v="0"/>
    <x v="34"/>
    <x v="942"/>
    <x v="33"/>
    <x v="268"/>
    <x v="9"/>
    <x v="0"/>
    <x v="0"/>
    <x v="1"/>
    <x v="3"/>
    <x v="3"/>
    <x v="11"/>
    <x v="0"/>
    <x v="1"/>
    <x v="340"/>
    <x v="887"/>
    <x v="0"/>
    <x v="0"/>
    <x v="0"/>
  </r>
  <r>
    <x v="740"/>
    <x v="194"/>
    <x v="8"/>
    <x v="1"/>
    <x v="24"/>
    <x v="487"/>
    <x v="15"/>
    <x v="512"/>
    <x v="7"/>
    <x v="1"/>
    <x v="0"/>
    <x v="1"/>
    <x v="0"/>
    <x v="3"/>
    <x v="9"/>
    <x v="2"/>
    <x v="4"/>
    <x v="756"/>
    <x v="535"/>
    <x v="0"/>
    <x v="1"/>
    <x v="0"/>
  </r>
  <r>
    <x v="741"/>
    <x v="194"/>
    <x v="6"/>
    <x v="1"/>
    <x v="4"/>
    <x v="62"/>
    <x v="1"/>
    <x v="517"/>
    <x v="8"/>
    <x v="2"/>
    <x v="0"/>
    <x v="0"/>
    <x v="1"/>
    <x v="1"/>
    <x v="4"/>
    <x v="4"/>
    <x v="2"/>
    <x v="99"/>
    <x v="69"/>
    <x v="0"/>
    <x v="3"/>
    <x v="1"/>
  </r>
  <r>
    <x v="742"/>
    <x v="157"/>
    <x v="6"/>
    <x v="0"/>
    <x v="12"/>
    <x v="121"/>
    <x v="6"/>
    <x v="765"/>
    <x v="1"/>
    <x v="1"/>
    <x v="0"/>
    <x v="3"/>
    <x v="2"/>
    <x v="1"/>
    <x v="6"/>
    <x v="8"/>
    <x v="4"/>
    <x v="415"/>
    <x v="153"/>
    <x v="0"/>
    <x v="3"/>
    <x v="2"/>
  </r>
  <r>
    <x v="743"/>
    <x v="108"/>
    <x v="7"/>
    <x v="1"/>
    <x v="10"/>
    <x v="85"/>
    <x v="3"/>
    <x v="753"/>
    <x v="5"/>
    <x v="1"/>
    <x v="1"/>
    <x v="2"/>
    <x v="1"/>
    <x v="1"/>
    <x v="4"/>
    <x v="4"/>
    <x v="4"/>
    <x v="377"/>
    <x v="110"/>
    <x v="1"/>
    <x v="3"/>
    <x v="2"/>
  </r>
  <r>
    <x v="744"/>
    <x v="73"/>
    <x v="9"/>
    <x v="0"/>
    <x v="22"/>
    <x v="554"/>
    <x v="20"/>
    <x v="499"/>
    <x v="6"/>
    <x v="1"/>
    <x v="0"/>
    <x v="1"/>
    <x v="0"/>
    <x v="2"/>
    <x v="2"/>
    <x v="11"/>
    <x v="4"/>
    <x v="805"/>
    <x v="619"/>
    <x v="0"/>
    <x v="1"/>
    <x v="0"/>
  </r>
  <r>
    <x v="745"/>
    <x v="148"/>
    <x v="1"/>
    <x v="1"/>
    <x v="36"/>
    <x v="817"/>
    <x v="32"/>
    <x v="434"/>
    <x v="5"/>
    <x v="1"/>
    <x v="0"/>
    <x v="1"/>
    <x v="3"/>
    <x v="3"/>
    <x v="6"/>
    <x v="4"/>
    <x v="4"/>
    <x v="886"/>
    <x v="901"/>
    <x v="0"/>
    <x v="0"/>
    <x v="0"/>
  </r>
  <r>
    <x v="746"/>
    <x v="55"/>
    <x v="8"/>
    <x v="0"/>
    <x v="12"/>
    <x v="393"/>
    <x v="14"/>
    <x v="290"/>
    <x v="7"/>
    <x v="4"/>
    <x v="0"/>
    <x v="1"/>
    <x v="0"/>
    <x v="1"/>
    <x v="2"/>
    <x v="0"/>
    <x v="3"/>
    <x v="524"/>
    <x v="414"/>
    <x v="0"/>
    <x v="1"/>
    <x v="3"/>
  </r>
  <r>
    <x v="747"/>
    <x v="187"/>
    <x v="9"/>
    <x v="0"/>
    <x v="13"/>
    <x v="188"/>
    <x v="5"/>
    <x v="728"/>
    <x v="6"/>
    <x v="0"/>
    <x v="0"/>
    <x v="3"/>
    <x v="2"/>
    <x v="1"/>
    <x v="4"/>
    <x v="5"/>
    <x v="1"/>
    <x v="28"/>
    <x v="169"/>
    <x v="0"/>
    <x v="3"/>
    <x v="2"/>
  </r>
  <r>
    <x v="748"/>
    <x v="166"/>
    <x v="3"/>
    <x v="0"/>
    <x v="26"/>
    <x v="662"/>
    <x v="28"/>
    <x v="78"/>
    <x v="4"/>
    <x v="3"/>
    <x v="0"/>
    <x v="1"/>
    <x v="3"/>
    <x v="3"/>
    <x v="10"/>
    <x v="6"/>
    <x v="0"/>
    <x v="0"/>
    <x v="579"/>
    <x v="0"/>
    <x v="0"/>
    <x v="0"/>
  </r>
  <r>
    <x v="749"/>
    <x v="45"/>
    <x v="3"/>
    <x v="1"/>
    <x v="24"/>
    <x v="463"/>
    <x v="16"/>
    <x v="527"/>
    <x v="6"/>
    <x v="0"/>
    <x v="0"/>
    <x v="1"/>
    <x v="0"/>
    <x v="3"/>
    <x v="7"/>
    <x v="9"/>
    <x v="1"/>
    <x v="126"/>
    <x v="436"/>
    <x v="0"/>
    <x v="1"/>
    <x v="0"/>
  </r>
  <r>
    <x v="750"/>
    <x v="185"/>
    <x v="0"/>
    <x v="1"/>
    <x v="6"/>
    <x v="47"/>
    <x v="4"/>
    <x v="381"/>
    <x v="0"/>
    <x v="2"/>
    <x v="0"/>
    <x v="2"/>
    <x v="1"/>
    <x v="1"/>
    <x v="8"/>
    <x v="9"/>
    <x v="2"/>
    <x v="85"/>
    <x v="50"/>
    <x v="0"/>
    <x v="3"/>
    <x v="2"/>
  </r>
  <r>
    <x v="751"/>
    <x v="130"/>
    <x v="7"/>
    <x v="0"/>
    <x v="35"/>
    <x v="887"/>
    <x v="32"/>
    <x v="327"/>
    <x v="9"/>
    <x v="3"/>
    <x v="0"/>
    <x v="1"/>
    <x v="3"/>
    <x v="3"/>
    <x v="5"/>
    <x v="9"/>
    <x v="0"/>
    <x v="0"/>
    <x v="775"/>
    <x v="0"/>
    <x v="0"/>
    <x v="0"/>
  </r>
  <r>
    <x v="752"/>
    <x v="3"/>
    <x v="1"/>
    <x v="1"/>
    <x v="36"/>
    <x v="789"/>
    <x v="29"/>
    <x v="323"/>
    <x v="3"/>
    <x v="0"/>
    <x v="0"/>
    <x v="1"/>
    <x v="3"/>
    <x v="3"/>
    <x v="0"/>
    <x v="8"/>
    <x v="1"/>
    <x v="276"/>
    <x v="736"/>
    <x v="0"/>
    <x v="0"/>
    <x v="0"/>
  </r>
  <r>
    <x v="753"/>
    <x v="151"/>
    <x v="3"/>
    <x v="0"/>
    <x v="15"/>
    <x v="389"/>
    <x v="11"/>
    <x v="540"/>
    <x v="8"/>
    <x v="0"/>
    <x v="0"/>
    <x v="1"/>
    <x v="0"/>
    <x v="2"/>
    <x v="10"/>
    <x v="2"/>
    <x v="1"/>
    <x v="105"/>
    <x v="360"/>
    <x v="0"/>
    <x v="1"/>
    <x v="3"/>
  </r>
  <r>
    <x v="754"/>
    <x v="8"/>
    <x v="1"/>
    <x v="0"/>
    <x v="26"/>
    <x v="669"/>
    <x v="22"/>
    <x v="309"/>
    <x v="9"/>
    <x v="4"/>
    <x v="0"/>
    <x v="1"/>
    <x v="3"/>
    <x v="3"/>
    <x v="8"/>
    <x v="4"/>
    <x v="3"/>
    <x v="741"/>
    <x v="707"/>
    <x v="0"/>
    <x v="0"/>
    <x v="0"/>
  </r>
  <r>
    <x v="755"/>
    <x v="10"/>
    <x v="4"/>
    <x v="0"/>
    <x v="26"/>
    <x v="725"/>
    <x v="28"/>
    <x v="343"/>
    <x v="9"/>
    <x v="0"/>
    <x v="0"/>
    <x v="1"/>
    <x v="3"/>
    <x v="3"/>
    <x v="0"/>
    <x v="6"/>
    <x v="1"/>
    <x v="245"/>
    <x v="675"/>
    <x v="0"/>
    <x v="0"/>
    <x v="0"/>
  </r>
  <r>
    <x v="756"/>
    <x v="70"/>
    <x v="3"/>
    <x v="1"/>
    <x v="19"/>
    <x v="420"/>
    <x v="14"/>
    <x v="855"/>
    <x v="5"/>
    <x v="4"/>
    <x v="0"/>
    <x v="1"/>
    <x v="0"/>
    <x v="2"/>
    <x v="0"/>
    <x v="10"/>
    <x v="3"/>
    <x v="547"/>
    <x v="437"/>
    <x v="0"/>
    <x v="1"/>
    <x v="3"/>
  </r>
  <r>
    <x v="757"/>
    <x v="83"/>
    <x v="8"/>
    <x v="1"/>
    <x v="9"/>
    <x v="275"/>
    <x v="7"/>
    <x v="640"/>
    <x v="8"/>
    <x v="2"/>
    <x v="0"/>
    <x v="3"/>
    <x v="2"/>
    <x v="1"/>
    <x v="11"/>
    <x v="7"/>
    <x v="2"/>
    <x v="253"/>
    <x v="272"/>
    <x v="0"/>
    <x v="2"/>
    <x v="2"/>
  </r>
  <r>
    <x v="758"/>
    <x v="111"/>
    <x v="6"/>
    <x v="1"/>
    <x v="17"/>
    <x v="147"/>
    <x v="8"/>
    <x v="255"/>
    <x v="3"/>
    <x v="4"/>
    <x v="0"/>
    <x v="3"/>
    <x v="2"/>
    <x v="2"/>
    <x v="2"/>
    <x v="9"/>
    <x v="3"/>
    <x v="327"/>
    <x v="165"/>
    <x v="0"/>
    <x v="3"/>
    <x v="3"/>
  </r>
  <r>
    <x v="759"/>
    <x v="129"/>
    <x v="0"/>
    <x v="0"/>
    <x v="39"/>
    <x v="915"/>
    <x v="34"/>
    <x v="197"/>
    <x v="4"/>
    <x v="1"/>
    <x v="0"/>
    <x v="1"/>
    <x v="3"/>
    <x v="3"/>
    <x v="10"/>
    <x v="7"/>
    <x v="4"/>
    <x v="899"/>
    <x v="964"/>
    <x v="0"/>
    <x v="0"/>
    <x v="0"/>
  </r>
  <r>
    <x v="760"/>
    <x v="120"/>
    <x v="3"/>
    <x v="0"/>
    <x v="15"/>
    <x v="263"/>
    <x v="7"/>
    <x v="551"/>
    <x v="5"/>
    <x v="2"/>
    <x v="0"/>
    <x v="3"/>
    <x v="2"/>
    <x v="2"/>
    <x v="10"/>
    <x v="6"/>
    <x v="2"/>
    <x v="237"/>
    <x v="256"/>
    <x v="0"/>
    <x v="2"/>
    <x v="2"/>
  </r>
  <r>
    <x v="761"/>
    <x v="86"/>
    <x v="9"/>
    <x v="0"/>
    <x v="39"/>
    <x v="928"/>
    <x v="34"/>
    <x v="337"/>
    <x v="8"/>
    <x v="4"/>
    <x v="0"/>
    <x v="1"/>
    <x v="3"/>
    <x v="3"/>
    <x v="0"/>
    <x v="3"/>
    <x v="3"/>
    <x v="839"/>
    <x v="946"/>
    <x v="0"/>
    <x v="0"/>
    <x v="0"/>
  </r>
  <r>
    <x v="762"/>
    <x v="96"/>
    <x v="1"/>
    <x v="0"/>
    <x v="16"/>
    <x v="387"/>
    <x v="15"/>
    <x v="612"/>
    <x v="3"/>
    <x v="4"/>
    <x v="0"/>
    <x v="1"/>
    <x v="0"/>
    <x v="2"/>
    <x v="7"/>
    <x v="8"/>
    <x v="3"/>
    <x v="521"/>
    <x v="410"/>
    <x v="0"/>
    <x v="1"/>
    <x v="0"/>
  </r>
  <r>
    <x v="763"/>
    <x v="129"/>
    <x v="5"/>
    <x v="1"/>
    <x v="23"/>
    <x v="547"/>
    <x v="21"/>
    <x v="50"/>
    <x v="8"/>
    <x v="2"/>
    <x v="0"/>
    <x v="1"/>
    <x v="0"/>
    <x v="2"/>
    <x v="2"/>
    <x v="6"/>
    <x v="2"/>
    <x v="461"/>
    <x v="539"/>
    <x v="0"/>
    <x v="1"/>
    <x v="0"/>
  </r>
  <r>
    <x v="764"/>
    <x v="124"/>
    <x v="7"/>
    <x v="1"/>
    <x v="27"/>
    <x v="796"/>
    <x v="28"/>
    <x v="560"/>
    <x v="1"/>
    <x v="1"/>
    <x v="1"/>
    <x v="1"/>
    <x v="3"/>
    <x v="3"/>
    <x v="2"/>
    <x v="10"/>
    <x v="4"/>
    <x v="882"/>
    <x v="890"/>
    <x v="1"/>
    <x v="0"/>
    <x v="0"/>
  </r>
  <r>
    <x v="765"/>
    <x v="96"/>
    <x v="5"/>
    <x v="1"/>
    <x v="8"/>
    <x v="17"/>
    <x v="3"/>
    <x v="151"/>
    <x v="4"/>
    <x v="2"/>
    <x v="0"/>
    <x v="2"/>
    <x v="1"/>
    <x v="1"/>
    <x v="6"/>
    <x v="10"/>
    <x v="2"/>
    <x v="52"/>
    <x v="22"/>
    <x v="0"/>
    <x v="3"/>
    <x v="2"/>
  </r>
  <r>
    <x v="766"/>
    <x v="76"/>
    <x v="1"/>
    <x v="0"/>
    <x v="28"/>
    <x v="585"/>
    <x v="24"/>
    <x v="609"/>
    <x v="7"/>
    <x v="4"/>
    <x v="0"/>
    <x v="1"/>
    <x v="0"/>
    <x v="3"/>
    <x v="9"/>
    <x v="7"/>
    <x v="3"/>
    <x v="702"/>
    <x v="617"/>
    <x v="0"/>
    <x v="1"/>
    <x v="0"/>
  </r>
  <r>
    <x v="767"/>
    <x v="2"/>
    <x v="5"/>
    <x v="0"/>
    <x v="34"/>
    <x v="666"/>
    <x v="27"/>
    <x v="394"/>
    <x v="0"/>
    <x v="2"/>
    <x v="0"/>
    <x v="1"/>
    <x v="3"/>
    <x v="3"/>
    <x v="7"/>
    <x v="1"/>
    <x v="2"/>
    <x v="527"/>
    <x v="658"/>
    <x v="0"/>
    <x v="0"/>
    <x v="0"/>
  </r>
  <r>
    <x v="768"/>
    <x v="23"/>
    <x v="2"/>
    <x v="0"/>
    <x v="11"/>
    <x v="284"/>
    <x v="12"/>
    <x v="289"/>
    <x v="2"/>
    <x v="2"/>
    <x v="1"/>
    <x v="1"/>
    <x v="2"/>
    <x v="1"/>
    <x v="0"/>
    <x v="0"/>
    <x v="2"/>
    <x v="261"/>
    <x v="282"/>
    <x v="1"/>
    <x v="2"/>
    <x v="3"/>
  </r>
  <r>
    <x v="769"/>
    <x v="127"/>
    <x v="6"/>
    <x v="0"/>
    <x v="31"/>
    <x v="736"/>
    <x v="26"/>
    <x v="114"/>
    <x v="6"/>
    <x v="4"/>
    <x v="0"/>
    <x v="1"/>
    <x v="3"/>
    <x v="3"/>
    <x v="4"/>
    <x v="7"/>
    <x v="3"/>
    <x v="768"/>
    <x v="790"/>
    <x v="0"/>
    <x v="0"/>
    <x v="0"/>
  </r>
  <r>
    <x v="770"/>
    <x v="195"/>
    <x v="7"/>
    <x v="1"/>
    <x v="24"/>
    <x v="661"/>
    <x v="22"/>
    <x v="182"/>
    <x v="6"/>
    <x v="1"/>
    <x v="0"/>
    <x v="1"/>
    <x v="3"/>
    <x v="3"/>
    <x v="3"/>
    <x v="0"/>
    <x v="4"/>
    <x v="859"/>
    <x v="751"/>
    <x v="0"/>
    <x v="0"/>
    <x v="0"/>
  </r>
  <r>
    <x v="771"/>
    <x v="124"/>
    <x v="7"/>
    <x v="1"/>
    <x v="7"/>
    <x v="226"/>
    <x v="9"/>
    <x v="493"/>
    <x v="9"/>
    <x v="0"/>
    <x v="0"/>
    <x v="3"/>
    <x v="2"/>
    <x v="1"/>
    <x v="11"/>
    <x v="8"/>
    <x v="1"/>
    <x v="41"/>
    <x v="206"/>
    <x v="0"/>
    <x v="2"/>
    <x v="3"/>
  </r>
  <r>
    <x v="772"/>
    <x v="33"/>
    <x v="7"/>
    <x v="0"/>
    <x v="11"/>
    <x v="357"/>
    <x v="12"/>
    <x v="1"/>
    <x v="0"/>
    <x v="2"/>
    <x v="0"/>
    <x v="1"/>
    <x v="2"/>
    <x v="1"/>
    <x v="4"/>
    <x v="0"/>
    <x v="2"/>
    <x v="324"/>
    <x v="355"/>
    <x v="0"/>
    <x v="2"/>
    <x v="3"/>
  </r>
  <r>
    <x v="773"/>
    <x v="122"/>
    <x v="9"/>
    <x v="1"/>
    <x v="23"/>
    <x v="522"/>
    <x v="19"/>
    <x v="619"/>
    <x v="9"/>
    <x v="1"/>
    <x v="0"/>
    <x v="1"/>
    <x v="0"/>
    <x v="2"/>
    <x v="3"/>
    <x v="1"/>
    <x v="4"/>
    <x v="780"/>
    <x v="576"/>
    <x v="0"/>
    <x v="1"/>
    <x v="0"/>
  </r>
  <r>
    <x v="774"/>
    <x v="194"/>
    <x v="9"/>
    <x v="0"/>
    <x v="19"/>
    <x v="374"/>
    <x v="14"/>
    <x v="346"/>
    <x v="1"/>
    <x v="2"/>
    <x v="0"/>
    <x v="1"/>
    <x v="2"/>
    <x v="2"/>
    <x v="5"/>
    <x v="8"/>
    <x v="2"/>
    <x v="337"/>
    <x v="379"/>
    <x v="0"/>
    <x v="2"/>
    <x v="3"/>
  </r>
  <r>
    <x v="775"/>
    <x v="55"/>
    <x v="1"/>
    <x v="1"/>
    <x v="3"/>
    <x v="0"/>
    <x v="0"/>
    <x v="778"/>
    <x v="0"/>
    <x v="4"/>
    <x v="0"/>
    <x v="0"/>
    <x v="1"/>
    <x v="0"/>
    <x v="1"/>
    <x v="1"/>
    <x v="3"/>
    <x v="114"/>
    <x v="14"/>
    <x v="0"/>
    <x v="3"/>
    <x v="1"/>
  </r>
  <r>
    <x v="776"/>
    <x v="137"/>
    <x v="7"/>
    <x v="1"/>
    <x v="21"/>
    <x v="542"/>
    <x v="23"/>
    <x v="582"/>
    <x v="1"/>
    <x v="4"/>
    <x v="0"/>
    <x v="1"/>
    <x v="0"/>
    <x v="2"/>
    <x v="4"/>
    <x v="6"/>
    <x v="3"/>
    <x v="670"/>
    <x v="564"/>
    <x v="0"/>
    <x v="1"/>
    <x v="0"/>
  </r>
  <r>
    <x v="777"/>
    <x v="54"/>
    <x v="4"/>
    <x v="0"/>
    <x v="10"/>
    <x v="312"/>
    <x v="12"/>
    <x v="414"/>
    <x v="9"/>
    <x v="0"/>
    <x v="1"/>
    <x v="1"/>
    <x v="2"/>
    <x v="1"/>
    <x v="5"/>
    <x v="9"/>
    <x v="1"/>
    <x v="75"/>
    <x v="277"/>
    <x v="1"/>
    <x v="2"/>
    <x v="3"/>
  </r>
  <r>
    <x v="778"/>
    <x v="43"/>
    <x v="0"/>
    <x v="1"/>
    <x v="24"/>
    <x v="503"/>
    <x v="19"/>
    <x v="472"/>
    <x v="8"/>
    <x v="0"/>
    <x v="0"/>
    <x v="1"/>
    <x v="0"/>
    <x v="3"/>
    <x v="8"/>
    <x v="0"/>
    <x v="1"/>
    <x v="142"/>
    <x v="472"/>
    <x v="0"/>
    <x v="1"/>
    <x v="0"/>
  </r>
  <r>
    <x v="779"/>
    <x v="193"/>
    <x v="0"/>
    <x v="1"/>
    <x v="9"/>
    <x v="210"/>
    <x v="9"/>
    <x v="562"/>
    <x v="3"/>
    <x v="2"/>
    <x v="0"/>
    <x v="3"/>
    <x v="2"/>
    <x v="1"/>
    <x v="4"/>
    <x v="0"/>
    <x v="2"/>
    <x v="207"/>
    <x v="215"/>
    <x v="0"/>
    <x v="2"/>
    <x v="3"/>
  </r>
  <r>
    <x v="780"/>
    <x v="137"/>
    <x v="5"/>
    <x v="0"/>
    <x v="18"/>
    <x v="340"/>
    <x v="12"/>
    <x v="54"/>
    <x v="9"/>
    <x v="4"/>
    <x v="1"/>
    <x v="1"/>
    <x v="2"/>
    <x v="2"/>
    <x v="3"/>
    <x v="8"/>
    <x v="3"/>
    <x v="483"/>
    <x v="367"/>
    <x v="1"/>
    <x v="2"/>
    <x v="3"/>
  </r>
  <r>
    <x v="781"/>
    <x v="49"/>
    <x v="1"/>
    <x v="0"/>
    <x v="10"/>
    <x v="69"/>
    <x v="5"/>
    <x v="88"/>
    <x v="1"/>
    <x v="2"/>
    <x v="0"/>
    <x v="3"/>
    <x v="1"/>
    <x v="1"/>
    <x v="3"/>
    <x v="10"/>
    <x v="2"/>
    <x v="103"/>
    <x v="77"/>
    <x v="0"/>
    <x v="3"/>
    <x v="2"/>
  </r>
  <r>
    <x v="782"/>
    <x v="133"/>
    <x v="0"/>
    <x v="1"/>
    <x v="29"/>
    <x v="553"/>
    <x v="20"/>
    <x v="87"/>
    <x v="9"/>
    <x v="2"/>
    <x v="0"/>
    <x v="1"/>
    <x v="0"/>
    <x v="3"/>
    <x v="10"/>
    <x v="9"/>
    <x v="2"/>
    <x v="465"/>
    <x v="546"/>
    <x v="0"/>
    <x v="1"/>
    <x v="0"/>
  </r>
  <r>
    <x v="783"/>
    <x v="103"/>
    <x v="2"/>
    <x v="0"/>
    <x v="15"/>
    <x v="437"/>
    <x v="14"/>
    <x v="93"/>
    <x v="4"/>
    <x v="4"/>
    <x v="0"/>
    <x v="1"/>
    <x v="0"/>
    <x v="2"/>
    <x v="5"/>
    <x v="0"/>
    <x v="3"/>
    <x v="566"/>
    <x v="459"/>
    <x v="0"/>
    <x v="1"/>
    <x v="3"/>
  </r>
  <r>
    <x v="784"/>
    <x v="113"/>
    <x v="3"/>
    <x v="0"/>
    <x v="34"/>
    <x v="909"/>
    <x v="35"/>
    <x v="556"/>
    <x v="6"/>
    <x v="4"/>
    <x v="0"/>
    <x v="1"/>
    <x v="3"/>
    <x v="3"/>
    <x v="1"/>
    <x v="9"/>
    <x v="3"/>
    <x v="831"/>
    <x v="932"/>
    <x v="0"/>
    <x v="0"/>
    <x v="0"/>
  </r>
  <r>
    <x v="785"/>
    <x v="69"/>
    <x v="6"/>
    <x v="0"/>
    <x v="25"/>
    <x v="601"/>
    <x v="21"/>
    <x v="793"/>
    <x v="3"/>
    <x v="2"/>
    <x v="0"/>
    <x v="1"/>
    <x v="0"/>
    <x v="3"/>
    <x v="10"/>
    <x v="6"/>
    <x v="2"/>
    <x v="493"/>
    <x v="597"/>
    <x v="0"/>
    <x v="1"/>
    <x v="0"/>
  </r>
  <r>
    <x v="786"/>
    <x v="155"/>
    <x v="5"/>
    <x v="1"/>
    <x v="16"/>
    <x v="295"/>
    <x v="11"/>
    <x v="427"/>
    <x v="4"/>
    <x v="2"/>
    <x v="0"/>
    <x v="1"/>
    <x v="2"/>
    <x v="2"/>
    <x v="5"/>
    <x v="2"/>
    <x v="2"/>
    <x v="272"/>
    <x v="295"/>
    <x v="0"/>
    <x v="2"/>
    <x v="3"/>
  </r>
  <r>
    <x v="787"/>
    <x v="190"/>
    <x v="7"/>
    <x v="0"/>
    <x v="13"/>
    <x v="349"/>
    <x v="14"/>
    <x v="183"/>
    <x v="4"/>
    <x v="4"/>
    <x v="0"/>
    <x v="1"/>
    <x v="2"/>
    <x v="1"/>
    <x v="1"/>
    <x v="1"/>
    <x v="3"/>
    <x v="492"/>
    <x v="375"/>
    <x v="0"/>
    <x v="2"/>
    <x v="3"/>
  </r>
  <r>
    <x v="788"/>
    <x v="185"/>
    <x v="3"/>
    <x v="0"/>
    <x v="18"/>
    <x v="538"/>
    <x v="17"/>
    <x v="72"/>
    <x v="4"/>
    <x v="3"/>
    <x v="0"/>
    <x v="1"/>
    <x v="0"/>
    <x v="2"/>
    <x v="3"/>
    <x v="3"/>
    <x v="0"/>
    <x v="0"/>
    <x v="478"/>
    <x v="0"/>
    <x v="1"/>
    <x v="0"/>
  </r>
  <r>
    <x v="789"/>
    <x v="54"/>
    <x v="9"/>
    <x v="1"/>
    <x v="26"/>
    <x v="619"/>
    <x v="22"/>
    <x v="207"/>
    <x v="9"/>
    <x v="2"/>
    <x v="0"/>
    <x v="1"/>
    <x v="3"/>
    <x v="3"/>
    <x v="0"/>
    <x v="0"/>
    <x v="2"/>
    <x v="504"/>
    <x v="613"/>
    <x v="0"/>
    <x v="0"/>
    <x v="0"/>
  </r>
  <r>
    <x v="790"/>
    <x v="159"/>
    <x v="9"/>
    <x v="0"/>
    <x v="31"/>
    <x v="874"/>
    <x v="30"/>
    <x v="164"/>
    <x v="5"/>
    <x v="2"/>
    <x v="0"/>
    <x v="1"/>
    <x v="3"/>
    <x v="3"/>
    <x v="10"/>
    <x v="5"/>
    <x v="2"/>
    <x v="638"/>
    <x v="872"/>
    <x v="0"/>
    <x v="0"/>
    <x v="0"/>
  </r>
  <r>
    <x v="791"/>
    <x v="55"/>
    <x v="3"/>
    <x v="0"/>
    <x v="18"/>
    <x v="415"/>
    <x v="13"/>
    <x v="124"/>
    <x v="2"/>
    <x v="4"/>
    <x v="0"/>
    <x v="1"/>
    <x v="0"/>
    <x v="2"/>
    <x v="0"/>
    <x v="11"/>
    <x v="3"/>
    <x v="545"/>
    <x v="434"/>
    <x v="0"/>
    <x v="1"/>
    <x v="3"/>
  </r>
  <r>
    <x v="792"/>
    <x v="185"/>
    <x v="7"/>
    <x v="1"/>
    <x v="22"/>
    <x v="592"/>
    <x v="21"/>
    <x v="547"/>
    <x v="0"/>
    <x v="2"/>
    <x v="0"/>
    <x v="1"/>
    <x v="0"/>
    <x v="2"/>
    <x v="9"/>
    <x v="5"/>
    <x v="2"/>
    <x v="486"/>
    <x v="586"/>
    <x v="0"/>
    <x v="1"/>
    <x v="0"/>
  </r>
  <r>
    <x v="793"/>
    <x v="73"/>
    <x v="0"/>
    <x v="0"/>
    <x v="2"/>
    <x v="18"/>
    <x v="2"/>
    <x v="851"/>
    <x v="9"/>
    <x v="2"/>
    <x v="0"/>
    <x v="2"/>
    <x v="1"/>
    <x v="0"/>
    <x v="7"/>
    <x v="8"/>
    <x v="2"/>
    <x v="53"/>
    <x v="23"/>
    <x v="0"/>
    <x v="3"/>
    <x v="1"/>
  </r>
  <r>
    <x v="794"/>
    <x v="82"/>
    <x v="6"/>
    <x v="1"/>
    <x v="24"/>
    <x v="733"/>
    <x v="25"/>
    <x v="32"/>
    <x v="1"/>
    <x v="4"/>
    <x v="1"/>
    <x v="1"/>
    <x v="3"/>
    <x v="3"/>
    <x v="8"/>
    <x v="11"/>
    <x v="3"/>
    <x v="767"/>
    <x v="787"/>
    <x v="1"/>
    <x v="0"/>
    <x v="0"/>
  </r>
  <r>
    <x v="795"/>
    <x v="66"/>
    <x v="2"/>
    <x v="1"/>
    <x v="14"/>
    <x v="237"/>
    <x v="6"/>
    <x v="748"/>
    <x v="8"/>
    <x v="1"/>
    <x v="0"/>
    <x v="3"/>
    <x v="2"/>
    <x v="2"/>
    <x v="3"/>
    <x v="2"/>
    <x v="4"/>
    <x v="537"/>
    <x v="287"/>
    <x v="0"/>
    <x v="2"/>
    <x v="2"/>
  </r>
  <r>
    <x v="796"/>
    <x v="36"/>
    <x v="7"/>
    <x v="1"/>
    <x v="26"/>
    <x v="617"/>
    <x v="24"/>
    <x v="698"/>
    <x v="1"/>
    <x v="4"/>
    <x v="0"/>
    <x v="1"/>
    <x v="3"/>
    <x v="3"/>
    <x v="5"/>
    <x v="7"/>
    <x v="3"/>
    <x v="718"/>
    <x v="647"/>
    <x v="0"/>
    <x v="0"/>
    <x v="0"/>
  </r>
  <r>
    <x v="797"/>
    <x v="142"/>
    <x v="4"/>
    <x v="0"/>
    <x v="24"/>
    <x v="557"/>
    <x v="20"/>
    <x v="276"/>
    <x v="9"/>
    <x v="3"/>
    <x v="0"/>
    <x v="1"/>
    <x v="0"/>
    <x v="3"/>
    <x v="3"/>
    <x v="5"/>
    <x v="0"/>
    <x v="0"/>
    <x v="500"/>
    <x v="0"/>
    <x v="1"/>
    <x v="0"/>
  </r>
  <r>
    <x v="798"/>
    <x v="163"/>
    <x v="8"/>
    <x v="0"/>
    <x v="9"/>
    <x v="218"/>
    <x v="8"/>
    <x v="288"/>
    <x v="0"/>
    <x v="0"/>
    <x v="0"/>
    <x v="3"/>
    <x v="2"/>
    <x v="1"/>
    <x v="9"/>
    <x v="11"/>
    <x v="1"/>
    <x v="40"/>
    <x v="195"/>
    <x v="0"/>
    <x v="2"/>
    <x v="3"/>
  </r>
  <r>
    <x v="799"/>
    <x v="38"/>
    <x v="0"/>
    <x v="1"/>
    <x v="18"/>
    <x v="390"/>
    <x v="12"/>
    <x v="174"/>
    <x v="6"/>
    <x v="4"/>
    <x v="0"/>
    <x v="1"/>
    <x v="0"/>
    <x v="2"/>
    <x v="6"/>
    <x v="7"/>
    <x v="3"/>
    <x v="523"/>
    <x v="412"/>
    <x v="0"/>
    <x v="1"/>
    <x v="3"/>
  </r>
  <r>
    <x v="800"/>
    <x v="155"/>
    <x v="1"/>
    <x v="0"/>
    <x v="28"/>
    <x v="612"/>
    <x v="21"/>
    <x v="776"/>
    <x v="4"/>
    <x v="2"/>
    <x v="1"/>
    <x v="1"/>
    <x v="3"/>
    <x v="3"/>
    <x v="10"/>
    <x v="0"/>
    <x v="2"/>
    <x v="500"/>
    <x v="606"/>
    <x v="1"/>
    <x v="0"/>
    <x v="0"/>
  </r>
  <r>
    <x v="801"/>
    <x v="142"/>
    <x v="0"/>
    <x v="1"/>
    <x v="32"/>
    <x v="637"/>
    <x v="25"/>
    <x v="654"/>
    <x v="0"/>
    <x v="4"/>
    <x v="0"/>
    <x v="1"/>
    <x v="3"/>
    <x v="3"/>
    <x v="9"/>
    <x v="0"/>
    <x v="3"/>
    <x v="727"/>
    <x v="664"/>
    <x v="0"/>
    <x v="0"/>
    <x v="0"/>
  </r>
  <r>
    <x v="802"/>
    <x v="185"/>
    <x v="4"/>
    <x v="1"/>
    <x v="10"/>
    <x v="87"/>
    <x v="6"/>
    <x v="491"/>
    <x v="7"/>
    <x v="0"/>
    <x v="0"/>
    <x v="3"/>
    <x v="1"/>
    <x v="1"/>
    <x v="5"/>
    <x v="8"/>
    <x v="1"/>
    <x v="15"/>
    <x v="80"/>
    <x v="0"/>
    <x v="3"/>
    <x v="2"/>
  </r>
  <r>
    <x v="803"/>
    <x v="194"/>
    <x v="1"/>
    <x v="1"/>
    <x v="32"/>
    <x v="647"/>
    <x v="26"/>
    <x v="236"/>
    <x v="4"/>
    <x v="1"/>
    <x v="1"/>
    <x v="1"/>
    <x v="3"/>
    <x v="3"/>
    <x v="8"/>
    <x v="0"/>
    <x v="4"/>
    <x v="848"/>
    <x v="719"/>
    <x v="1"/>
    <x v="0"/>
    <x v="0"/>
  </r>
  <r>
    <x v="804"/>
    <x v="34"/>
    <x v="7"/>
    <x v="0"/>
    <x v="19"/>
    <x v="298"/>
    <x v="13"/>
    <x v="413"/>
    <x v="9"/>
    <x v="1"/>
    <x v="0"/>
    <x v="1"/>
    <x v="2"/>
    <x v="2"/>
    <x v="10"/>
    <x v="8"/>
    <x v="4"/>
    <x v="597"/>
    <x v="346"/>
    <x v="0"/>
    <x v="2"/>
    <x v="3"/>
  </r>
  <r>
    <x v="805"/>
    <x v="192"/>
    <x v="1"/>
    <x v="0"/>
    <x v="23"/>
    <x v="589"/>
    <x v="25"/>
    <x v="393"/>
    <x v="8"/>
    <x v="1"/>
    <x v="0"/>
    <x v="1"/>
    <x v="0"/>
    <x v="2"/>
    <x v="5"/>
    <x v="1"/>
    <x v="4"/>
    <x v="820"/>
    <x v="654"/>
    <x v="0"/>
    <x v="1"/>
    <x v="0"/>
  </r>
  <r>
    <x v="806"/>
    <x v="167"/>
    <x v="3"/>
    <x v="1"/>
    <x v="11"/>
    <x v="116"/>
    <x v="5"/>
    <x v="738"/>
    <x v="1"/>
    <x v="1"/>
    <x v="0"/>
    <x v="3"/>
    <x v="2"/>
    <x v="1"/>
    <x v="9"/>
    <x v="10"/>
    <x v="4"/>
    <x v="409"/>
    <x v="150"/>
    <x v="0"/>
    <x v="3"/>
    <x v="2"/>
  </r>
  <r>
    <x v="807"/>
    <x v="5"/>
    <x v="2"/>
    <x v="0"/>
    <x v="17"/>
    <x v="546"/>
    <x v="18"/>
    <x v="205"/>
    <x v="2"/>
    <x v="4"/>
    <x v="0"/>
    <x v="1"/>
    <x v="0"/>
    <x v="2"/>
    <x v="8"/>
    <x v="10"/>
    <x v="3"/>
    <x v="673"/>
    <x v="569"/>
    <x v="0"/>
    <x v="1"/>
    <x v="0"/>
  </r>
  <r>
    <x v="808"/>
    <x v="48"/>
    <x v="0"/>
    <x v="0"/>
    <x v="12"/>
    <x v="222"/>
    <x v="11"/>
    <x v="177"/>
    <x v="7"/>
    <x v="2"/>
    <x v="1"/>
    <x v="1"/>
    <x v="2"/>
    <x v="1"/>
    <x v="4"/>
    <x v="9"/>
    <x v="2"/>
    <x v="214"/>
    <x v="231"/>
    <x v="1"/>
    <x v="2"/>
    <x v="3"/>
  </r>
  <r>
    <x v="809"/>
    <x v="119"/>
    <x v="9"/>
    <x v="1"/>
    <x v="10"/>
    <x v="12"/>
    <x v="3"/>
    <x v="71"/>
    <x v="8"/>
    <x v="0"/>
    <x v="0"/>
    <x v="2"/>
    <x v="1"/>
    <x v="1"/>
    <x v="1"/>
    <x v="3"/>
    <x v="1"/>
    <x v="5"/>
    <x v="9"/>
    <x v="0"/>
    <x v="3"/>
    <x v="2"/>
  </r>
  <r>
    <x v="810"/>
    <x v="150"/>
    <x v="4"/>
    <x v="1"/>
    <x v="5"/>
    <x v="0"/>
    <x v="1"/>
    <x v="865"/>
    <x v="1"/>
    <x v="4"/>
    <x v="0"/>
    <x v="0"/>
    <x v="1"/>
    <x v="1"/>
    <x v="0"/>
    <x v="0"/>
    <x v="3"/>
    <x v="114"/>
    <x v="14"/>
    <x v="0"/>
    <x v="3"/>
    <x v="1"/>
  </r>
  <r>
    <x v="811"/>
    <x v="23"/>
    <x v="9"/>
    <x v="0"/>
    <x v="6"/>
    <x v="110"/>
    <x v="2"/>
    <x v="22"/>
    <x v="5"/>
    <x v="0"/>
    <x v="0"/>
    <x v="2"/>
    <x v="2"/>
    <x v="1"/>
    <x v="2"/>
    <x v="6"/>
    <x v="1"/>
    <x v="20"/>
    <x v="93"/>
    <x v="0"/>
    <x v="3"/>
    <x v="1"/>
  </r>
  <r>
    <x v="812"/>
    <x v="109"/>
    <x v="3"/>
    <x v="0"/>
    <x v="8"/>
    <x v="161"/>
    <x v="7"/>
    <x v="490"/>
    <x v="9"/>
    <x v="4"/>
    <x v="0"/>
    <x v="3"/>
    <x v="2"/>
    <x v="1"/>
    <x v="2"/>
    <x v="8"/>
    <x v="3"/>
    <x v="343"/>
    <x v="177"/>
    <x v="0"/>
    <x v="3"/>
    <x v="2"/>
  </r>
  <r>
    <x v="813"/>
    <x v="150"/>
    <x v="0"/>
    <x v="0"/>
    <x v="30"/>
    <x v="702"/>
    <x v="29"/>
    <x v="897"/>
    <x v="0"/>
    <x v="2"/>
    <x v="0"/>
    <x v="1"/>
    <x v="3"/>
    <x v="3"/>
    <x v="6"/>
    <x v="7"/>
    <x v="2"/>
    <x v="554"/>
    <x v="706"/>
    <x v="0"/>
    <x v="0"/>
    <x v="0"/>
  </r>
  <r>
    <x v="814"/>
    <x v="194"/>
    <x v="2"/>
    <x v="0"/>
    <x v="30"/>
    <x v="913"/>
    <x v="31"/>
    <x v="145"/>
    <x v="1"/>
    <x v="4"/>
    <x v="1"/>
    <x v="1"/>
    <x v="3"/>
    <x v="3"/>
    <x v="3"/>
    <x v="9"/>
    <x v="3"/>
    <x v="834"/>
    <x v="935"/>
    <x v="1"/>
    <x v="0"/>
    <x v="0"/>
  </r>
  <r>
    <x v="815"/>
    <x v="82"/>
    <x v="0"/>
    <x v="1"/>
    <x v="28"/>
    <x v="584"/>
    <x v="20"/>
    <x v="193"/>
    <x v="6"/>
    <x v="4"/>
    <x v="0"/>
    <x v="1"/>
    <x v="0"/>
    <x v="3"/>
    <x v="1"/>
    <x v="5"/>
    <x v="3"/>
    <x v="700"/>
    <x v="616"/>
    <x v="0"/>
    <x v="1"/>
    <x v="0"/>
  </r>
  <r>
    <x v="816"/>
    <x v="113"/>
    <x v="4"/>
    <x v="1"/>
    <x v="1"/>
    <x v="0"/>
    <x v="0"/>
    <x v="383"/>
    <x v="1"/>
    <x v="4"/>
    <x v="0"/>
    <x v="0"/>
    <x v="1"/>
    <x v="0"/>
    <x v="2"/>
    <x v="10"/>
    <x v="3"/>
    <x v="114"/>
    <x v="14"/>
    <x v="0"/>
    <x v="3"/>
    <x v="1"/>
  </r>
  <r>
    <x v="817"/>
    <x v="120"/>
    <x v="8"/>
    <x v="0"/>
    <x v="28"/>
    <x v="614"/>
    <x v="23"/>
    <x v="371"/>
    <x v="2"/>
    <x v="4"/>
    <x v="0"/>
    <x v="1"/>
    <x v="3"/>
    <x v="3"/>
    <x v="4"/>
    <x v="5"/>
    <x v="3"/>
    <x v="717"/>
    <x v="646"/>
    <x v="0"/>
    <x v="0"/>
    <x v="0"/>
  </r>
  <r>
    <x v="818"/>
    <x v="176"/>
    <x v="9"/>
    <x v="0"/>
    <x v="10"/>
    <x v="221"/>
    <x v="8"/>
    <x v="613"/>
    <x v="2"/>
    <x v="2"/>
    <x v="0"/>
    <x v="3"/>
    <x v="2"/>
    <x v="1"/>
    <x v="0"/>
    <x v="9"/>
    <x v="2"/>
    <x v="213"/>
    <x v="229"/>
    <x v="0"/>
    <x v="2"/>
    <x v="3"/>
  </r>
  <r>
    <x v="819"/>
    <x v="110"/>
    <x v="8"/>
    <x v="0"/>
    <x v="16"/>
    <x v="476"/>
    <x v="15"/>
    <x v="524"/>
    <x v="6"/>
    <x v="0"/>
    <x v="0"/>
    <x v="1"/>
    <x v="0"/>
    <x v="2"/>
    <x v="1"/>
    <x v="7"/>
    <x v="1"/>
    <x v="131"/>
    <x v="451"/>
    <x v="0"/>
    <x v="1"/>
    <x v="0"/>
  </r>
  <r>
    <x v="820"/>
    <x v="26"/>
    <x v="2"/>
    <x v="1"/>
    <x v="20"/>
    <x v="575"/>
    <x v="20"/>
    <x v="541"/>
    <x v="1"/>
    <x v="1"/>
    <x v="0"/>
    <x v="1"/>
    <x v="0"/>
    <x v="2"/>
    <x v="0"/>
    <x v="3"/>
    <x v="4"/>
    <x v="812"/>
    <x v="639"/>
    <x v="0"/>
    <x v="1"/>
    <x v="0"/>
  </r>
  <r>
    <x v="821"/>
    <x v="35"/>
    <x v="2"/>
    <x v="1"/>
    <x v="5"/>
    <x v="213"/>
    <x v="5"/>
    <x v="38"/>
    <x v="9"/>
    <x v="4"/>
    <x v="1"/>
    <x v="3"/>
    <x v="2"/>
    <x v="1"/>
    <x v="4"/>
    <x v="1"/>
    <x v="3"/>
    <x v="395"/>
    <x v="240"/>
    <x v="1"/>
    <x v="2"/>
    <x v="2"/>
  </r>
  <r>
    <x v="822"/>
    <x v="25"/>
    <x v="1"/>
    <x v="1"/>
    <x v="27"/>
    <x v="818"/>
    <x v="27"/>
    <x v="4"/>
    <x v="2"/>
    <x v="4"/>
    <x v="0"/>
    <x v="1"/>
    <x v="3"/>
    <x v="3"/>
    <x v="5"/>
    <x v="1"/>
    <x v="3"/>
    <x v="800"/>
    <x v="862"/>
    <x v="0"/>
    <x v="0"/>
    <x v="0"/>
  </r>
  <r>
    <x v="823"/>
    <x v="147"/>
    <x v="1"/>
    <x v="1"/>
    <x v="29"/>
    <x v="635"/>
    <x v="25"/>
    <x v="667"/>
    <x v="5"/>
    <x v="2"/>
    <x v="0"/>
    <x v="1"/>
    <x v="3"/>
    <x v="3"/>
    <x v="10"/>
    <x v="5"/>
    <x v="2"/>
    <x v="511"/>
    <x v="626"/>
    <x v="0"/>
    <x v="0"/>
    <x v="0"/>
  </r>
  <r>
    <x v="824"/>
    <x v="102"/>
    <x v="6"/>
    <x v="0"/>
    <x v="26"/>
    <x v="715"/>
    <x v="27"/>
    <x v="137"/>
    <x v="4"/>
    <x v="2"/>
    <x v="0"/>
    <x v="1"/>
    <x v="3"/>
    <x v="3"/>
    <x v="3"/>
    <x v="6"/>
    <x v="2"/>
    <x v="559"/>
    <x v="715"/>
    <x v="0"/>
    <x v="0"/>
    <x v="0"/>
  </r>
  <r>
    <x v="825"/>
    <x v="60"/>
    <x v="2"/>
    <x v="1"/>
    <x v="30"/>
    <x v="721"/>
    <x v="24"/>
    <x v="417"/>
    <x v="3"/>
    <x v="1"/>
    <x v="0"/>
    <x v="1"/>
    <x v="3"/>
    <x v="3"/>
    <x v="10"/>
    <x v="10"/>
    <x v="4"/>
    <x v="871"/>
    <x v="821"/>
    <x v="0"/>
    <x v="0"/>
    <x v="0"/>
  </r>
  <r>
    <x v="826"/>
    <x v="109"/>
    <x v="0"/>
    <x v="0"/>
    <x v="6"/>
    <x v="23"/>
    <x v="0"/>
    <x v="216"/>
    <x v="4"/>
    <x v="2"/>
    <x v="0"/>
    <x v="0"/>
    <x v="1"/>
    <x v="1"/>
    <x v="11"/>
    <x v="4"/>
    <x v="2"/>
    <x v="60"/>
    <x v="29"/>
    <x v="0"/>
    <x v="3"/>
    <x v="1"/>
  </r>
  <r>
    <x v="827"/>
    <x v="24"/>
    <x v="6"/>
    <x v="0"/>
    <x v="8"/>
    <x v="39"/>
    <x v="4"/>
    <x v="468"/>
    <x v="6"/>
    <x v="4"/>
    <x v="0"/>
    <x v="2"/>
    <x v="1"/>
    <x v="1"/>
    <x v="2"/>
    <x v="10"/>
    <x v="3"/>
    <x v="170"/>
    <x v="46"/>
    <x v="0"/>
    <x v="3"/>
    <x v="2"/>
  </r>
  <r>
    <x v="828"/>
    <x v="110"/>
    <x v="1"/>
    <x v="1"/>
    <x v="39"/>
    <x v="859"/>
    <x v="31"/>
    <x v="470"/>
    <x v="2"/>
    <x v="2"/>
    <x v="0"/>
    <x v="1"/>
    <x v="3"/>
    <x v="3"/>
    <x v="1"/>
    <x v="0"/>
    <x v="2"/>
    <x v="632"/>
    <x v="858"/>
    <x v="0"/>
    <x v="0"/>
    <x v="0"/>
  </r>
  <r>
    <x v="829"/>
    <x v="55"/>
    <x v="9"/>
    <x v="1"/>
    <x v="10"/>
    <x v="1"/>
    <x v="1"/>
    <x v="287"/>
    <x v="3"/>
    <x v="2"/>
    <x v="0"/>
    <x v="0"/>
    <x v="1"/>
    <x v="1"/>
    <x v="5"/>
    <x v="9"/>
    <x v="2"/>
    <x v="30"/>
    <x v="6"/>
    <x v="0"/>
    <x v="3"/>
    <x v="1"/>
  </r>
  <r>
    <x v="830"/>
    <x v="151"/>
    <x v="9"/>
    <x v="0"/>
    <x v="6"/>
    <x v="209"/>
    <x v="7"/>
    <x v="41"/>
    <x v="1"/>
    <x v="2"/>
    <x v="0"/>
    <x v="3"/>
    <x v="2"/>
    <x v="1"/>
    <x v="8"/>
    <x v="2"/>
    <x v="2"/>
    <x v="206"/>
    <x v="214"/>
    <x v="0"/>
    <x v="2"/>
    <x v="2"/>
  </r>
  <r>
    <x v="831"/>
    <x v="103"/>
    <x v="6"/>
    <x v="0"/>
    <x v="29"/>
    <x v="717"/>
    <x v="27"/>
    <x v="730"/>
    <x v="8"/>
    <x v="3"/>
    <x v="0"/>
    <x v="1"/>
    <x v="3"/>
    <x v="3"/>
    <x v="11"/>
    <x v="7"/>
    <x v="0"/>
    <x v="0"/>
    <x v="627"/>
    <x v="0"/>
    <x v="0"/>
    <x v="0"/>
  </r>
  <r>
    <x v="832"/>
    <x v="24"/>
    <x v="6"/>
    <x v="1"/>
    <x v="14"/>
    <x v="244"/>
    <x v="6"/>
    <x v="650"/>
    <x v="1"/>
    <x v="0"/>
    <x v="0"/>
    <x v="3"/>
    <x v="2"/>
    <x v="2"/>
    <x v="7"/>
    <x v="11"/>
    <x v="1"/>
    <x v="48"/>
    <x v="218"/>
    <x v="0"/>
    <x v="2"/>
    <x v="2"/>
  </r>
  <r>
    <x v="833"/>
    <x v="145"/>
    <x v="0"/>
    <x v="1"/>
    <x v="29"/>
    <x v="778"/>
    <x v="31"/>
    <x v="755"/>
    <x v="1"/>
    <x v="0"/>
    <x v="0"/>
    <x v="1"/>
    <x v="3"/>
    <x v="3"/>
    <x v="1"/>
    <x v="5"/>
    <x v="1"/>
    <x v="268"/>
    <x v="724"/>
    <x v="0"/>
    <x v="0"/>
    <x v="0"/>
  </r>
  <r>
    <x v="834"/>
    <x v="92"/>
    <x v="8"/>
    <x v="1"/>
    <x v="23"/>
    <x v="570"/>
    <x v="23"/>
    <x v="317"/>
    <x v="1"/>
    <x v="2"/>
    <x v="0"/>
    <x v="1"/>
    <x v="0"/>
    <x v="2"/>
    <x v="4"/>
    <x v="6"/>
    <x v="2"/>
    <x v="473"/>
    <x v="561"/>
    <x v="0"/>
    <x v="1"/>
    <x v="0"/>
  </r>
  <r>
    <x v="835"/>
    <x v="142"/>
    <x v="8"/>
    <x v="1"/>
    <x v="10"/>
    <x v="316"/>
    <x v="12"/>
    <x v="594"/>
    <x v="1"/>
    <x v="4"/>
    <x v="0"/>
    <x v="1"/>
    <x v="2"/>
    <x v="1"/>
    <x v="4"/>
    <x v="0"/>
    <x v="3"/>
    <x v="459"/>
    <x v="335"/>
    <x v="0"/>
    <x v="2"/>
    <x v="3"/>
  </r>
  <r>
    <x v="836"/>
    <x v="3"/>
    <x v="9"/>
    <x v="0"/>
    <x v="7"/>
    <x v="74"/>
    <x v="5"/>
    <x v="634"/>
    <x v="7"/>
    <x v="1"/>
    <x v="1"/>
    <x v="3"/>
    <x v="1"/>
    <x v="1"/>
    <x v="8"/>
    <x v="6"/>
    <x v="4"/>
    <x v="361"/>
    <x v="97"/>
    <x v="1"/>
    <x v="3"/>
    <x v="2"/>
  </r>
  <r>
    <x v="837"/>
    <x v="86"/>
    <x v="4"/>
    <x v="1"/>
    <x v="4"/>
    <x v="94"/>
    <x v="6"/>
    <x v="538"/>
    <x v="6"/>
    <x v="0"/>
    <x v="1"/>
    <x v="3"/>
    <x v="1"/>
    <x v="1"/>
    <x v="5"/>
    <x v="2"/>
    <x v="1"/>
    <x v="16"/>
    <x v="81"/>
    <x v="1"/>
    <x v="3"/>
    <x v="2"/>
  </r>
  <r>
    <x v="838"/>
    <x v="193"/>
    <x v="0"/>
    <x v="0"/>
    <x v="4"/>
    <x v="81"/>
    <x v="0"/>
    <x v="477"/>
    <x v="2"/>
    <x v="3"/>
    <x v="0"/>
    <x v="0"/>
    <x v="1"/>
    <x v="1"/>
    <x v="5"/>
    <x v="2"/>
    <x v="0"/>
    <x v="0"/>
    <x v="60"/>
    <x v="0"/>
    <x v="3"/>
    <x v="1"/>
  </r>
  <r>
    <x v="839"/>
    <x v="129"/>
    <x v="7"/>
    <x v="1"/>
    <x v="24"/>
    <x v="545"/>
    <x v="21"/>
    <x v="190"/>
    <x v="3"/>
    <x v="2"/>
    <x v="0"/>
    <x v="1"/>
    <x v="0"/>
    <x v="3"/>
    <x v="8"/>
    <x v="3"/>
    <x v="2"/>
    <x v="457"/>
    <x v="537"/>
    <x v="0"/>
    <x v="1"/>
    <x v="0"/>
  </r>
  <r>
    <x v="840"/>
    <x v="45"/>
    <x v="9"/>
    <x v="0"/>
    <x v="38"/>
    <x v="815"/>
    <x v="29"/>
    <x v="303"/>
    <x v="7"/>
    <x v="1"/>
    <x v="0"/>
    <x v="1"/>
    <x v="3"/>
    <x v="3"/>
    <x v="3"/>
    <x v="3"/>
    <x v="4"/>
    <x v="885"/>
    <x v="898"/>
    <x v="0"/>
    <x v="0"/>
    <x v="0"/>
  </r>
  <r>
    <x v="841"/>
    <x v="196"/>
    <x v="7"/>
    <x v="1"/>
    <x v="36"/>
    <x v="846"/>
    <x v="30"/>
    <x v="584"/>
    <x v="2"/>
    <x v="1"/>
    <x v="0"/>
    <x v="1"/>
    <x v="3"/>
    <x v="3"/>
    <x v="4"/>
    <x v="7"/>
    <x v="4"/>
    <x v="888"/>
    <x v="923"/>
    <x v="0"/>
    <x v="0"/>
    <x v="0"/>
  </r>
  <r>
    <x v="842"/>
    <x v="159"/>
    <x v="0"/>
    <x v="0"/>
    <x v="29"/>
    <x v="845"/>
    <x v="28"/>
    <x v="382"/>
    <x v="8"/>
    <x v="2"/>
    <x v="0"/>
    <x v="1"/>
    <x v="3"/>
    <x v="3"/>
    <x v="10"/>
    <x v="9"/>
    <x v="2"/>
    <x v="626"/>
    <x v="844"/>
    <x v="0"/>
    <x v="0"/>
    <x v="0"/>
  </r>
  <r>
    <x v="843"/>
    <x v="81"/>
    <x v="3"/>
    <x v="1"/>
    <x v="26"/>
    <x v="722"/>
    <x v="24"/>
    <x v="526"/>
    <x v="7"/>
    <x v="2"/>
    <x v="0"/>
    <x v="1"/>
    <x v="3"/>
    <x v="3"/>
    <x v="4"/>
    <x v="8"/>
    <x v="2"/>
    <x v="561"/>
    <x v="720"/>
    <x v="0"/>
    <x v="0"/>
    <x v="0"/>
  </r>
  <r>
    <x v="844"/>
    <x v="92"/>
    <x v="5"/>
    <x v="1"/>
    <x v="7"/>
    <x v="203"/>
    <x v="5"/>
    <x v="605"/>
    <x v="9"/>
    <x v="4"/>
    <x v="0"/>
    <x v="3"/>
    <x v="2"/>
    <x v="1"/>
    <x v="10"/>
    <x v="6"/>
    <x v="3"/>
    <x v="386"/>
    <x v="230"/>
    <x v="0"/>
    <x v="2"/>
    <x v="2"/>
  </r>
  <r>
    <x v="845"/>
    <x v="169"/>
    <x v="0"/>
    <x v="0"/>
    <x v="13"/>
    <x v="319"/>
    <x v="13"/>
    <x v="410"/>
    <x v="9"/>
    <x v="2"/>
    <x v="0"/>
    <x v="1"/>
    <x v="2"/>
    <x v="1"/>
    <x v="2"/>
    <x v="8"/>
    <x v="2"/>
    <x v="287"/>
    <x v="305"/>
    <x v="0"/>
    <x v="2"/>
    <x v="3"/>
  </r>
  <r>
    <x v="846"/>
    <x v="68"/>
    <x v="7"/>
    <x v="1"/>
    <x v="24"/>
    <x v="486"/>
    <x v="16"/>
    <x v="150"/>
    <x v="0"/>
    <x v="2"/>
    <x v="0"/>
    <x v="1"/>
    <x v="0"/>
    <x v="3"/>
    <x v="2"/>
    <x v="10"/>
    <x v="2"/>
    <x v="420"/>
    <x v="486"/>
    <x v="0"/>
    <x v="1"/>
    <x v="0"/>
  </r>
  <r>
    <x v="847"/>
    <x v="101"/>
    <x v="0"/>
    <x v="1"/>
    <x v="12"/>
    <x v="118"/>
    <x v="4"/>
    <x v="458"/>
    <x v="9"/>
    <x v="0"/>
    <x v="0"/>
    <x v="2"/>
    <x v="2"/>
    <x v="1"/>
    <x v="8"/>
    <x v="6"/>
    <x v="1"/>
    <x v="21"/>
    <x v="98"/>
    <x v="0"/>
    <x v="3"/>
    <x v="2"/>
  </r>
  <r>
    <x v="848"/>
    <x v="80"/>
    <x v="4"/>
    <x v="0"/>
    <x v="15"/>
    <x v="446"/>
    <x v="16"/>
    <x v="537"/>
    <x v="1"/>
    <x v="1"/>
    <x v="0"/>
    <x v="1"/>
    <x v="0"/>
    <x v="2"/>
    <x v="1"/>
    <x v="2"/>
    <x v="4"/>
    <x v="730"/>
    <x v="494"/>
    <x v="0"/>
    <x v="1"/>
    <x v="0"/>
  </r>
  <r>
    <x v="849"/>
    <x v="24"/>
    <x v="0"/>
    <x v="0"/>
    <x v="24"/>
    <x v="609"/>
    <x v="20"/>
    <x v="399"/>
    <x v="2"/>
    <x v="4"/>
    <x v="0"/>
    <x v="1"/>
    <x v="0"/>
    <x v="3"/>
    <x v="0"/>
    <x v="4"/>
    <x v="3"/>
    <x v="716"/>
    <x v="642"/>
    <x v="0"/>
    <x v="1"/>
    <x v="0"/>
  </r>
  <r>
    <x v="850"/>
    <x v="39"/>
    <x v="2"/>
    <x v="0"/>
    <x v="14"/>
    <x v="323"/>
    <x v="8"/>
    <x v="714"/>
    <x v="9"/>
    <x v="1"/>
    <x v="1"/>
    <x v="3"/>
    <x v="2"/>
    <x v="2"/>
    <x v="4"/>
    <x v="2"/>
    <x v="4"/>
    <x v="617"/>
    <x v="366"/>
    <x v="1"/>
    <x v="2"/>
    <x v="3"/>
  </r>
  <r>
    <x v="851"/>
    <x v="123"/>
    <x v="7"/>
    <x v="0"/>
    <x v="39"/>
    <x v="893"/>
    <x v="31"/>
    <x v="616"/>
    <x v="6"/>
    <x v="2"/>
    <x v="0"/>
    <x v="1"/>
    <x v="3"/>
    <x v="3"/>
    <x v="3"/>
    <x v="0"/>
    <x v="2"/>
    <x v="643"/>
    <x v="880"/>
    <x v="0"/>
    <x v="0"/>
    <x v="0"/>
  </r>
  <r>
    <x v="852"/>
    <x v="174"/>
    <x v="3"/>
    <x v="0"/>
    <x v="9"/>
    <x v="277"/>
    <x v="7"/>
    <x v="680"/>
    <x v="1"/>
    <x v="2"/>
    <x v="0"/>
    <x v="3"/>
    <x v="2"/>
    <x v="1"/>
    <x v="10"/>
    <x v="11"/>
    <x v="2"/>
    <x v="254"/>
    <x v="273"/>
    <x v="0"/>
    <x v="2"/>
    <x v="2"/>
  </r>
  <r>
    <x v="853"/>
    <x v="64"/>
    <x v="6"/>
    <x v="1"/>
    <x v="22"/>
    <x v="352"/>
    <x v="13"/>
    <x v="170"/>
    <x v="3"/>
    <x v="0"/>
    <x v="0"/>
    <x v="1"/>
    <x v="2"/>
    <x v="2"/>
    <x v="1"/>
    <x v="7"/>
    <x v="1"/>
    <x v="90"/>
    <x v="321"/>
    <x v="0"/>
    <x v="2"/>
    <x v="3"/>
  </r>
  <r>
    <x v="854"/>
    <x v="104"/>
    <x v="4"/>
    <x v="0"/>
    <x v="39"/>
    <x v="956"/>
    <x v="35"/>
    <x v="635"/>
    <x v="4"/>
    <x v="2"/>
    <x v="0"/>
    <x v="1"/>
    <x v="3"/>
    <x v="3"/>
    <x v="9"/>
    <x v="6"/>
    <x v="2"/>
    <x v="677"/>
    <x v="937"/>
    <x v="0"/>
    <x v="0"/>
    <x v="0"/>
  </r>
  <r>
    <x v="855"/>
    <x v="86"/>
    <x v="6"/>
    <x v="0"/>
    <x v="21"/>
    <x v="416"/>
    <x v="12"/>
    <x v="902"/>
    <x v="1"/>
    <x v="1"/>
    <x v="0"/>
    <x v="1"/>
    <x v="0"/>
    <x v="2"/>
    <x v="8"/>
    <x v="10"/>
    <x v="4"/>
    <x v="706"/>
    <x v="456"/>
    <x v="0"/>
    <x v="1"/>
    <x v="3"/>
  </r>
  <r>
    <x v="856"/>
    <x v="26"/>
    <x v="7"/>
    <x v="1"/>
    <x v="13"/>
    <x v="280"/>
    <x v="8"/>
    <x v="342"/>
    <x v="1"/>
    <x v="0"/>
    <x v="0"/>
    <x v="3"/>
    <x v="2"/>
    <x v="1"/>
    <x v="6"/>
    <x v="5"/>
    <x v="1"/>
    <x v="59"/>
    <x v="249"/>
    <x v="0"/>
    <x v="2"/>
    <x v="3"/>
  </r>
  <r>
    <x v="857"/>
    <x v="166"/>
    <x v="4"/>
    <x v="0"/>
    <x v="28"/>
    <x v="603"/>
    <x v="24"/>
    <x v="153"/>
    <x v="0"/>
    <x v="1"/>
    <x v="0"/>
    <x v="1"/>
    <x v="0"/>
    <x v="3"/>
    <x v="1"/>
    <x v="0"/>
    <x v="4"/>
    <x v="827"/>
    <x v="671"/>
    <x v="0"/>
    <x v="1"/>
    <x v="0"/>
  </r>
  <r>
    <x v="858"/>
    <x v="65"/>
    <x v="8"/>
    <x v="1"/>
    <x v="27"/>
    <x v="758"/>
    <x v="27"/>
    <x v="871"/>
    <x v="5"/>
    <x v="1"/>
    <x v="0"/>
    <x v="1"/>
    <x v="3"/>
    <x v="3"/>
    <x v="5"/>
    <x v="6"/>
    <x v="4"/>
    <x v="879"/>
    <x v="853"/>
    <x v="0"/>
    <x v="0"/>
    <x v="0"/>
  </r>
  <r>
    <x v="859"/>
    <x v="8"/>
    <x v="4"/>
    <x v="1"/>
    <x v="10"/>
    <x v="149"/>
    <x v="5"/>
    <x v="115"/>
    <x v="8"/>
    <x v="2"/>
    <x v="0"/>
    <x v="3"/>
    <x v="2"/>
    <x v="1"/>
    <x v="6"/>
    <x v="7"/>
    <x v="2"/>
    <x v="158"/>
    <x v="154"/>
    <x v="0"/>
    <x v="3"/>
    <x v="2"/>
  </r>
  <r>
    <x v="860"/>
    <x v="82"/>
    <x v="6"/>
    <x v="1"/>
    <x v="39"/>
    <x v="906"/>
    <x v="31"/>
    <x v="484"/>
    <x v="0"/>
    <x v="1"/>
    <x v="0"/>
    <x v="1"/>
    <x v="3"/>
    <x v="3"/>
    <x v="5"/>
    <x v="4"/>
    <x v="4"/>
    <x v="897"/>
    <x v="956"/>
    <x v="0"/>
    <x v="0"/>
    <x v="0"/>
  </r>
  <r>
    <x v="861"/>
    <x v="198"/>
    <x v="5"/>
    <x v="1"/>
    <x v="15"/>
    <x v="367"/>
    <x v="11"/>
    <x v="651"/>
    <x v="5"/>
    <x v="4"/>
    <x v="0"/>
    <x v="1"/>
    <x v="2"/>
    <x v="2"/>
    <x v="9"/>
    <x v="11"/>
    <x v="3"/>
    <x v="509"/>
    <x v="393"/>
    <x v="0"/>
    <x v="2"/>
    <x v="3"/>
  </r>
  <r>
    <x v="862"/>
    <x v="188"/>
    <x v="9"/>
    <x v="1"/>
    <x v="5"/>
    <x v="96"/>
    <x v="1"/>
    <x v="453"/>
    <x v="1"/>
    <x v="1"/>
    <x v="0"/>
    <x v="0"/>
    <x v="1"/>
    <x v="1"/>
    <x v="10"/>
    <x v="2"/>
    <x v="4"/>
    <x v="387"/>
    <x v="120"/>
    <x v="0"/>
    <x v="3"/>
    <x v="1"/>
  </r>
  <r>
    <x v="863"/>
    <x v="53"/>
    <x v="9"/>
    <x v="1"/>
    <x v="9"/>
    <x v="386"/>
    <x v="11"/>
    <x v="311"/>
    <x v="8"/>
    <x v="0"/>
    <x v="0"/>
    <x v="1"/>
    <x v="0"/>
    <x v="1"/>
    <x v="10"/>
    <x v="4"/>
    <x v="1"/>
    <x v="104"/>
    <x v="359"/>
    <x v="0"/>
    <x v="1"/>
    <x v="3"/>
  </r>
  <r>
    <x v="864"/>
    <x v="11"/>
    <x v="2"/>
    <x v="0"/>
    <x v="37"/>
    <x v="879"/>
    <x v="35"/>
    <x v="701"/>
    <x v="3"/>
    <x v="3"/>
    <x v="0"/>
    <x v="1"/>
    <x v="3"/>
    <x v="3"/>
    <x v="1"/>
    <x v="9"/>
    <x v="0"/>
    <x v="0"/>
    <x v="769"/>
    <x v="0"/>
    <x v="0"/>
    <x v="0"/>
  </r>
  <r>
    <x v="865"/>
    <x v="82"/>
    <x v="7"/>
    <x v="0"/>
    <x v="17"/>
    <x v="356"/>
    <x v="15"/>
    <x v="895"/>
    <x v="0"/>
    <x v="2"/>
    <x v="0"/>
    <x v="1"/>
    <x v="2"/>
    <x v="2"/>
    <x v="6"/>
    <x v="5"/>
    <x v="2"/>
    <x v="323"/>
    <x v="354"/>
    <x v="0"/>
    <x v="2"/>
    <x v="0"/>
  </r>
  <r>
    <x v="866"/>
    <x v="120"/>
    <x v="2"/>
    <x v="0"/>
    <x v="39"/>
    <x v="904"/>
    <x v="34"/>
    <x v="637"/>
    <x v="9"/>
    <x v="2"/>
    <x v="1"/>
    <x v="1"/>
    <x v="3"/>
    <x v="3"/>
    <x v="2"/>
    <x v="7"/>
    <x v="2"/>
    <x v="651"/>
    <x v="893"/>
    <x v="1"/>
    <x v="0"/>
    <x v="0"/>
  </r>
  <r>
    <x v="867"/>
    <x v="74"/>
    <x v="4"/>
    <x v="0"/>
    <x v="15"/>
    <x v="308"/>
    <x v="8"/>
    <x v="146"/>
    <x v="4"/>
    <x v="2"/>
    <x v="0"/>
    <x v="3"/>
    <x v="2"/>
    <x v="2"/>
    <x v="4"/>
    <x v="9"/>
    <x v="2"/>
    <x v="282"/>
    <x v="299"/>
    <x v="0"/>
    <x v="2"/>
    <x v="3"/>
  </r>
  <r>
    <x v="868"/>
    <x v="147"/>
    <x v="5"/>
    <x v="1"/>
    <x v="32"/>
    <x v="602"/>
    <x v="24"/>
    <x v="623"/>
    <x v="8"/>
    <x v="2"/>
    <x v="0"/>
    <x v="1"/>
    <x v="0"/>
    <x v="3"/>
    <x v="8"/>
    <x v="2"/>
    <x v="2"/>
    <x v="495"/>
    <x v="600"/>
    <x v="0"/>
    <x v="1"/>
    <x v="0"/>
  </r>
  <r>
    <x v="869"/>
    <x v="43"/>
    <x v="2"/>
    <x v="0"/>
    <x v="25"/>
    <x v="445"/>
    <x v="17"/>
    <x v="201"/>
    <x v="1"/>
    <x v="2"/>
    <x v="0"/>
    <x v="1"/>
    <x v="0"/>
    <x v="3"/>
    <x v="8"/>
    <x v="8"/>
    <x v="2"/>
    <x v="391"/>
    <x v="444"/>
    <x v="0"/>
    <x v="1"/>
    <x v="0"/>
  </r>
  <r>
    <x v="870"/>
    <x v="138"/>
    <x v="5"/>
    <x v="1"/>
    <x v="24"/>
    <x v="555"/>
    <x v="20"/>
    <x v="3"/>
    <x v="6"/>
    <x v="3"/>
    <x v="0"/>
    <x v="1"/>
    <x v="0"/>
    <x v="3"/>
    <x v="0"/>
    <x v="1"/>
    <x v="0"/>
    <x v="0"/>
    <x v="496"/>
    <x v="0"/>
    <x v="1"/>
    <x v="0"/>
  </r>
  <r>
    <x v="871"/>
    <x v="137"/>
    <x v="9"/>
    <x v="0"/>
    <x v="25"/>
    <x v="694"/>
    <x v="26"/>
    <x v="836"/>
    <x v="3"/>
    <x v="4"/>
    <x v="0"/>
    <x v="1"/>
    <x v="3"/>
    <x v="3"/>
    <x v="1"/>
    <x v="2"/>
    <x v="3"/>
    <x v="750"/>
    <x v="749"/>
    <x v="0"/>
    <x v="0"/>
    <x v="0"/>
  </r>
  <r>
    <x v="872"/>
    <x v="97"/>
    <x v="5"/>
    <x v="0"/>
    <x v="10"/>
    <x v="137"/>
    <x v="6"/>
    <x v="845"/>
    <x v="0"/>
    <x v="3"/>
    <x v="0"/>
    <x v="3"/>
    <x v="2"/>
    <x v="1"/>
    <x v="8"/>
    <x v="6"/>
    <x v="0"/>
    <x v="0"/>
    <x v="101"/>
    <x v="0"/>
    <x v="3"/>
    <x v="2"/>
  </r>
  <r>
    <x v="873"/>
    <x v="185"/>
    <x v="8"/>
    <x v="1"/>
    <x v="30"/>
    <x v="911"/>
    <x v="31"/>
    <x v="859"/>
    <x v="3"/>
    <x v="2"/>
    <x v="0"/>
    <x v="1"/>
    <x v="3"/>
    <x v="3"/>
    <x v="7"/>
    <x v="10"/>
    <x v="2"/>
    <x v="655"/>
    <x v="897"/>
    <x v="0"/>
    <x v="0"/>
    <x v="0"/>
  </r>
  <r>
    <x v="874"/>
    <x v="181"/>
    <x v="8"/>
    <x v="0"/>
    <x v="13"/>
    <x v="320"/>
    <x v="10"/>
    <x v="575"/>
    <x v="7"/>
    <x v="4"/>
    <x v="0"/>
    <x v="1"/>
    <x v="2"/>
    <x v="1"/>
    <x v="4"/>
    <x v="4"/>
    <x v="3"/>
    <x v="462"/>
    <x v="339"/>
    <x v="0"/>
    <x v="2"/>
    <x v="3"/>
  </r>
  <r>
    <x v="875"/>
    <x v="85"/>
    <x v="3"/>
    <x v="0"/>
    <x v="10"/>
    <x v="131"/>
    <x v="8"/>
    <x v="791"/>
    <x v="9"/>
    <x v="2"/>
    <x v="0"/>
    <x v="3"/>
    <x v="2"/>
    <x v="1"/>
    <x v="3"/>
    <x v="6"/>
    <x v="2"/>
    <x v="144"/>
    <x v="130"/>
    <x v="0"/>
    <x v="3"/>
    <x v="3"/>
  </r>
  <r>
    <x v="876"/>
    <x v="31"/>
    <x v="6"/>
    <x v="0"/>
    <x v="35"/>
    <x v="743"/>
    <x v="26"/>
    <x v="213"/>
    <x v="5"/>
    <x v="2"/>
    <x v="0"/>
    <x v="1"/>
    <x v="3"/>
    <x v="3"/>
    <x v="4"/>
    <x v="3"/>
    <x v="2"/>
    <x v="572"/>
    <x v="738"/>
    <x v="0"/>
    <x v="0"/>
    <x v="0"/>
  </r>
  <r>
    <x v="877"/>
    <x v="174"/>
    <x v="7"/>
    <x v="1"/>
    <x v="39"/>
    <x v="876"/>
    <x v="33"/>
    <x v="147"/>
    <x v="8"/>
    <x v="2"/>
    <x v="1"/>
    <x v="1"/>
    <x v="3"/>
    <x v="3"/>
    <x v="6"/>
    <x v="9"/>
    <x v="2"/>
    <x v="639"/>
    <x v="874"/>
    <x v="1"/>
    <x v="0"/>
    <x v="0"/>
  </r>
  <r>
    <x v="878"/>
    <x v="171"/>
    <x v="1"/>
    <x v="1"/>
    <x v="13"/>
    <x v="88"/>
    <x v="4"/>
    <x v="160"/>
    <x v="5"/>
    <x v="4"/>
    <x v="1"/>
    <x v="2"/>
    <x v="1"/>
    <x v="1"/>
    <x v="2"/>
    <x v="3"/>
    <x v="3"/>
    <x v="240"/>
    <x v="100"/>
    <x v="1"/>
    <x v="3"/>
    <x v="2"/>
  </r>
  <r>
    <x v="879"/>
    <x v="188"/>
    <x v="0"/>
    <x v="1"/>
    <x v="39"/>
    <x v="825"/>
    <x v="32"/>
    <x v="123"/>
    <x v="0"/>
    <x v="2"/>
    <x v="0"/>
    <x v="1"/>
    <x v="3"/>
    <x v="3"/>
    <x v="10"/>
    <x v="10"/>
    <x v="2"/>
    <x v="615"/>
    <x v="820"/>
    <x v="0"/>
    <x v="0"/>
    <x v="0"/>
  </r>
  <r>
    <x v="880"/>
    <x v="111"/>
    <x v="8"/>
    <x v="1"/>
    <x v="21"/>
    <x v="254"/>
    <x v="12"/>
    <x v="373"/>
    <x v="0"/>
    <x v="2"/>
    <x v="0"/>
    <x v="1"/>
    <x v="2"/>
    <x v="2"/>
    <x v="9"/>
    <x v="5"/>
    <x v="2"/>
    <x v="231"/>
    <x v="246"/>
    <x v="0"/>
    <x v="2"/>
    <x v="3"/>
  </r>
  <r>
    <x v="881"/>
    <x v="51"/>
    <x v="7"/>
    <x v="1"/>
    <x v="28"/>
    <x v="823"/>
    <x v="28"/>
    <x v="518"/>
    <x v="5"/>
    <x v="4"/>
    <x v="0"/>
    <x v="1"/>
    <x v="3"/>
    <x v="3"/>
    <x v="5"/>
    <x v="4"/>
    <x v="3"/>
    <x v="803"/>
    <x v="867"/>
    <x v="0"/>
    <x v="0"/>
    <x v="0"/>
  </r>
  <r>
    <x v="882"/>
    <x v="111"/>
    <x v="4"/>
    <x v="0"/>
    <x v="35"/>
    <x v="805"/>
    <x v="31"/>
    <x v="466"/>
    <x v="4"/>
    <x v="3"/>
    <x v="0"/>
    <x v="1"/>
    <x v="3"/>
    <x v="3"/>
    <x v="8"/>
    <x v="8"/>
    <x v="0"/>
    <x v="0"/>
    <x v="692"/>
    <x v="0"/>
    <x v="0"/>
    <x v="0"/>
  </r>
  <r>
    <x v="883"/>
    <x v="100"/>
    <x v="6"/>
    <x v="1"/>
    <x v="32"/>
    <x v="802"/>
    <x v="30"/>
    <x v="349"/>
    <x v="7"/>
    <x v="1"/>
    <x v="0"/>
    <x v="1"/>
    <x v="3"/>
    <x v="3"/>
    <x v="4"/>
    <x v="10"/>
    <x v="4"/>
    <x v="883"/>
    <x v="894"/>
    <x v="0"/>
    <x v="0"/>
    <x v="0"/>
  </r>
  <r>
    <x v="884"/>
    <x v="18"/>
    <x v="3"/>
    <x v="0"/>
    <x v="29"/>
    <x v="857"/>
    <x v="31"/>
    <x v="514"/>
    <x v="1"/>
    <x v="2"/>
    <x v="0"/>
    <x v="1"/>
    <x v="3"/>
    <x v="3"/>
    <x v="0"/>
    <x v="3"/>
    <x v="2"/>
    <x v="629"/>
    <x v="857"/>
    <x v="0"/>
    <x v="0"/>
    <x v="0"/>
  </r>
  <r>
    <x v="885"/>
    <x v="41"/>
    <x v="2"/>
    <x v="0"/>
    <x v="28"/>
    <x v="588"/>
    <x v="25"/>
    <x v="265"/>
    <x v="8"/>
    <x v="2"/>
    <x v="0"/>
    <x v="1"/>
    <x v="0"/>
    <x v="3"/>
    <x v="2"/>
    <x v="0"/>
    <x v="2"/>
    <x v="481"/>
    <x v="583"/>
    <x v="0"/>
    <x v="1"/>
    <x v="0"/>
  </r>
  <r>
    <x v="886"/>
    <x v="179"/>
    <x v="0"/>
    <x v="1"/>
    <x v="29"/>
    <x v="797"/>
    <x v="31"/>
    <x v="296"/>
    <x v="6"/>
    <x v="4"/>
    <x v="0"/>
    <x v="1"/>
    <x v="3"/>
    <x v="3"/>
    <x v="5"/>
    <x v="1"/>
    <x v="3"/>
    <x v="791"/>
    <x v="847"/>
    <x v="0"/>
    <x v="0"/>
    <x v="0"/>
  </r>
  <r>
    <x v="887"/>
    <x v="146"/>
    <x v="7"/>
    <x v="1"/>
    <x v="16"/>
    <x v="505"/>
    <x v="17"/>
    <x v="227"/>
    <x v="8"/>
    <x v="4"/>
    <x v="0"/>
    <x v="1"/>
    <x v="0"/>
    <x v="2"/>
    <x v="9"/>
    <x v="9"/>
    <x v="3"/>
    <x v="634"/>
    <x v="523"/>
    <x v="0"/>
    <x v="1"/>
    <x v="0"/>
  </r>
  <r>
    <x v="888"/>
    <x v="127"/>
    <x v="9"/>
    <x v="0"/>
    <x v="14"/>
    <x v="266"/>
    <x v="12"/>
    <x v="886"/>
    <x v="4"/>
    <x v="4"/>
    <x v="0"/>
    <x v="1"/>
    <x v="2"/>
    <x v="2"/>
    <x v="2"/>
    <x v="2"/>
    <x v="3"/>
    <x v="426"/>
    <x v="288"/>
    <x v="0"/>
    <x v="2"/>
    <x v="3"/>
  </r>
  <r>
    <x v="889"/>
    <x v="194"/>
    <x v="5"/>
    <x v="0"/>
    <x v="11"/>
    <x v="251"/>
    <x v="7"/>
    <x v="306"/>
    <x v="1"/>
    <x v="0"/>
    <x v="0"/>
    <x v="3"/>
    <x v="2"/>
    <x v="1"/>
    <x v="11"/>
    <x v="3"/>
    <x v="1"/>
    <x v="50"/>
    <x v="226"/>
    <x v="0"/>
    <x v="2"/>
    <x v="2"/>
  </r>
  <r>
    <x v="890"/>
    <x v="116"/>
    <x v="7"/>
    <x v="0"/>
    <x v="6"/>
    <x v="109"/>
    <x v="7"/>
    <x v="882"/>
    <x v="0"/>
    <x v="4"/>
    <x v="0"/>
    <x v="3"/>
    <x v="2"/>
    <x v="1"/>
    <x v="2"/>
    <x v="10"/>
    <x v="3"/>
    <x v="275"/>
    <x v="121"/>
    <x v="0"/>
    <x v="3"/>
    <x v="2"/>
  </r>
  <r>
    <x v="891"/>
    <x v="140"/>
    <x v="8"/>
    <x v="1"/>
    <x v="4"/>
    <x v="46"/>
    <x v="0"/>
    <x v="844"/>
    <x v="6"/>
    <x v="4"/>
    <x v="1"/>
    <x v="0"/>
    <x v="1"/>
    <x v="1"/>
    <x v="6"/>
    <x v="6"/>
    <x v="3"/>
    <x v="186"/>
    <x v="65"/>
    <x v="1"/>
    <x v="3"/>
    <x v="1"/>
  </r>
  <r>
    <x v="892"/>
    <x v="114"/>
    <x v="9"/>
    <x v="0"/>
    <x v="12"/>
    <x v="318"/>
    <x v="11"/>
    <x v="894"/>
    <x v="8"/>
    <x v="0"/>
    <x v="0"/>
    <x v="1"/>
    <x v="2"/>
    <x v="1"/>
    <x v="2"/>
    <x v="5"/>
    <x v="1"/>
    <x v="77"/>
    <x v="280"/>
    <x v="0"/>
    <x v="2"/>
    <x v="3"/>
  </r>
  <r>
    <x v="893"/>
    <x v="50"/>
    <x v="4"/>
    <x v="1"/>
    <x v="39"/>
    <x v="833"/>
    <x v="32"/>
    <x v="761"/>
    <x v="5"/>
    <x v="3"/>
    <x v="0"/>
    <x v="1"/>
    <x v="3"/>
    <x v="3"/>
    <x v="4"/>
    <x v="7"/>
    <x v="0"/>
    <x v="0"/>
    <x v="723"/>
    <x v="0"/>
    <x v="0"/>
    <x v="0"/>
  </r>
  <r>
    <x v="894"/>
    <x v="156"/>
    <x v="0"/>
    <x v="0"/>
    <x v="4"/>
    <x v="26"/>
    <x v="2"/>
    <x v="332"/>
    <x v="6"/>
    <x v="2"/>
    <x v="0"/>
    <x v="2"/>
    <x v="1"/>
    <x v="1"/>
    <x v="3"/>
    <x v="0"/>
    <x v="2"/>
    <x v="64"/>
    <x v="31"/>
    <x v="0"/>
    <x v="3"/>
    <x v="1"/>
  </r>
  <r>
    <x v="895"/>
    <x v="44"/>
    <x v="3"/>
    <x v="0"/>
    <x v="28"/>
    <x v="498"/>
    <x v="19"/>
    <x v="621"/>
    <x v="8"/>
    <x v="4"/>
    <x v="0"/>
    <x v="1"/>
    <x v="0"/>
    <x v="3"/>
    <x v="4"/>
    <x v="2"/>
    <x v="3"/>
    <x v="630"/>
    <x v="518"/>
    <x v="0"/>
    <x v="1"/>
    <x v="0"/>
  </r>
  <r>
    <x v="896"/>
    <x v="127"/>
    <x v="3"/>
    <x v="1"/>
    <x v="20"/>
    <x v="462"/>
    <x v="17"/>
    <x v="445"/>
    <x v="3"/>
    <x v="2"/>
    <x v="0"/>
    <x v="1"/>
    <x v="0"/>
    <x v="2"/>
    <x v="7"/>
    <x v="9"/>
    <x v="2"/>
    <x v="404"/>
    <x v="466"/>
    <x v="0"/>
    <x v="1"/>
    <x v="0"/>
  </r>
  <r>
    <x v="897"/>
    <x v="147"/>
    <x v="6"/>
    <x v="0"/>
    <x v="21"/>
    <x v="535"/>
    <x v="20"/>
    <x v="69"/>
    <x v="2"/>
    <x v="4"/>
    <x v="0"/>
    <x v="1"/>
    <x v="0"/>
    <x v="2"/>
    <x v="10"/>
    <x v="1"/>
    <x v="3"/>
    <x v="663"/>
    <x v="555"/>
    <x v="0"/>
    <x v="1"/>
    <x v="0"/>
  </r>
  <r>
    <x v="898"/>
    <x v="59"/>
    <x v="7"/>
    <x v="0"/>
    <x v="23"/>
    <x v="517"/>
    <x v="21"/>
    <x v="112"/>
    <x v="0"/>
    <x v="2"/>
    <x v="0"/>
    <x v="1"/>
    <x v="0"/>
    <x v="2"/>
    <x v="2"/>
    <x v="7"/>
    <x v="2"/>
    <x v="436"/>
    <x v="511"/>
    <x v="0"/>
    <x v="1"/>
    <x v="0"/>
  </r>
  <r>
    <x v="899"/>
    <x v="108"/>
    <x v="4"/>
    <x v="1"/>
    <x v="39"/>
    <x v="918"/>
    <x v="33"/>
    <x v="144"/>
    <x v="0"/>
    <x v="2"/>
    <x v="0"/>
    <x v="1"/>
    <x v="3"/>
    <x v="3"/>
    <x v="5"/>
    <x v="8"/>
    <x v="2"/>
    <x v="658"/>
    <x v="905"/>
    <x v="0"/>
    <x v="0"/>
    <x v="0"/>
  </r>
  <r>
    <x v="900"/>
    <x v="98"/>
    <x v="5"/>
    <x v="0"/>
    <x v="5"/>
    <x v="282"/>
    <x v="7"/>
    <x v="266"/>
    <x v="4"/>
    <x v="4"/>
    <x v="0"/>
    <x v="3"/>
    <x v="2"/>
    <x v="1"/>
    <x v="4"/>
    <x v="0"/>
    <x v="3"/>
    <x v="437"/>
    <x v="303"/>
    <x v="0"/>
    <x v="2"/>
    <x v="2"/>
  </r>
  <r>
    <x v="901"/>
    <x v="185"/>
    <x v="5"/>
    <x v="0"/>
    <x v="31"/>
    <x v="884"/>
    <x v="30"/>
    <x v="344"/>
    <x v="2"/>
    <x v="1"/>
    <x v="0"/>
    <x v="1"/>
    <x v="3"/>
    <x v="3"/>
    <x v="3"/>
    <x v="6"/>
    <x v="4"/>
    <x v="894"/>
    <x v="945"/>
    <x v="0"/>
    <x v="0"/>
    <x v="0"/>
  </r>
  <r>
    <x v="902"/>
    <x v="46"/>
    <x v="2"/>
    <x v="0"/>
    <x v="36"/>
    <x v="691"/>
    <x v="28"/>
    <x v="351"/>
    <x v="1"/>
    <x v="1"/>
    <x v="0"/>
    <x v="1"/>
    <x v="3"/>
    <x v="3"/>
    <x v="9"/>
    <x v="10"/>
    <x v="4"/>
    <x v="865"/>
    <x v="795"/>
    <x v="0"/>
    <x v="0"/>
    <x v="0"/>
  </r>
  <r>
    <x v="903"/>
    <x v="102"/>
    <x v="5"/>
    <x v="1"/>
    <x v="16"/>
    <x v="551"/>
    <x v="18"/>
    <x v="374"/>
    <x v="1"/>
    <x v="0"/>
    <x v="0"/>
    <x v="1"/>
    <x v="0"/>
    <x v="2"/>
    <x v="1"/>
    <x v="8"/>
    <x v="1"/>
    <x v="169"/>
    <x v="515"/>
    <x v="0"/>
    <x v="1"/>
    <x v="0"/>
  </r>
  <r>
    <x v="904"/>
    <x v="166"/>
    <x v="2"/>
    <x v="1"/>
    <x v="34"/>
    <x v="777"/>
    <x v="28"/>
    <x v="58"/>
    <x v="0"/>
    <x v="2"/>
    <x v="0"/>
    <x v="1"/>
    <x v="3"/>
    <x v="3"/>
    <x v="8"/>
    <x v="10"/>
    <x v="2"/>
    <x v="590"/>
    <x v="782"/>
    <x v="0"/>
    <x v="0"/>
    <x v="0"/>
  </r>
  <r>
    <x v="905"/>
    <x v="170"/>
    <x v="6"/>
    <x v="0"/>
    <x v="6"/>
    <x v="42"/>
    <x v="0"/>
    <x v="564"/>
    <x v="6"/>
    <x v="2"/>
    <x v="0"/>
    <x v="0"/>
    <x v="1"/>
    <x v="1"/>
    <x v="11"/>
    <x v="0"/>
    <x v="2"/>
    <x v="79"/>
    <x v="41"/>
    <x v="0"/>
    <x v="3"/>
    <x v="1"/>
  </r>
  <r>
    <x v="906"/>
    <x v="55"/>
    <x v="2"/>
    <x v="0"/>
    <x v="7"/>
    <x v="167"/>
    <x v="7"/>
    <x v="246"/>
    <x v="3"/>
    <x v="2"/>
    <x v="0"/>
    <x v="3"/>
    <x v="2"/>
    <x v="1"/>
    <x v="1"/>
    <x v="4"/>
    <x v="2"/>
    <x v="173"/>
    <x v="163"/>
    <x v="0"/>
    <x v="3"/>
    <x v="2"/>
  </r>
  <r>
    <x v="907"/>
    <x v="79"/>
    <x v="7"/>
    <x v="1"/>
    <x v="16"/>
    <x v="474"/>
    <x v="15"/>
    <x v="239"/>
    <x v="6"/>
    <x v="1"/>
    <x v="0"/>
    <x v="1"/>
    <x v="0"/>
    <x v="2"/>
    <x v="2"/>
    <x v="1"/>
    <x v="4"/>
    <x v="747"/>
    <x v="525"/>
    <x v="0"/>
    <x v="1"/>
    <x v="0"/>
  </r>
  <r>
    <x v="908"/>
    <x v="126"/>
    <x v="7"/>
    <x v="1"/>
    <x v="25"/>
    <x v="410"/>
    <x v="16"/>
    <x v="815"/>
    <x v="4"/>
    <x v="0"/>
    <x v="0"/>
    <x v="1"/>
    <x v="0"/>
    <x v="3"/>
    <x v="9"/>
    <x v="3"/>
    <x v="1"/>
    <x v="111"/>
    <x v="381"/>
    <x v="0"/>
    <x v="1"/>
    <x v="0"/>
  </r>
  <r>
    <x v="909"/>
    <x v="133"/>
    <x v="5"/>
    <x v="1"/>
    <x v="13"/>
    <x v="217"/>
    <x v="11"/>
    <x v="610"/>
    <x v="7"/>
    <x v="2"/>
    <x v="0"/>
    <x v="1"/>
    <x v="2"/>
    <x v="1"/>
    <x v="2"/>
    <x v="8"/>
    <x v="2"/>
    <x v="210"/>
    <x v="222"/>
    <x v="0"/>
    <x v="2"/>
    <x v="3"/>
  </r>
  <r>
    <x v="910"/>
    <x v="107"/>
    <x v="1"/>
    <x v="1"/>
    <x v="17"/>
    <x v="392"/>
    <x v="14"/>
    <x v="841"/>
    <x v="5"/>
    <x v="2"/>
    <x v="0"/>
    <x v="1"/>
    <x v="0"/>
    <x v="2"/>
    <x v="4"/>
    <x v="5"/>
    <x v="2"/>
    <x v="354"/>
    <x v="390"/>
    <x v="0"/>
    <x v="1"/>
    <x v="3"/>
  </r>
  <r>
    <x v="911"/>
    <x v="160"/>
    <x v="8"/>
    <x v="0"/>
    <x v="23"/>
    <x v="659"/>
    <x v="23"/>
    <x v="160"/>
    <x v="1"/>
    <x v="2"/>
    <x v="0"/>
    <x v="1"/>
    <x v="3"/>
    <x v="2"/>
    <x v="2"/>
    <x v="3"/>
    <x v="2"/>
    <x v="526"/>
    <x v="657"/>
    <x v="0"/>
    <x v="0"/>
    <x v="0"/>
  </r>
  <r>
    <x v="912"/>
    <x v="70"/>
    <x v="4"/>
    <x v="1"/>
    <x v="16"/>
    <x v="490"/>
    <x v="18"/>
    <x v="779"/>
    <x v="8"/>
    <x v="0"/>
    <x v="0"/>
    <x v="1"/>
    <x v="0"/>
    <x v="2"/>
    <x v="3"/>
    <x v="1"/>
    <x v="1"/>
    <x v="138"/>
    <x v="468"/>
    <x v="0"/>
    <x v="1"/>
    <x v="0"/>
  </r>
  <r>
    <x v="913"/>
    <x v="3"/>
    <x v="4"/>
    <x v="0"/>
    <x v="28"/>
    <x v="768"/>
    <x v="27"/>
    <x v="310"/>
    <x v="5"/>
    <x v="1"/>
    <x v="0"/>
    <x v="1"/>
    <x v="3"/>
    <x v="3"/>
    <x v="9"/>
    <x v="4"/>
    <x v="4"/>
    <x v="881"/>
    <x v="864"/>
    <x v="0"/>
    <x v="0"/>
    <x v="0"/>
  </r>
  <r>
    <x v="914"/>
    <x v="137"/>
    <x v="8"/>
    <x v="1"/>
    <x v="0"/>
    <x v="0"/>
    <x v="1"/>
    <x v="712"/>
    <x v="3"/>
    <x v="1"/>
    <x v="0"/>
    <x v="0"/>
    <x v="1"/>
    <x v="0"/>
    <x v="0"/>
    <x v="2"/>
    <x v="4"/>
    <x v="191"/>
    <x v="19"/>
    <x v="0"/>
    <x v="3"/>
    <x v="1"/>
  </r>
  <r>
    <x v="915"/>
    <x v="82"/>
    <x v="2"/>
    <x v="0"/>
    <x v="12"/>
    <x v="175"/>
    <x v="6"/>
    <x v="799"/>
    <x v="2"/>
    <x v="4"/>
    <x v="0"/>
    <x v="3"/>
    <x v="2"/>
    <x v="1"/>
    <x v="1"/>
    <x v="9"/>
    <x v="3"/>
    <x v="355"/>
    <x v="186"/>
    <x v="0"/>
    <x v="3"/>
    <x v="2"/>
  </r>
  <r>
    <x v="916"/>
    <x v="188"/>
    <x v="3"/>
    <x v="1"/>
    <x v="30"/>
    <x v="794"/>
    <x v="30"/>
    <x v="34"/>
    <x v="8"/>
    <x v="2"/>
    <x v="0"/>
    <x v="1"/>
    <x v="3"/>
    <x v="3"/>
    <x v="1"/>
    <x v="0"/>
    <x v="2"/>
    <x v="605"/>
    <x v="798"/>
    <x v="0"/>
    <x v="0"/>
    <x v="0"/>
  </r>
  <r>
    <x v="917"/>
    <x v="0"/>
    <x v="3"/>
    <x v="1"/>
    <x v="36"/>
    <x v="867"/>
    <x v="34"/>
    <x v="636"/>
    <x v="5"/>
    <x v="0"/>
    <x v="0"/>
    <x v="1"/>
    <x v="3"/>
    <x v="3"/>
    <x v="11"/>
    <x v="6"/>
    <x v="1"/>
    <x v="309"/>
    <x v="815"/>
    <x v="0"/>
    <x v="0"/>
    <x v="0"/>
  </r>
  <r>
    <x v="918"/>
    <x v="108"/>
    <x v="1"/>
    <x v="1"/>
    <x v="24"/>
    <x v="654"/>
    <x v="24"/>
    <x v="196"/>
    <x v="8"/>
    <x v="4"/>
    <x v="0"/>
    <x v="1"/>
    <x v="3"/>
    <x v="3"/>
    <x v="6"/>
    <x v="6"/>
    <x v="3"/>
    <x v="737"/>
    <x v="689"/>
    <x v="0"/>
    <x v="0"/>
    <x v="0"/>
  </r>
  <r>
    <x v="919"/>
    <x v="18"/>
    <x v="3"/>
    <x v="1"/>
    <x v="13"/>
    <x v="397"/>
    <x v="14"/>
    <x v="162"/>
    <x v="1"/>
    <x v="1"/>
    <x v="0"/>
    <x v="1"/>
    <x v="0"/>
    <x v="1"/>
    <x v="8"/>
    <x v="4"/>
    <x v="4"/>
    <x v="688"/>
    <x v="442"/>
    <x v="0"/>
    <x v="1"/>
    <x v="3"/>
  </r>
  <r>
    <x v="920"/>
    <x v="173"/>
    <x v="6"/>
    <x v="0"/>
    <x v="33"/>
    <x v="730"/>
    <x v="27"/>
    <x v="725"/>
    <x v="8"/>
    <x v="2"/>
    <x v="0"/>
    <x v="1"/>
    <x v="3"/>
    <x v="3"/>
    <x v="4"/>
    <x v="4"/>
    <x v="2"/>
    <x v="565"/>
    <x v="730"/>
    <x v="0"/>
    <x v="0"/>
    <x v="0"/>
  </r>
  <r>
    <x v="921"/>
    <x v="156"/>
    <x v="2"/>
    <x v="1"/>
    <x v="22"/>
    <x v="481"/>
    <x v="17"/>
    <x v="397"/>
    <x v="2"/>
    <x v="0"/>
    <x v="0"/>
    <x v="1"/>
    <x v="0"/>
    <x v="2"/>
    <x v="5"/>
    <x v="2"/>
    <x v="1"/>
    <x v="133"/>
    <x v="453"/>
    <x v="0"/>
    <x v="1"/>
    <x v="0"/>
  </r>
  <r>
    <x v="922"/>
    <x v="145"/>
    <x v="2"/>
    <x v="1"/>
    <x v="13"/>
    <x v="303"/>
    <x v="9"/>
    <x v="706"/>
    <x v="2"/>
    <x v="0"/>
    <x v="1"/>
    <x v="3"/>
    <x v="2"/>
    <x v="1"/>
    <x v="10"/>
    <x v="11"/>
    <x v="1"/>
    <x v="72"/>
    <x v="268"/>
    <x v="1"/>
    <x v="2"/>
    <x v="3"/>
  </r>
  <r>
    <x v="923"/>
    <x v="143"/>
    <x v="7"/>
    <x v="1"/>
    <x v="8"/>
    <x v="248"/>
    <x v="8"/>
    <x v="829"/>
    <x v="9"/>
    <x v="4"/>
    <x v="0"/>
    <x v="3"/>
    <x v="2"/>
    <x v="1"/>
    <x v="7"/>
    <x v="9"/>
    <x v="3"/>
    <x v="413"/>
    <x v="269"/>
    <x v="0"/>
    <x v="2"/>
    <x v="3"/>
  </r>
  <r>
    <x v="924"/>
    <x v="180"/>
    <x v="0"/>
    <x v="1"/>
    <x v="28"/>
    <x v="700"/>
    <x v="24"/>
    <x v="690"/>
    <x v="0"/>
    <x v="2"/>
    <x v="0"/>
    <x v="1"/>
    <x v="3"/>
    <x v="3"/>
    <x v="11"/>
    <x v="3"/>
    <x v="2"/>
    <x v="551"/>
    <x v="702"/>
    <x v="0"/>
    <x v="0"/>
    <x v="0"/>
  </r>
  <r>
    <x v="925"/>
    <x v="0"/>
    <x v="3"/>
    <x v="0"/>
    <x v="32"/>
    <x v="775"/>
    <x v="26"/>
    <x v="40"/>
    <x v="6"/>
    <x v="2"/>
    <x v="0"/>
    <x v="1"/>
    <x v="3"/>
    <x v="3"/>
    <x v="4"/>
    <x v="2"/>
    <x v="2"/>
    <x v="589"/>
    <x v="781"/>
    <x v="0"/>
    <x v="0"/>
    <x v="0"/>
  </r>
  <r>
    <x v="926"/>
    <x v="55"/>
    <x v="1"/>
    <x v="1"/>
    <x v="30"/>
    <x v="757"/>
    <x v="30"/>
    <x v="80"/>
    <x v="6"/>
    <x v="0"/>
    <x v="0"/>
    <x v="1"/>
    <x v="3"/>
    <x v="3"/>
    <x v="1"/>
    <x v="8"/>
    <x v="1"/>
    <x v="257"/>
    <x v="696"/>
    <x v="0"/>
    <x v="0"/>
    <x v="0"/>
  </r>
  <r>
    <x v="927"/>
    <x v="54"/>
    <x v="3"/>
    <x v="0"/>
    <x v="27"/>
    <x v="670"/>
    <x v="26"/>
    <x v="401"/>
    <x v="2"/>
    <x v="1"/>
    <x v="0"/>
    <x v="1"/>
    <x v="3"/>
    <x v="3"/>
    <x v="5"/>
    <x v="4"/>
    <x v="4"/>
    <x v="860"/>
    <x v="757"/>
    <x v="0"/>
    <x v="0"/>
    <x v="0"/>
  </r>
  <r>
    <x v="928"/>
    <x v="166"/>
    <x v="2"/>
    <x v="0"/>
    <x v="12"/>
    <x v="32"/>
    <x v="3"/>
    <x v="778"/>
    <x v="1"/>
    <x v="2"/>
    <x v="0"/>
    <x v="2"/>
    <x v="1"/>
    <x v="1"/>
    <x v="1"/>
    <x v="1"/>
    <x v="2"/>
    <x v="69"/>
    <x v="34"/>
    <x v="0"/>
    <x v="3"/>
    <x v="2"/>
  </r>
  <r>
    <x v="929"/>
    <x v="57"/>
    <x v="1"/>
    <x v="1"/>
    <x v="6"/>
    <x v="70"/>
    <x v="5"/>
    <x v="354"/>
    <x v="6"/>
    <x v="2"/>
    <x v="0"/>
    <x v="3"/>
    <x v="1"/>
    <x v="1"/>
    <x v="0"/>
    <x v="0"/>
    <x v="2"/>
    <x v="106"/>
    <x v="78"/>
    <x v="0"/>
    <x v="3"/>
    <x v="2"/>
  </r>
  <r>
    <x v="930"/>
    <x v="5"/>
    <x v="4"/>
    <x v="1"/>
    <x v="24"/>
    <x v="540"/>
    <x v="19"/>
    <x v="758"/>
    <x v="3"/>
    <x v="2"/>
    <x v="0"/>
    <x v="1"/>
    <x v="0"/>
    <x v="3"/>
    <x v="7"/>
    <x v="5"/>
    <x v="2"/>
    <x v="452"/>
    <x v="533"/>
    <x v="0"/>
    <x v="1"/>
    <x v="0"/>
  </r>
  <r>
    <x v="931"/>
    <x v="142"/>
    <x v="5"/>
    <x v="0"/>
    <x v="9"/>
    <x v="20"/>
    <x v="2"/>
    <x v="422"/>
    <x v="0"/>
    <x v="4"/>
    <x v="0"/>
    <x v="2"/>
    <x v="1"/>
    <x v="1"/>
    <x v="11"/>
    <x v="0"/>
    <x v="3"/>
    <x v="151"/>
    <x v="36"/>
    <x v="0"/>
    <x v="3"/>
    <x v="1"/>
  </r>
  <r>
    <x v="932"/>
    <x v="151"/>
    <x v="0"/>
    <x v="1"/>
    <x v="34"/>
    <x v="850"/>
    <x v="32"/>
    <x v="49"/>
    <x v="9"/>
    <x v="3"/>
    <x v="0"/>
    <x v="1"/>
    <x v="3"/>
    <x v="3"/>
    <x v="9"/>
    <x v="5"/>
    <x v="0"/>
    <x v="0"/>
    <x v="740"/>
    <x v="0"/>
    <x v="0"/>
    <x v="0"/>
  </r>
  <r>
    <x v="933"/>
    <x v="183"/>
    <x v="4"/>
    <x v="0"/>
    <x v="32"/>
    <x v="600"/>
    <x v="25"/>
    <x v="853"/>
    <x v="7"/>
    <x v="4"/>
    <x v="0"/>
    <x v="1"/>
    <x v="0"/>
    <x v="3"/>
    <x v="4"/>
    <x v="9"/>
    <x v="3"/>
    <x v="710"/>
    <x v="630"/>
    <x v="0"/>
    <x v="1"/>
    <x v="0"/>
  </r>
  <r>
    <x v="934"/>
    <x v="140"/>
    <x v="6"/>
    <x v="1"/>
    <x v="28"/>
    <x v="560"/>
    <x v="20"/>
    <x v="404"/>
    <x v="8"/>
    <x v="4"/>
    <x v="0"/>
    <x v="1"/>
    <x v="0"/>
    <x v="3"/>
    <x v="8"/>
    <x v="5"/>
    <x v="3"/>
    <x v="683"/>
    <x v="593"/>
    <x v="0"/>
    <x v="1"/>
    <x v="0"/>
  </r>
  <r>
    <x v="935"/>
    <x v="188"/>
    <x v="4"/>
    <x v="1"/>
    <x v="7"/>
    <x v="189"/>
    <x v="4"/>
    <x v="314"/>
    <x v="0"/>
    <x v="1"/>
    <x v="0"/>
    <x v="2"/>
    <x v="2"/>
    <x v="1"/>
    <x v="7"/>
    <x v="5"/>
    <x v="4"/>
    <x v="494"/>
    <x v="237"/>
    <x v="0"/>
    <x v="3"/>
    <x v="2"/>
  </r>
  <r>
    <x v="936"/>
    <x v="138"/>
    <x v="8"/>
    <x v="1"/>
    <x v="2"/>
    <x v="0"/>
    <x v="0"/>
    <x v="313"/>
    <x v="0"/>
    <x v="2"/>
    <x v="1"/>
    <x v="0"/>
    <x v="1"/>
    <x v="0"/>
    <x v="4"/>
    <x v="5"/>
    <x v="2"/>
    <x v="29"/>
    <x v="5"/>
    <x v="1"/>
    <x v="3"/>
    <x v="1"/>
  </r>
  <r>
    <x v="937"/>
    <x v="15"/>
    <x v="0"/>
    <x v="1"/>
    <x v="28"/>
    <x v="734"/>
    <x v="30"/>
    <x v="600"/>
    <x v="2"/>
    <x v="1"/>
    <x v="0"/>
    <x v="1"/>
    <x v="3"/>
    <x v="3"/>
    <x v="7"/>
    <x v="4"/>
    <x v="4"/>
    <x v="875"/>
    <x v="829"/>
    <x v="0"/>
    <x v="0"/>
    <x v="0"/>
  </r>
  <r>
    <x v="938"/>
    <x v="141"/>
    <x v="4"/>
    <x v="1"/>
    <x v="34"/>
    <x v="680"/>
    <x v="25"/>
    <x v="800"/>
    <x v="3"/>
    <x v="2"/>
    <x v="1"/>
    <x v="1"/>
    <x v="3"/>
    <x v="3"/>
    <x v="2"/>
    <x v="9"/>
    <x v="2"/>
    <x v="538"/>
    <x v="674"/>
    <x v="1"/>
    <x v="0"/>
    <x v="0"/>
  </r>
  <r>
    <x v="939"/>
    <x v="38"/>
    <x v="4"/>
    <x v="1"/>
    <x v="29"/>
    <x v="712"/>
    <x v="24"/>
    <x v="84"/>
    <x v="9"/>
    <x v="4"/>
    <x v="0"/>
    <x v="1"/>
    <x v="3"/>
    <x v="3"/>
    <x v="0"/>
    <x v="9"/>
    <x v="3"/>
    <x v="759"/>
    <x v="765"/>
    <x v="0"/>
    <x v="0"/>
    <x v="0"/>
  </r>
  <r>
    <x v="940"/>
    <x v="49"/>
    <x v="1"/>
    <x v="1"/>
    <x v="18"/>
    <x v="206"/>
    <x v="9"/>
    <x v="37"/>
    <x v="2"/>
    <x v="2"/>
    <x v="0"/>
    <x v="3"/>
    <x v="2"/>
    <x v="2"/>
    <x v="11"/>
    <x v="0"/>
    <x v="2"/>
    <x v="205"/>
    <x v="205"/>
    <x v="0"/>
    <x v="2"/>
    <x v="3"/>
  </r>
  <r>
    <x v="941"/>
    <x v="100"/>
    <x v="9"/>
    <x v="1"/>
    <x v="21"/>
    <x v="524"/>
    <x v="18"/>
    <x v="700"/>
    <x v="1"/>
    <x v="0"/>
    <x v="0"/>
    <x v="1"/>
    <x v="0"/>
    <x v="2"/>
    <x v="0"/>
    <x v="9"/>
    <x v="1"/>
    <x v="155"/>
    <x v="492"/>
    <x v="0"/>
    <x v="1"/>
    <x v="0"/>
  </r>
  <r>
    <x v="942"/>
    <x v="152"/>
    <x v="4"/>
    <x v="0"/>
    <x v="30"/>
    <x v="759"/>
    <x v="31"/>
    <x v="408"/>
    <x v="2"/>
    <x v="0"/>
    <x v="0"/>
    <x v="1"/>
    <x v="3"/>
    <x v="3"/>
    <x v="3"/>
    <x v="7"/>
    <x v="1"/>
    <x v="258"/>
    <x v="697"/>
    <x v="0"/>
    <x v="0"/>
    <x v="0"/>
  </r>
  <r>
    <x v="943"/>
    <x v="158"/>
    <x v="2"/>
    <x v="0"/>
    <x v="12"/>
    <x v="236"/>
    <x v="10"/>
    <x v="341"/>
    <x v="4"/>
    <x v="4"/>
    <x v="0"/>
    <x v="1"/>
    <x v="2"/>
    <x v="1"/>
    <x v="1"/>
    <x v="5"/>
    <x v="3"/>
    <x v="408"/>
    <x v="259"/>
    <x v="0"/>
    <x v="2"/>
    <x v="3"/>
  </r>
  <r>
    <x v="944"/>
    <x v="66"/>
    <x v="7"/>
    <x v="0"/>
    <x v="32"/>
    <x v="855"/>
    <x v="30"/>
    <x v="689"/>
    <x v="5"/>
    <x v="3"/>
    <x v="0"/>
    <x v="1"/>
    <x v="3"/>
    <x v="3"/>
    <x v="3"/>
    <x v="3"/>
    <x v="0"/>
    <x v="0"/>
    <x v="747"/>
    <x v="0"/>
    <x v="0"/>
    <x v="0"/>
  </r>
  <r>
    <x v="945"/>
    <x v="199"/>
    <x v="4"/>
    <x v="0"/>
    <x v="33"/>
    <x v="649"/>
    <x v="26"/>
    <x v="590"/>
    <x v="6"/>
    <x v="4"/>
    <x v="0"/>
    <x v="1"/>
    <x v="3"/>
    <x v="3"/>
    <x v="9"/>
    <x v="9"/>
    <x v="3"/>
    <x v="733"/>
    <x v="679"/>
    <x v="0"/>
    <x v="0"/>
    <x v="0"/>
  </r>
  <r>
    <x v="946"/>
    <x v="186"/>
    <x v="2"/>
    <x v="1"/>
    <x v="30"/>
    <x v="676"/>
    <x v="28"/>
    <x v="331"/>
    <x v="4"/>
    <x v="2"/>
    <x v="0"/>
    <x v="1"/>
    <x v="3"/>
    <x v="3"/>
    <x v="1"/>
    <x v="0"/>
    <x v="2"/>
    <x v="534"/>
    <x v="668"/>
    <x v="0"/>
    <x v="0"/>
    <x v="0"/>
  </r>
  <r>
    <x v="947"/>
    <x v="38"/>
    <x v="7"/>
    <x v="0"/>
    <x v="24"/>
    <x v="706"/>
    <x v="24"/>
    <x v="428"/>
    <x v="7"/>
    <x v="0"/>
    <x v="0"/>
    <x v="1"/>
    <x v="3"/>
    <x v="3"/>
    <x v="8"/>
    <x v="2"/>
    <x v="1"/>
    <x v="235"/>
    <x v="663"/>
    <x v="0"/>
    <x v="0"/>
    <x v="0"/>
  </r>
  <r>
    <x v="948"/>
    <x v="104"/>
    <x v="9"/>
    <x v="0"/>
    <x v="39"/>
    <x v="869"/>
    <x v="34"/>
    <x v="101"/>
    <x v="2"/>
    <x v="4"/>
    <x v="1"/>
    <x v="1"/>
    <x v="3"/>
    <x v="3"/>
    <x v="1"/>
    <x v="2"/>
    <x v="3"/>
    <x v="819"/>
    <x v="909"/>
    <x v="1"/>
    <x v="0"/>
    <x v="0"/>
  </r>
  <r>
    <x v="949"/>
    <x v="95"/>
    <x v="1"/>
    <x v="1"/>
    <x v="7"/>
    <x v="117"/>
    <x v="4"/>
    <x v="803"/>
    <x v="6"/>
    <x v="4"/>
    <x v="0"/>
    <x v="2"/>
    <x v="2"/>
    <x v="1"/>
    <x v="10"/>
    <x v="9"/>
    <x v="3"/>
    <x v="287"/>
    <x v="129"/>
    <x v="0"/>
    <x v="3"/>
    <x v="2"/>
  </r>
  <r>
    <x v="950"/>
    <x v="74"/>
    <x v="3"/>
    <x v="0"/>
    <x v="14"/>
    <x v="196"/>
    <x v="9"/>
    <x v="447"/>
    <x v="5"/>
    <x v="4"/>
    <x v="1"/>
    <x v="3"/>
    <x v="2"/>
    <x v="2"/>
    <x v="4"/>
    <x v="10"/>
    <x v="3"/>
    <x v="382"/>
    <x v="224"/>
    <x v="1"/>
    <x v="2"/>
    <x v="3"/>
  </r>
  <r>
    <x v="951"/>
    <x v="145"/>
    <x v="6"/>
    <x v="1"/>
    <x v="31"/>
    <x v="737"/>
    <x v="30"/>
    <x v="862"/>
    <x v="8"/>
    <x v="0"/>
    <x v="0"/>
    <x v="1"/>
    <x v="3"/>
    <x v="3"/>
    <x v="4"/>
    <x v="11"/>
    <x v="1"/>
    <x v="249"/>
    <x v="685"/>
    <x v="0"/>
    <x v="0"/>
    <x v="0"/>
  </r>
  <r>
    <x v="952"/>
    <x v="34"/>
    <x v="5"/>
    <x v="1"/>
    <x v="8"/>
    <x v="242"/>
    <x v="9"/>
    <x v="12"/>
    <x v="4"/>
    <x v="1"/>
    <x v="0"/>
    <x v="3"/>
    <x v="2"/>
    <x v="1"/>
    <x v="9"/>
    <x v="3"/>
    <x v="4"/>
    <x v="543"/>
    <x v="292"/>
    <x v="0"/>
    <x v="2"/>
    <x v="3"/>
  </r>
  <r>
    <x v="953"/>
    <x v="160"/>
    <x v="7"/>
    <x v="0"/>
    <x v="9"/>
    <x v="249"/>
    <x v="11"/>
    <x v="297"/>
    <x v="7"/>
    <x v="4"/>
    <x v="0"/>
    <x v="1"/>
    <x v="2"/>
    <x v="1"/>
    <x v="9"/>
    <x v="1"/>
    <x v="3"/>
    <x v="414"/>
    <x v="270"/>
    <x v="0"/>
    <x v="2"/>
    <x v="3"/>
  </r>
  <r>
    <x v="954"/>
    <x v="106"/>
    <x v="5"/>
    <x v="1"/>
    <x v="36"/>
    <x v="767"/>
    <x v="30"/>
    <x v="532"/>
    <x v="8"/>
    <x v="4"/>
    <x v="0"/>
    <x v="1"/>
    <x v="3"/>
    <x v="3"/>
    <x v="9"/>
    <x v="10"/>
    <x v="3"/>
    <x v="781"/>
    <x v="818"/>
    <x v="0"/>
    <x v="0"/>
    <x v="0"/>
  </r>
  <r>
    <x v="955"/>
    <x v="52"/>
    <x v="7"/>
    <x v="1"/>
    <x v="12"/>
    <x v="260"/>
    <x v="9"/>
    <x v="772"/>
    <x v="5"/>
    <x v="4"/>
    <x v="0"/>
    <x v="3"/>
    <x v="2"/>
    <x v="1"/>
    <x v="0"/>
    <x v="0"/>
    <x v="3"/>
    <x v="421"/>
    <x v="281"/>
    <x v="0"/>
    <x v="2"/>
    <x v="3"/>
  </r>
  <r>
    <x v="956"/>
    <x v="33"/>
    <x v="4"/>
    <x v="1"/>
    <x v="22"/>
    <x v="369"/>
    <x v="16"/>
    <x v="191"/>
    <x v="9"/>
    <x v="3"/>
    <x v="0"/>
    <x v="1"/>
    <x v="2"/>
    <x v="2"/>
    <x v="10"/>
    <x v="3"/>
    <x v="0"/>
    <x v="0"/>
    <x v="309"/>
    <x v="0"/>
    <x v="2"/>
    <x v="0"/>
  </r>
  <r>
    <x v="957"/>
    <x v="20"/>
    <x v="8"/>
    <x v="1"/>
    <x v="16"/>
    <x v="414"/>
    <x v="12"/>
    <x v="649"/>
    <x v="2"/>
    <x v="2"/>
    <x v="0"/>
    <x v="1"/>
    <x v="0"/>
    <x v="2"/>
    <x v="3"/>
    <x v="11"/>
    <x v="2"/>
    <x v="372"/>
    <x v="408"/>
    <x v="0"/>
    <x v="1"/>
    <x v="3"/>
  </r>
  <r>
    <x v="958"/>
    <x v="62"/>
    <x v="0"/>
    <x v="0"/>
    <x v="21"/>
    <x v="616"/>
    <x v="23"/>
    <x v="557"/>
    <x v="2"/>
    <x v="2"/>
    <x v="0"/>
    <x v="1"/>
    <x v="3"/>
    <x v="2"/>
    <x v="6"/>
    <x v="9"/>
    <x v="2"/>
    <x v="503"/>
    <x v="610"/>
    <x v="0"/>
    <x v="0"/>
    <x v="0"/>
  </r>
  <r>
    <x v="959"/>
    <x v="149"/>
    <x v="2"/>
    <x v="1"/>
    <x v="28"/>
    <x v="625"/>
    <x v="22"/>
    <x v="403"/>
    <x v="6"/>
    <x v="1"/>
    <x v="0"/>
    <x v="1"/>
    <x v="3"/>
    <x v="3"/>
    <x v="7"/>
    <x v="5"/>
    <x v="4"/>
    <x v="837"/>
    <x v="691"/>
    <x v="0"/>
    <x v="0"/>
    <x v="0"/>
  </r>
  <r>
    <x v="960"/>
    <x v="98"/>
    <x v="4"/>
    <x v="1"/>
    <x v="31"/>
    <x v="710"/>
    <x v="27"/>
    <x v="675"/>
    <x v="3"/>
    <x v="2"/>
    <x v="0"/>
    <x v="1"/>
    <x v="3"/>
    <x v="3"/>
    <x v="9"/>
    <x v="10"/>
    <x v="2"/>
    <x v="557"/>
    <x v="712"/>
    <x v="0"/>
    <x v="0"/>
    <x v="0"/>
  </r>
  <r>
    <x v="961"/>
    <x v="125"/>
    <x v="0"/>
    <x v="1"/>
    <x v="25"/>
    <x v="754"/>
    <x v="26"/>
    <x v="794"/>
    <x v="9"/>
    <x v="2"/>
    <x v="0"/>
    <x v="1"/>
    <x v="3"/>
    <x v="3"/>
    <x v="2"/>
    <x v="7"/>
    <x v="2"/>
    <x v="578"/>
    <x v="755"/>
    <x v="0"/>
    <x v="0"/>
    <x v="0"/>
  </r>
  <r>
    <x v="962"/>
    <x v="99"/>
    <x v="1"/>
    <x v="0"/>
    <x v="35"/>
    <x v="808"/>
    <x v="29"/>
    <x v="756"/>
    <x v="5"/>
    <x v="4"/>
    <x v="0"/>
    <x v="1"/>
    <x v="3"/>
    <x v="3"/>
    <x v="2"/>
    <x v="5"/>
    <x v="3"/>
    <x v="795"/>
    <x v="856"/>
    <x v="0"/>
    <x v="0"/>
    <x v="0"/>
  </r>
  <r>
    <x v="963"/>
    <x v="135"/>
    <x v="0"/>
    <x v="1"/>
    <x v="3"/>
    <x v="0"/>
    <x v="0"/>
    <x v="588"/>
    <x v="3"/>
    <x v="4"/>
    <x v="0"/>
    <x v="0"/>
    <x v="1"/>
    <x v="0"/>
    <x v="11"/>
    <x v="8"/>
    <x v="3"/>
    <x v="114"/>
    <x v="14"/>
    <x v="0"/>
    <x v="3"/>
    <x v="1"/>
  </r>
  <r>
    <x v="964"/>
    <x v="43"/>
    <x v="7"/>
    <x v="0"/>
    <x v="24"/>
    <x v="620"/>
    <x v="26"/>
    <x v="95"/>
    <x v="1"/>
    <x v="4"/>
    <x v="0"/>
    <x v="1"/>
    <x v="3"/>
    <x v="3"/>
    <x v="0"/>
    <x v="1"/>
    <x v="3"/>
    <x v="720"/>
    <x v="650"/>
    <x v="0"/>
    <x v="0"/>
    <x v="0"/>
  </r>
  <r>
    <x v="965"/>
    <x v="123"/>
    <x v="0"/>
    <x v="1"/>
    <x v="28"/>
    <x v="801"/>
    <x v="27"/>
    <x v="350"/>
    <x v="5"/>
    <x v="4"/>
    <x v="0"/>
    <x v="1"/>
    <x v="3"/>
    <x v="3"/>
    <x v="8"/>
    <x v="10"/>
    <x v="3"/>
    <x v="793"/>
    <x v="852"/>
    <x v="0"/>
    <x v="0"/>
    <x v="0"/>
  </r>
  <r>
    <x v="966"/>
    <x v="51"/>
    <x v="4"/>
    <x v="0"/>
    <x v="15"/>
    <x v="327"/>
    <x v="11"/>
    <x v="602"/>
    <x v="4"/>
    <x v="2"/>
    <x v="1"/>
    <x v="1"/>
    <x v="2"/>
    <x v="2"/>
    <x v="3"/>
    <x v="5"/>
    <x v="2"/>
    <x v="297"/>
    <x v="317"/>
    <x v="1"/>
    <x v="2"/>
    <x v="3"/>
  </r>
  <r>
    <x v="967"/>
    <x v="3"/>
    <x v="2"/>
    <x v="1"/>
    <x v="35"/>
    <x v="953"/>
    <x v="35"/>
    <x v="821"/>
    <x v="0"/>
    <x v="1"/>
    <x v="1"/>
    <x v="1"/>
    <x v="3"/>
    <x v="3"/>
    <x v="4"/>
    <x v="5"/>
    <x v="4"/>
    <x v="906"/>
    <x v="975"/>
    <x v="1"/>
    <x v="0"/>
    <x v="0"/>
  </r>
  <r>
    <x v="968"/>
    <x v="39"/>
    <x v="2"/>
    <x v="1"/>
    <x v="33"/>
    <x v="971"/>
    <x v="34"/>
    <x v="870"/>
    <x v="9"/>
    <x v="1"/>
    <x v="0"/>
    <x v="1"/>
    <x v="3"/>
    <x v="3"/>
    <x v="8"/>
    <x v="5"/>
    <x v="4"/>
    <x v="910"/>
    <x v="979"/>
    <x v="0"/>
    <x v="0"/>
    <x v="0"/>
  </r>
  <r>
    <x v="969"/>
    <x v="105"/>
    <x v="3"/>
    <x v="0"/>
    <x v="20"/>
    <x v="574"/>
    <x v="19"/>
    <x v="47"/>
    <x v="8"/>
    <x v="2"/>
    <x v="0"/>
    <x v="1"/>
    <x v="0"/>
    <x v="2"/>
    <x v="5"/>
    <x v="5"/>
    <x v="2"/>
    <x v="475"/>
    <x v="563"/>
    <x v="0"/>
    <x v="1"/>
    <x v="0"/>
  </r>
  <r>
    <x v="970"/>
    <x v="98"/>
    <x v="2"/>
    <x v="0"/>
    <x v="17"/>
    <x v="165"/>
    <x v="9"/>
    <x v="773"/>
    <x v="4"/>
    <x v="1"/>
    <x v="0"/>
    <x v="3"/>
    <x v="2"/>
    <x v="2"/>
    <x v="2"/>
    <x v="0"/>
    <x v="4"/>
    <x v="464"/>
    <x v="200"/>
    <x v="0"/>
    <x v="3"/>
    <x v="3"/>
  </r>
  <r>
    <x v="971"/>
    <x v="24"/>
    <x v="4"/>
    <x v="0"/>
    <x v="10"/>
    <x v="241"/>
    <x v="11"/>
    <x v="893"/>
    <x v="3"/>
    <x v="0"/>
    <x v="0"/>
    <x v="1"/>
    <x v="2"/>
    <x v="1"/>
    <x v="11"/>
    <x v="4"/>
    <x v="1"/>
    <x v="47"/>
    <x v="217"/>
    <x v="0"/>
    <x v="2"/>
    <x v="3"/>
  </r>
  <r>
    <x v="972"/>
    <x v="192"/>
    <x v="2"/>
    <x v="1"/>
    <x v="25"/>
    <x v="751"/>
    <x v="26"/>
    <x v="498"/>
    <x v="4"/>
    <x v="4"/>
    <x v="0"/>
    <x v="1"/>
    <x v="3"/>
    <x v="3"/>
    <x v="1"/>
    <x v="11"/>
    <x v="3"/>
    <x v="775"/>
    <x v="801"/>
    <x v="0"/>
    <x v="0"/>
    <x v="0"/>
  </r>
  <r>
    <x v="973"/>
    <x v="12"/>
    <x v="8"/>
    <x v="1"/>
    <x v="0"/>
    <x v="72"/>
    <x v="0"/>
    <x v="449"/>
    <x v="1"/>
    <x v="1"/>
    <x v="0"/>
    <x v="0"/>
    <x v="1"/>
    <x v="0"/>
    <x v="0"/>
    <x v="11"/>
    <x v="4"/>
    <x v="356"/>
    <x v="94"/>
    <x v="0"/>
    <x v="3"/>
    <x v="1"/>
  </r>
  <r>
    <x v="974"/>
    <x v="1"/>
    <x v="5"/>
    <x v="1"/>
    <x v="39"/>
    <x v="892"/>
    <x v="33"/>
    <x v="676"/>
    <x v="9"/>
    <x v="4"/>
    <x v="1"/>
    <x v="1"/>
    <x v="3"/>
    <x v="3"/>
    <x v="2"/>
    <x v="11"/>
    <x v="3"/>
    <x v="824"/>
    <x v="919"/>
    <x v="1"/>
    <x v="0"/>
    <x v="0"/>
  </r>
  <r>
    <x v="975"/>
    <x v="55"/>
    <x v="6"/>
    <x v="0"/>
    <x v="22"/>
    <x v="591"/>
    <x v="23"/>
    <x v="866"/>
    <x v="9"/>
    <x v="4"/>
    <x v="0"/>
    <x v="1"/>
    <x v="0"/>
    <x v="2"/>
    <x v="0"/>
    <x v="1"/>
    <x v="3"/>
    <x v="705"/>
    <x v="622"/>
    <x v="0"/>
    <x v="1"/>
    <x v="0"/>
  </r>
  <r>
    <x v="976"/>
    <x v="141"/>
    <x v="0"/>
    <x v="1"/>
    <x v="8"/>
    <x v="205"/>
    <x v="5"/>
    <x v="211"/>
    <x v="4"/>
    <x v="2"/>
    <x v="0"/>
    <x v="3"/>
    <x v="2"/>
    <x v="1"/>
    <x v="6"/>
    <x v="1"/>
    <x v="2"/>
    <x v="204"/>
    <x v="204"/>
    <x v="0"/>
    <x v="2"/>
    <x v="2"/>
  </r>
  <r>
    <x v="977"/>
    <x v="85"/>
    <x v="2"/>
    <x v="1"/>
    <x v="12"/>
    <x v="317"/>
    <x v="11"/>
    <x v="704"/>
    <x v="7"/>
    <x v="1"/>
    <x v="0"/>
    <x v="1"/>
    <x v="2"/>
    <x v="1"/>
    <x v="8"/>
    <x v="10"/>
    <x v="4"/>
    <x v="612"/>
    <x v="357"/>
    <x v="0"/>
    <x v="2"/>
    <x v="3"/>
  </r>
  <r>
    <x v="978"/>
    <x v="74"/>
    <x v="0"/>
    <x v="1"/>
    <x v="32"/>
    <x v="763"/>
    <x v="27"/>
    <x v="73"/>
    <x v="0"/>
    <x v="0"/>
    <x v="0"/>
    <x v="1"/>
    <x v="3"/>
    <x v="3"/>
    <x v="6"/>
    <x v="3"/>
    <x v="1"/>
    <x v="260"/>
    <x v="705"/>
    <x v="0"/>
    <x v="0"/>
    <x v="0"/>
  </r>
  <r>
    <x v="979"/>
    <x v="45"/>
    <x v="8"/>
    <x v="0"/>
    <x v="25"/>
    <x v="531"/>
    <x v="22"/>
    <x v="840"/>
    <x v="4"/>
    <x v="4"/>
    <x v="1"/>
    <x v="1"/>
    <x v="0"/>
    <x v="3"/>
    <x v="10"/>
    <x v="4"/>
    <x v="3"/>
    <x v="657"/>
    <x v="549"/>
    <x v="1"/>
    <x v="1"/>
    <x v="0"/>
  </r>
  <r>
    <x v="980"/>
    <x v="147"/>
    <x v="7"/>
    <x v="1"/>
    <x v="36"/>
    <x v="925"/>
    <x v="33"/>
    <x v="90"/>
    <x v="8"/>
    <x v="1"/>
    <x v="0"/>
    <x v="1"/>
    <x v="3"/>
    <x v="3"/>
    <x v="0"/>
    <x v="11"/>
    <x v="4"/>
    <x v="901"/>
    <x v="967"/>
    <x v="0"/>
    <x v="0"/>
    <x v="0"/>
  </r>
  <r>
    <x v="981"/>
    <x v="9"/>
    <x v="3"/>
    <x v="0"/>
    <x v="21"/>
    <x v="395"/>
    <x v="13"/>
    <x v="176"/>
    <x v="9"/>
    <x v="1"/>
    <x v="0"/>
    <x v="1"/>
    <x v="0"/>
    <x v="2"/>
    <x v="8"/>
    <x v="8"/>
    <x v="4"/>
    <x v="684"/>
    <x v="438"/>
    <x v="0"/>
    <x v="1"/>
    <x v="3"/>
  </r>
  <r>
    <x v="982"/>
    <x v="70"/>
    <x v="5"/>
    <x v="1"/>
    <x v="36"/>
    <x v="787"/>
    <x v="29"/>
    <x v="585"/>
    <x v="8"/>
    <x v="2"/>
    <x v="0"/>
    <x v="1"/>
    <x v="3"/>
    <x v="3"/>
    <x v="5"/>
    <x v="7"/>
    <x v="2"/>
    <x v="600"/>
    <x v="792"/>
    <x v="0"/>
    <x v="0"/>
    <x v="0"/>
  </r>
  <r>
    <x v="983"/>
    <x v="149"/>
    <x v="7"/>
    <x v="1"/>
    <x v="37"/>
    <x v="975"/>
    <x v="35"/>
    <x v="125"/>
    <x v="9"/>
    <x v="2"/>
    <x v="0"/>
    <x v="1"/>
    <x v="3"/>
    <x v="3"/>
    <x v="1"/>
    <x v="11"/>
    <x v="2"/>
    <x v="712"/>
    <x v="968"/>
    <x v="0"/>
    <x v="0"/>
    <x v="0"/>
  </r>
  <r>
    <x v="984"/>
    <x v="92"/>
    <x v="2"/>
    <x v="0"/>
    <x v="8"/>
    <x v="132"/>
    <x v="3"/>
    <x v="542"/>
    <x v="0"/>
    <x v="3"/>
    <x v="0"/>
    <x v="2"/>
    <x v="2"/>
    <x v="1"/>
    <x v="1"/>
    <x v="4"/>
    <x v="0"/>
    <x v="0"/>
    <x v="96"/>
    <x v="0"/>
    <x v="3"/>
    <x v="2"/>
  </r>
  <r>
    <x v="985"/>
    <x v="86"/>
    <x v="1"/>
    <x v="0"/>
    <x v="25"/>
    <x v="709"/>
    <x v="24"/>
    <x v="694"/>
    <x v="1"/>
    <x v="4"/>
    <x v="0"/>
    <x v="1"/>
    <x v="3"/>
    <x v="3"/>
    <x v="0"/>
    <x v="6"/>
    <x v="3"/>
    <x v="758"/>
    <x v="763"/>
    <x v="0"/>
    <x v="0"/>
    <x v="0"/>
  </r>
  <r>
    <x v="986"/>
    <x v="68"/>
    <x v="0"/>
    <x v="0"/>
    <x v="23"/>
    <x v="732"/>
    <x v="25"/>
    <x v="494"/>
    <x v="4"/>
    <x v="4"/>
    <x v="1"/>
    <x v="1"/>
    <x v="3"/>
    <x v="2"/>
    <x v="0"/>
    <x v="9"/>
    <x v="3"/>
    <x v="766"/>
    <x v="786"/>
    <x v="1"/>
    <x v="0"/>
    <x v="0"/>
  </r>
  <r>
    <x v="987"/>
    <x v="76"/>
    <x v="0"/>
    <x v="0"/>
    <x v="23"/>
    <x v="559"/>
    <x v="20"/>
    <x v="446"/>
    <x v="7"/>
    <x v="2"/>
    <x v="0"/>
    <x v="1"/>
    <x v="0"/>
    <x v="2"/>
    <x v="1"/>
    <x v="10"/>
    <x v="2"/>
    <x v="467"/>
    <x v="553"/>
    <x v="0"/>
    <x v="1"/>
    <x v="0"/>
  </r>
  <r>
    <x v="988"/>
    <x v="116"/>
    <x v="3"/>
    <x v="1"/>
    <x v="39"/>
    <x v="786"/>
    <x v="31"/>
    <x v="641"/>
    <x v="8"/>
    <x v="3"/>
    <x v="1"/>
    <x v="1"/>
    <x v="3"/>
    <x v="3"/>
    <x v="8"/>
    <x v="8"/>
    <x v="0"/>
    <x v="0"/>
    <x v="680"/>
    <x v="1"/>
    <x v="0"/>
    <x v="0"/>
  </r>
  <r>
    <x v="989"/>
    <x v="11"/>
    <x v="3"/>
    <x v="1"/>
    <x v="29"/>
    <x v="572"/>
    <x v="20"/>
    <x v="839"/>
    <x v="4"/>
    <x v="4"/>
    <x v="0"/>
    <x v="1"/>
    <x v="0"/>
    <x v="3"/>
    <x v="5"/>
    <x v="4"/>
    <x v="3"/>
    <x v="692"/>
    <x v="602"/>
    <x v="0"/>
    <x v="1"/>
    <x v="0"/>
  </r>
  <r>
    <x v="990"/>
    <x v="74"/>
    <x v="6"/>
    <x v="1"/>
    <x v="1"/>
    <x v="0"/>
    <x v="2"/>
    <x v="832"/>
    <x v="1"/>
    <x v="1"/>
    <x v="0"/>
    <x v="2"/>
    <x v="1"/>
    <x v="0"/>
    <x v="6"/>
    <x v="10"/>
    <x v="4"/>
    <x v="191"/>
    <x v="19"/>
    <x v="0"/>
    <x v="3"/>
    <x v="1"/>
  </r>
  <r>
    <x v="991"/>
    <x v="142"/>
    <x v="4"/>
    <x v="1"/>
    <x v="28"/>
    <x v="726"/>
    <x v="29"/>
    <x v="814"/>
    <x v="0"/>
    <x v="0"/>
    <x v="0"/>
    <x v="1"/>
    <x v="3"/>
    <x v="3"/>
    <x v="7"/>
    <x v="3"/>
    <x v="1"/>
    <x v="246"/>
    <x v="676"/>
    <x v="0"/>
    <x v="0"/>
    <x v="0"/>
  </r>
  <r>
    <x v="992"/>
    <x v="118"/>
    <x v="6"/>
    <x v="0"/>
    <x v="38"/>
    <x v="866"/>
    <x v="30"/>
    <x v="471"/>
    <x v="8"/>
    <x v="4"/>
    <x v="0"/>
    <x v="1"/>
    <x v="3"/>
    <x v="3"/>
    <x v="6"/>
    <x v="0"/>
    <x v="3"/>
    <x v="818"/>
    <x v="907"/>
    <x v="0"/>
    <x v="0"/>
    <x v="0"/>
  </r>
  <r>
    <x v="993"/>
    <x v="66"/>
    <x v="9"/>
    <x v="1"/>
    <x v="28"/>
    <x v="573"/>
    <x v="22"/>
    <x v="392"/>
    <x v="9"/>
    <x v="2"/>
    <x v="1"/>
    <x v="1"/>
    <x v="0"/>
    <x v="3"/>
    <x v="4"/>
    <x v="1"/>
    <x v="2"/>
    <x v="474"/>
    <x v="562"/>
    <x v="1"/>
    <x v="1"/>
    <x v="0"/>
  </r>
  <r>
    <x v="994"/>
    <x v="81"/>
    <x v="5"/>
    <x v="0"/>
    <x v="33"/>
    <x v="749"/>
    <x v="29"/>
    <x v="212"/>
    <x v="4"/>
    <x v="1"/>
    <x v="0"/>
    <x v="1"/>
    <x v="3"/>
    <x v="3"/>
    <x v="10"/>
    <x v="2"/>
    <x v="4"/>
    <x v="878"/>
    <x v="846"/>
    <x v="0"/>
    <x v="0"/>
    <x v="0"/>
  </r>
  <r>
    <x v="995"/>
    <x v="14"/>
    <x v="1"/>
    <x v="1"/>
    <x v="37"/>
    <x v="738"/>
    <x v="29"/>
    <x v="709"/>
    <x v="5"/>
    <x v="1"/>
    <x v="0"/>
    <x v="1"/>
    <x v="3"/>
    <x v="3"/>
    <x v="11"/>
    <x v="0"/>
    <x v="4"/>
    <x v="876"/>
    <x v="833"/>
    <x v="0"/>
    <x v="0"/>
    <x v="0"/>
  </r>
  <r>
    <x v="996"/>
    <x v="88"/>
    <x v="2"/>
    <x v="0"/>
    <x v="11"/>
    <x v="338"/>
    <x v="12"/>
    <x v="792"/>
    <x v="8"/>
    <x v="4"/>
    <x v="0"/>
    <x v="1"/>
    <x v="2"/>
    <x v="1"/>
    <x v="9"/>
    <x v="6"/>
    <x v="3"/>
    <x v="480"/>
    <x v="362"/>
    <x v="0"/>
    <x v="2"/>
    <x v="3"/>
  </r>
  <r>
    <x v="997"/>
    <x v="42"/>
    <x v="7"/>
    <x v="0"/>
    <x v="8"/>
    <x v="106"/>
    <x v="7"/>
    <x v="82"/>
    <x v="8"/>
    <x v="4"/>
    <x v="1"/>
    <x v="3"/>
    <x v="1"/>
    <x v="1"/>
    <x v="10"/>
    <x v="8"/>
    <x v="3"/>
    <x v="274"/>
    <x v="119"/>
    <x v="1"/>
    <x v="3"/>
    <x v="2"/>
  </r>
  <r>
    <x v="998"/>
    <x v="141"/>
    <x v="7"/>
    <x v="1"/>
    <x v="34"/>
    <x v="958"/>
    <x v="35"/>
    <x v="126"/>
    <x v="7"/>
    <x v="4"/>
    <x v="0"/>
    <x v="1"/>
    <x v="3"/>
    <x v="3"/>
    <x v="9"/>
    <x v="11"/>
    <x v="3"/>
    <x v="856"/>
    <x v="966"/>
    <x v="0"/>
    <x v="0"/>
    <x v="0"/>
  </r>
  <r>
    <x v="999"/>
    <x v="140"/>
    <x v="6"/>
    <x v="1"/>
    <x v="20"/>
    <x v="429"/>
    <x v="17"/>
    <x v="189"/>
    <x v="5"/>
    <x v="2"/>
    <x v="0"/>
    <x v="1"/>
    <x v="0"/>
    <x v="2"/>
    <x v="1"/>
    <x v="3"/>
    <x v="2"/>
    <x v="379"/>
    <x v="422"/>
    <x v="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9000000}" name="PivotTable2" cacheId="0" applyNumberFormats="0" applyBorderFormats="0" applyFontFormats="0" applyPatternFormats="0" applyAlignmentFormats="0" applyWidthHeightFormats="0" dataCaption="Values" itemPrintTitles="1" indent="0" outline="1" outlineData="1">
  <location ref="F3:G14" firstHeaderRow="1" firstDataRow="1" firstDataCol="1"/>
  <pivotFields count="22"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dataFields count="1">
    <dataField name="Average of Salary" fld="5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8000000}" name="PivotTable10" cacheId="0" applyNumberFormats="0" applyBorderFormats="0" applyFontFormats="0" applyPatternFormats="0" applyAlignmentFormats="0" applyWidthHeightFormats="0" dataCaption="Values" itemPrintTitles="1" indent="0" outline="1" outlineData="1">
  <location ref="A56:B61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PivotTable8" cacheId="0" applyNumberFormats="0" applyBorderFormats="0" applyFontFormats="0" applyPatternFormats="0" applyAlignmentFormats="0" applyWidthHeightFormats="0" dataCaption="Values" itemPrintTitles="1" indent="0" outline="1" outlineData="1">
  <location ref="F38:G43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Table5" cacheId="0" applyNumberFormats="0" applyBorderFormats="0" applyFontFormats="0" applyPatternFormats="0" applyAlignmentFormats="0" applyWidthHeightFormats="0" dataCaption="Values" itemPrintTitles="1" indent="0" outline="1" outlineData="1">
  <location ref="F20:G26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6" cacheId="0" applyNumberFormats="0" applyBorderFormats="0" applyFontFormats="0" applyPatternFormats="0" applyAlignmentFormats="0" applyWidthHeightFormats="0" dataCaption="Values" itemPrintTitles="1" indent="0" outline="1" outlineData="1">
  <location ref="K20:L31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3" cacheId="0" applyNumberFormats="0" applyBorderFormats="0" applyFontFormats="0" applyPatternFormats="0" applyAlignmentFormats="0" applyWidthHeightFormats="0" dataCaption="Values" itemPrintTitles="1" indent="0" outline="1" outlineData="1">
  <location ref="K3:L6" firstHeaderRow="1" firstDataRow="1" firstDataCol="1"/>
  <pivotFields count="22"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4" cacheId="0" applyNumberFormats="0" applyBorderFormats="0" applyFontFormats="0" applyPatternFormats="0" applyAlignmentFormats="0" applyWidthHeightFormats="0" dataCaption="Values" itemPrintTitles="1" indent="0" outline="1" outlineData="1">
  <location ref="A20:D32" firstHeaderRow="1" firstDataRow="2" firstDataCol="1"/>
  <pivotFields count="22">
    <pivotField dataField="1"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colFields count="1">
    <field x="10"/>
  </colField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1" cacheId="0" applyNumberFormats="0" applyBorderFormats="0" applyFontFormats="0" applyPatternFormats="0" applyAlignmentFormats="0" applyWidthHeightFormats="0" dataCaption="Values" itemPrintTitles="1" indent="0" outline="1" outlineData="1">
  <location ref="A3:B14" firstHeaderRow="1" firstDataRow="1" firstDataCol="1"/>
  <pivotFields count="22">
    <pivotField dataField="1"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dataFields count="1">
    <dataField name="Department-wise Employees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9" cacheId="0" applyNumberFormats="0" applyBorderFormats="0" applyFontFormats="0" applyPatternFormats="0" applyAlignmentFormats="0" applyWidthHeightFormats="0" dataCaption="Values" itemPrintTitles="1" indent="0" outline="1" outlineData="1">
  <location ref="K38:L51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7" cacheId="0" applyNumberFormats="0" applyBorderFormats="0" applyFontFormats="0" applyPatternFormats="0" applyAlignmentFormats="0" applyWidthHeightFormats="0" dataCaption="Values" itemPrintTitles="1" indent="0" outline="1" outlineData="1">
  <location ref="A38:B43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R_Data" displayName="HR_Data" ref="A1:V1001" totalsRowShown="0">
  <autoFilter ref="A1:V1001" xr:uid="{00000000-0009-0000-0100-000001000000}"/>
  <tableColumns count="22">
    <tableColumn id="1" xr3:uid="{00000000-0010-0000-0000-000001000000}" name="Employee ID"/>
    <tableColumn id="2" xr3:uid="{00000000-0010-0000-0000-000002000000}" name="Employee Name"/>
    <tableColumn id="3" xr3:uid="{00000000-0010-0000-0000-000003000000}" name="Department"/>
    <tableColumn id="4" xr3:uid="{00000000-0010-0000-0000-000004000000}" name="Gender"/>
    <tableColumn id="5" xr3:uid="{00000000-0010-0000-0000-000005000000}" name="Age"/>
    <tableColumn id="6" xr3:uid="{00000000-0010-0000-0000-000006000000}" name="Salary"/>
    <tableColumn id="7" xr3:uid="{00000000-0010-0000-0000-000007000000}" name="Experience"/>
    <tableColumn id="8" xr3:uid="{00000000-0010-0000-0000-000008000000}" name="Joining Date"/>
    <tableColumn id="9" xr3:uid="{00000000-0010-0000-0000-000009000000}" name="City"/>
    <tableColumn id="10" xr3:uid="{00000000-0010-0000-0000-00000A000000}" name="Performance Rating"/>
    <tableColumn id="11" xr3:uid="{00000000-0010-0000-0000-00000B000000}" name="Attrition"/>
    <tableColumn id="12" xr3:uid="{00000000-0010-0000-0000-00000C000000}" name="Experience Group"/>
    <tableColumn id="13" xr3:uid="{00000000-0010-0000-0000-00000D000000}" name="Salary Band"/>
    <tableColumn id="14" xr3:uid="{00000000-0010-0000-0000-00000E000000}" name="Age Group"/>
    <tableColumn id="15" xr3:uid="{00000000-0010-0000-0000-00000F000000}" name="Join Year"/>
    <tableColumn id="16" xr3:uid="{00000000-0010-0000-0000-000010000000}" name="Join Month"/>
    <tableColumn id="17" xr3:uid="{00000000-0010-0000-0000-000011000000}" name="Bonus %"/>
    <tableColumn id="18" xr3:uid="{00000000-0010-0000-0000-000012000000}" name="Bonus Amount"/>
    <tableColumn id="19" xr3:uid="{00000000-0010-0000-0000-000013000000}" name="Total Salary"/>
    <tableColumn id="20" xr3:uid="{00000000-0010-0000-0000-000014000000}" name="Employee Status"/>
    <tableColumn id="21" xr3:uid="{00000000-0010-0000-0000-000015000000}" name="Salary Grade"/>
    <tableColumn id="22" xr3:uid="{00000000-0010-0000-0000-000016000000}" name="Experience Leve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topLeftCell="A2" zoomScaleNormal="100" workbookViewId="0">
      <selection activeCell="C22" sqref="C22"/>
    </sheetView>
  </sheetViews>
  <sheetFormatPr defaultColWidth="8.6640625" defaultRowHeight="14.4" x14ac:dyDescent="0.3"/>
  <cols>
    <col min="1" max="1" width="16.21875" customWidth="1"/>
    <col min="2" max="2" width="16.6640625" customWidth="1"/>
    <col min="3" max="3" width="19.44140625" customWidth="1"/>
    <col min="4" max="4" width="10.44140625" customWidth="1"/>
    <col min="7" max="7" width="13" customWidth="1"/>
    <col min="8" max="8" width="15.33203125" customWidth="1"/>
    <col min="10" max="10" width="20.109375" customWidth="1"/>
    <col min="11" max="11" width="13.5546875" customWidth="1"/>
    <col min="12" max="12" width="10.77734375" customWidth="1"/>
    <col min="13" max="13" width="10.44140625" customWidth="1"/>
    <col min="14" max="14" width="8.88671875" customWidth="1"/>
    <col min="15" max="15" width="10.6640625" customWidth="1"/>
    <col min="16" max="16" width="11.21875" customWidth="1"/>
    <col min="17" max="17" width="10.6640625" customWidth="1"/>
    <col min="18" max="18" width="16.6640625" customWidth="1"/>
    <col min="19" max="19" width="14.33203125" customWidth="1"/>
    <col min="20" max="20" width="17.44140625" customWidth="1"/>
    <col min="21" max="21" width="14.44140625" customWidth="1"/>
    <col min="22" max="22" width="16.88671875" customWidth="1"/>
  </cols>
  <sheetData>
    <row r="1" spans="1:22" ht="28.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4.25" customHeight="1" x14ac:dyDescent="0.3">
      <c r="A2" t="s">
        <v>22</v>
      </c>
      <c r="B2" t="s">
        <v>23</v>
      </c>
      <c r="C2" t="s">
        <v>24</v>
      </c>
      <c r="D2" t="s">
        <v>25</v>
      </c>
      <c r="E2">
        <v>26</v>
      </c>
      <c r="F2">
        <v>48412</v>
      </c>
      <c r="G2">
        <v>7</v>
      </c>
      <c r="H2" t="s">
        <v>26</v>
      </c>
      <c r="I2" t="s">
        <v>27</v>
      </c>
      <c r="J2" t="s">
        <v>28</v>
      </c>
      <c r="K2" t="s">
        <v>29</v>
      </c>
      <c r="L2" t="str">
        <f t="array" ref="L2">_xlfn.IFS(HR_Data[[#This Row],[Experience]]&lt;2,"0-2 Years",HR_Data[[#This Row],[Experience]]&lt;5,"2-5 Years",HR_Data[[#This Row],[Experience]]&lt;10,"5-10 Years",TRUE(),"10+ Years")</f>
        <v>5-10 Years</v>
      </c>
      <c r="M2" t="str">
        <f t="array" ref="M2">_xlfn.IFS(HR_Data[[#This Row],[Salary]]&lt;40000,"Low",HR_Data[[#This Row],[Salary]]&lt;70000,"Medium",HR_Data[[#This Row],[Salary]]&lt;100000,"High",TRUE(),"Very High")</f>
        <v>Medium</v>
      </c>
      <c r="N2" t="str">
        <f t="array" ref="N2">_xlfn.IFS(HR_Data[[#This Row],[Age]]&lt;25,"18-24",HR_Data[[#This Row],[Age]]&lt;35,"25-34",HR_Data[[#This Row],[Age]]&lt;45,"35-44",TRUE(),"45+")</f>
        <v>25-34</v>
      </c>
      <c r="O2">
        <f>YEAR(HR_Data[[#This Row],[Joining Date]])</f>
        <v>2020</v>
      </c>
      <c r="P2" t="str">
        <f>TEXT(HR_Data[[#This Row],[Joining Date]],"mmmm")</f>
        <v>June</v>
      </c>
      <c r="Q2">
        <f t="array" ref="Q2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">
        <f>HR_Data[[#This Row],[Salary]]*HR_Data[[#This Row],[Bonus %]]</f>
        <v>7261.8</v>
      </c>
      <c r="S2">
        <f>HR_Data[[#This Row],[Salary]]+HR_Data[[#This Row],[Bonus Amount]]</f>
        <v>55673.8</v>
      </c>
      <c r="T2" t="str">
        <f>IF(HR_Data[[#This Row],[Attrition]]="Yes","Inactive","Active")</f>
        <v>Active</v>
      </c>
      <c r="U2" t="str">
        <f t="array" ref="U2">_xlfn.IFS(HR_Data[[#This Row],[Salary]]&gt;=100000,"A",HR_Data[[#This Row],[Salary]]&gt;=70000,"B",HR_Data[[#This Row],[Salary]]&gt;=50000,"C",TRUE(),"D")</f>
        <v>D</v>
      </c>
      <c r="V2" t="str">
        <f t="array" ref="V2">_xlfn.IFS(HR_Data[[#This Row],[Experience]]&gt;=15,"Expert",HR_Data[[#This Row],[Experience]]&gt;=8,"Senior",HR_Data[[#This Row],[Experience]]&gt;=3,"Mid-Level",TRUE(),"Junior")</f>
        <v>Mid-Level</v>
      </c>
    </row>
    <row r="3" spans="1:22" ht="14.25" customHeight="1" x14ac:dyDescent="0.3">
      <c r="A3" t="s">
        <v>30</v>
      </c>
      <c r="B3" t="s">
        <v>31</v>
      </c>
      <c r="C3" t="s">
        <v>32</v>
      </c>
      <c r="D3" t="s">
        <v>33</v>
      </c>
      <c r="E3">
        <v>21</v>
      </c>
      <c r="F3">
        <v>27364</v>
      </c>
      <c r="G3">
        <v>1</v>
      </c>
      <c r="H3" t="s">
        <v>34</v>
      </c>
      <c r="I3" t="s">
        <v>35</v>
      </c>
      <c r="J3" t="s">
        <v>36</v>
      </c>
      <c r="K3" t="s">
        <v>37</v>
      </c>
      <c r="L3" t="str">
        <f t="array" ref="L3">_xlfn.IFS(HR_Data[[#This Row],[Experience]]&lt;2,"0-2 Years",HR_Data[[#This Row],[Experience]]&lt;5,"2-5 Years",HR_Data[[#This Row],[Experience]]&lt;10,"5-10 Years",TRUE(),"10+ Years")</f>
        <v>0-2 Years</v>
      </c>
      <c r="M3" t="str">
        <f t="array" ref="M3">_xlfn.IFS(HR_Data[[#This Row],[Salary]]&lt;40000,"Low",HR_Data[[#This Row],[Salary]]&lt;70000,"Medium",HR_Data[[#This Row],[Salary]]&lt;100000,"High",TRUE(),"Very High")</f>
        <v>Low</v>
      </c>
      <c r="N3" t="str">
        <f t="array" ref="N3">_xlfn.IFS(HR_Data[[#This Row],[Age]]&lt;25,"18-24",HR_Data[[#This Row],[Age]]&lt;35,"25-34",HR_Data[[#This Row],[Age]]&lt;45,"35-44",TRUE(),"45+")</f>
        <v>18-24</v>
      </c>
      <c r="O3">
        <f>YEAR(HR_Data[[#This Row],[Joining Date]])</f>
        <v>2020</v>
      </c>
      <c r="P3" t="str">
        <f>TEXT(HR_Data[[#This Row],[Joining Date]],"mmmm")</f>
        <v>March</v>
      </c>
      <c r="Q3">
        <f t="array" ref="Q3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">
        <f>HR_Data[[#This Row],[Salary]]*HR_Data[[#This Row],[Bonus %]]</f>
        <v>2736.4</v>
      </c>
      <c r="S3">
        <f>HR_Data[[#This Row],[Salary]]+HR_Data[[#This Row],[Bonus Amount]]</f>
        <v>30100.400000000001</v>
      </c>
      <c r="T3" t="str">
        <f>IF(HR_Data[[#This Row],[Attrition]]="Yes","Inactive","Active")</f>
        <v>Inactive</v>
      </c>
      <c r="U3" t="str">
        <f t="array" ref="U3">_xlfn.IFS(HR_Data[[#This Row],[Salary]]&gt;=100000,"A",HR_Data[[#This Row],[Salary]]&gt;=70000,"B",HR_Data[[#This Row],[Salary]]&gt;=50000,"C",TRUE(),"D")</f>
        <v>D</v>
      </c>
      <c r="V3" t="str">
        <f t="array" ref="V3">_xlfn.IFS(HR_Data[[#This Row],[Experience]]&gt;=15,"Expert",HR_Data[[#This Row],[Experience]]&gt;=8,"Senior",HR_Data[[#This Row],[Experience]]&gt;=3,"Mid-Level",TRUE(),"Junior")</f>
        <v>Junior</v>
      </c>
    </row>
    <row r="4" spans="1:22" ht="14.25" customHeight="1" x14ac:dyDescent="0.3">
      <c r="A4" t="s">
        <v>38</v>
      </c>
      <c r="B4" t="s">
        <v>39</v>
      </c>
      <c r="C4" t="s">
        <v>40</v>
      </c>
      <c r="D4" t="s">
        <v>25</v>
      </c>
      <c r="E4">
        <v>36</v>
      </c>
      <c r="F4">
        <v>76631</v>
      </c>
      <c r="G4">
        <v>17</v>
      </c>
      <c r="H4" t="s">
        <v>41</v>
      </c>
      <c r="I4" t="s">
        <v>42</v>
      </c>
      <c r="J4" t="s">
        <v>28</v>
      </c>
      <c r="K4" t="s">
        <v>29</v>
      </c>
      <c r="L4" t="str">
        <f t="array" ref="L4">_xlfn.IFS(HR_Data[[#This Row],[Experience]]&lt;2,"0-2 Years",HR_Data[[#This Row],[Experience]]&lt;5,"2-5 Years",HR_Data[[#This Row],[Experience]]&lt;10,"5-10 Years",TRUE(),"10+ Years")</f>
        <v>10+ Years</v>
      </c>
      <c r="M4" t="str">
        <f t="array" ref="M4">_xlfn.IFS(HR_Data[[#This Row],[Salary]]&lt;40000,"Low",HR_Data[[#This Row],[Salary]]&lt;70000,"Medium",HR_Data[[#This Row],[Salary]]&lt;100000,"High",TRUE(),"Very High")</f>
        <v>High</v>
      </c>
      <c r="N4" t="str">
        <f t="array" ref="N4">_xlfn.IFS(HR_Data[[#This Row],[Age]]&lt;25,"18-24",HR_Data[[#This Row],[Age]]&lt;35,"25-34",HR_Data[[#This Row],[Age]]&lt;45,"35-44",TRUE(),"45+")</f>
        <v>35-44</v>
      </c>
      <c r="O4">
        <f>YEAR(HR_Data[[#This Row],[Joining Date]])</f>
        <v>2024</v>
      </c>
      <c r="P4" t="str">
        <f>TEXT(HR_Data[[#This Row],[Joining Date]],"mmmm")</f>
        <v>June</v>
      </c>
      <c r="Q4">
        <f t="array" ref="Q4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">
        <f>HR_Data[[#This Row],[Salary]]*HR_Data[[#This Row],[Bonus %]]</f>
        <v>11494.65</v>
      </c>
      <c r="S4">
        <f>HR_Data[[#This Row],[Salary]]+HR_Data[[#This Row],[Bonus Amount]]</f>
        <v>88125.65</v>
      </c>
      <c r="T4" t="str">
        <f>IF(HR_Data[[#This Row],[Attrition]]="Yes","Inactive","Active")</f>
        <v>Active</v>
      </c>
      <c r="U4" t="str">
        <f t="array" ref="U4">_xlfn.IFS(HR_Data[[#This Row],[Salary]]&gt;=100000,"A",HR_Data[[#This Row],[Salary]]&gt;=70000,"B",HR_Data[[#This Row],[Salary]]&gt;=50000,"C",TRUE(),"D")</f>
        <v>B</v>
      </c>
      <c r="V4" t="str">
        <f t="array" ref="V4">_xlfn.IFS(HR_Data[[#This Row],[Experience]]&gt;=15,"Expert",HR_Data[[#This Row],[Experience]]&gt;=8,"Senior",HR_Data[[#This Row],[Experience]]&gt;=3,"Mid-Level",TRUE(),"Junior")</f>
        <v>Expert</v>
      </c>
    </row>
    <row r="5" spans="1:22" ht="14.25" customHeight="1" x14ac:dyDescent="0.3">
      <c r="A5" t="s">
        <v>43</v>
      </c>
      <c r="B5" t="s">
        <v>23</v>
      </c>
      <c r="C5" t="s">
        <v>32</v>
      </c>
      <c r="D5" t="s">
        <v>33</v>
      </c>
      <c r="E5">
        <v>46</v>
      </c>
      <c r="F5">
        <v>107182</v>
      </c>
      <c r="G5">
        <v>22</v>
      </c>
      <c r="H5" t="s">
        <v>44</v>
      </c>
      <c r="I5" t="s">
        <v>45</v>
      </c>
      <c r="J5" t="s">
        <v>46</v>
      </c>
      <c r="K5" t="s">
        <v>29</v>
      </c>
      <c r="L5" t="str">
        <f t="array" ref="L5">_xlfn.IFS(HR_Data[[#This Row],[Experience]]&lt;2,"0-2 Years",HR_Data[[#This Row],[Experience]]&lt;5,"2-5 Years",HR_Data[[#This Row],[Experience]]&lt;10,"5-10 Years",TRUE(),"10+ Years")</f>
        <v>10+ Years</v>
      </c>
      <c r="M5" t="str">
        <f t="array" ref="M5">_xlfn.IFS(HR_Data[[#This Row],[Salary]]&lt;40000,"Low",HR_Data[[#This Row],[Salary]]&lt;70000,"Medium",HR_Data[[#This Row],[Salary]]&lt;100000,"High",TRUE(),"Very High")</f>
        <v>Very High</v>
      </c>
      <c r="N5" t="str">
        <f t="array" ref="N5">_xlfn.IFS(HR_Data[[#This Row],[Age]]&lt;25,"18-24",HR_Data[[#This Row],[Age]]&lt;35,"25-34",HR_Data[[#This Row],[Age]]&lt;45,"35-44",TRUE(),"45+")</f>
        <v>45+</v>
      </c>
      <c r="O5">
        <f>YEAR(HR_Data[[#This Row],[Joining Date]])</f>
        <v>2020</v>
      </c>
      <c r="P5" t="str">
        <f>TEXT(HR_Data[[#This Row],[Joining Date]],"mmmm")</f>
        <v>December</v>
      </c>
      <c r="Q5">
        <f t="array" ref="Q5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5">
        <f>HR_Data[[#This Row],[Salary]]*HR_Data[[#This Row],[Bonus %]]</f>
        <v>5359.1</v>
      </c>
      <c r="S5">
        <f>HR_Data[[#This Row],[Salary]]+HR_Data[[#This Row],[Bonus Amount]]</f>
        <v>112541.1</v>
      </c>
      <c r="T5" t="str">
        <f>IF(HR_Data[[#This Row],[Attrition]]="Yes","Inactive","Active")</f>
        <v>Active</v>
      </c>
      <c r="U5" t="str">
        <f t="array" ref="U5">_xlfn.IFS(HR_Data[[#This Row],[Salary]]&gt;=100000,"A",HR_Data[[#This Row],[Salary]]&gt;=70000,"B",HR_Data[[#This Row],[Salary]]&gt;=50000,"C",TRUE(),"D")</f>
        <v>A</v>
      </c>
      <c r="V5" t="str">
        <f t="array" ref="V5">_xlfn.IFS(HR_Data[[#This Row],[Experience]]&gt;=15,"Expert",HR_Data[[#This Row],[Experience]]&gt;=8,"Senior",HR_Data[[#This Row],[Experience]]&gt;=3,"Mid-Level",TRUE(),"Junior")</f>
        <v>Expert</v>
      </c>
    </row>
    <row r="6" spans="1:22" ht="14.25" customHeight="1" x14ac:dyDescent="0.3">
      <c r="A6" t="s">
        <v>47</v>
      </c>
      <c r="B6" t="s">
        <v>48</v>
      </c>
      <c r="C6" t="s">
        <v>40</v>
      </c>
      <c r="D6" t="s">
        <v>33</v>
      </c>
      <c r="E6">
        <v>47</v>
      </c>
      <c r="F6">
        <v>86450</v>
      </c>
      <c r="G6">
        <v>18</v>
      </c>
      <c r="H6" t="s">
        <v>49</v>
      </c>
      <c r="I6" t="s">
        <v>42</v>
      </c>
      <c r="J6" t="s">
        <v>36</v>
      </c>
      <c r="K6" t="s">
        <v>37</v>
      </c>
      <c r="L6" t="str">
        <f t="array" ref="L6">_xlfn.IFS(HR_Data[[#This Row],[Experience]]&lt;2,"0-2 Years",HR_Data[[#This Row],[Experience]]&lt;5,"2-5 Years",HR_Data[[#This Row],[Experience]]&lt;10,"5-10 Years",TRUE(),"10+ Years")</f>
        <v>10+ Years</v>
      </c>
      <c r="M6" t="str">
        <f t="array" ref="M6">_xlfn.IFS(HR_Data[[#This Row],[Salary]]&lt;40000,"Low",HR_Data[[#This Row],[Salary]]&lt;70000,"Medium",HR_Data[[#This Row],[Salary]]&lt;100000,"High",TRUE(),"Very High")</f>
        <v>High</v>
      </c>
      <c r="N6" t="str">
        <f t="array" ref="N6">_xlfn.IFS(HR_Data[[#This Row],[Age]]&lt;25,"18-24",HR_Data[[#This Row],[Age]]&lt;35,"25-34",HR_Data[[#This Row],[Age]]&lt;45,"35-44",TRUE(),"45+")</f>
        <v>45+</v>
      </c>
      <c r="O6">
        <f>YEAR(HR_Data[[#This Row],[Joining Date]])</f>
        <v>2019</v>
      </c>
      <c r="P6" t="str">
        <f>TEXT(HR_Data[[#This Row],[Joining Date]],"mmmm")</f>
        <v>April</v>
      </c>
      <c r="Q6">
        <f t="array" ref="Q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">
        <f>HR_Data[[#This Row],[Salary]]*HR_Data[[#This Row],[Bonus %]]</f>
        <v>8645</v>
      </c>
      <c r="S6">
        <f>HR_Data[[#This Row],[Salary]]+HR_Data[[#This Row],[Bonus Amount]]</f>
        <v>95095</v>
      </c>
      <c r="T6" t="str">
        <f>IF(HR_Data[[#This Row],[Attrition]]="Yes","Inactive","Active")</f>
        <v>Inactive</v>
      </c>
      <c r="U6" t="str">
        <f t="array" ref="U6">_xlfn.IFS(HR_Data[[#This Row],[Salary]]&gt;=100000,"A",HR_Data[[#This Row],[Salary]]&gt;=70000,"B",HR_Data[[#This Row],[Salary]]&gt;=50000,"C",TRUE(),"D")</f>
        <v>B</v>
      </c>
      <c r="V6" t="str">
        <f t="array" ref="V6">_xlfn.IFS(HR_Data[[#This Row],[Experience]]&gt;=15,"Expert",HR_Data[[#This Row],[Experience]]&gt;=8,"Senior",HR_Data[[#This Row],[Experience]]&gt;=3,"Mid-Level",TRUE(),"Junior")</f>
        <v>Expert</v>
      </c>
    </row>
    <row r="7" spans="1:22" ht="14.25" customHeight="1" x14ac:dyDescent="0.3">
      <c r="A7" t="s">
        <v>50</v>
      </c>
      <c r="B7" t="s">
        <v>51</v>
      </c>
      <c r="C7" t="s">
        <v>24</v>
      </c>
      <c r="D7" t="s">
        <v>33</v>
      </c>
      <c r="E7">
        <v>47</v>
      </c>
      <c r="F7">
        <v>108657</v>
      </c>
      <c r="G7">
        <v>24</v>
      </c>
      <c r="H7" t="s">
        <v>52</v>
      </c>
      <c r="I7" t="s">
        <v>45</v>
      </c>
      <c r="J7" t="s">
        <v>28</v>
      </c>
      <c r="K7" t="s">
        <v>29</v>
      </c>
      <c r="L7" t="str">
        <f t="array" ref="L7">_xlfn.IFS(HR_Data[[#This Row],[Experience]]&lt;2,"0-2 Years",HR_Data[[#This Row],[Experience]]&lt;5,"2-5 Years",HR_Data[[#This Row],[Experience]]&lt;10,"5-10 Years",TRUE(),"10+ Years")</f>
        <v>10+ Years</v>
      </c>
      <c r="M7" t="str">
        <f t="array" ref="M7">_xlfn.IFS(HR_Data[[#This Row],[Salary]]&lt;40000,"Low",HR_Data[[#This Row],[Salary]]&lt;70000,"Medium",HR_Data[[#This Row],[Salary]]&lt;100000,"High",TRUE(),"Very High")</f>
        <v>Very High</v>
      </c>
      <c r="N7" t="str">
        <f t="array" ref="N7">_xlfn.IFS(HR_Data[[#This Row],[Age]]&lt;25,"18-24",HR_Data[[#This Row],[Age]]&lt;35,"25-34",HR_Data[[#This Row],[Age]]&lt;45,"35-44",TRUE(),"45+")</f>
        <v>45+</v>
      </c>
      <c r="O7">
        <f>YEAR(HR_Data[[#This Row],[Joining Date]])</f>
        <v>2023</v>
      </c>
      <c r="P7" t="str">
        <f>TEXT(HR_Data[[#This Row],[Joining Date]],"mmmm")</f>
        <v>March</v>
      </c>
      <c r="Q7">
        <f t="array" ref="Q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7">
        <f>HR_Data[[#This Row],[Salary]]*HR_Data[[#This Row],[Bonus %]]</f>
        <v>16298.55</v>
      </c>
      <c r="S7">
        <f>HR_Data[[#This Row],[Salary]]+HR_Data[[#This Row],[Bonus Amount]]</f>
        <v>124955.55</v>
      </c>
      <c r="T7" t="str">
        <f>IF(HR_Data[[#This Row],[Attrition]]="Yes","Inactive","Active")</f>
        <v>Active</v>
      </c>
      <c r="U7" t="str">
        <f t="array" ref="U7">_xlfn.IFS(HR_Data[[#This Row],[Salary]]&gt;=100000,"A",HR_Data[[#This Row],[Salary]]&gt;=70000,"B",HR_Data[[#This Row],[Salary]]&gt;=50000,"C",TRUE(),"D")</f>
        <v>A</v>
      </c>
      <c r="V7" t="str">
        <f t="array" ref="V7">_xlfn.IFS(HR_Data[[#This Row],[Experience]]&gt;=15,"Expert",HR_Data[[#This Row],[Experience]]&gt;=8,"Senior",HR_Data[[#This Row],[Experience]]&gt;=3,"Mid-Level",TRUE(),"Junior")</f>
        <v>Expert</v>
      </c>
    </row>
    <row r="8" spans="1:22" ht="14.25" customHeight="1" x14ac:dyDescent="0.3">
      <c r="A8" t="s">
        <v>53</v>
      </c>
      <c r="B8" t="s">
        <v>54</v>
      </c>
      <c r="C8" t="s">
        <v>55</v>
      </c>
      <c r="D8" t="s">
        <v>33</v>
      </c>
      <c r="E8">
        <v>36</v>
      </c>
      <c r="F8">
        <v>80147</v>
      </c>
      <c r="G8">
        <v>15</v>
      </c>
      <c r="H8" t="s">
        <v>56</v>
      </c>
      <c r="I8" t="s">
        <v>57</v>
      </c>
      <c r="J8" t="s">
        <v>28</v>
      </c>
      <c r="K8" t="s">
        <v>29</v>
      </c>
      <c r="L8" t="str">
        <f t="array" ref="L8">_xlfn.IFS(HR_Data[[#This Row],[Experience]]&lt;2,"0-2 Years",HR_Data[[#This Row],[Experience]]&lt;5,"2-5 Years",HR_Data[[#This Row],[Experience]]&lt;10,"5-10 Years",TRUE(),"10+ Years")</f>
        <v>10+ Years</v>
      </c>
      <c r="M8" t="str">
        <f t="array" ref="M8">_xlfn.IFS(HR_Data[[#This Row],[Salary]]&lt;40000,"Low",HR_Data[[#This Row],[Salary]]&lt;70000,"Medium",HR_Data[[#This Row],[Salary]]&lt;100000,"High",TRUE(),"Very High")</f>
        <v>High</v>
      </c>
      <c r="N8" t="str">
        <f t="array" ref="N8">_xlfn.IFS(HR_Data[[#This Row],[Age]]&lt;25,"18-24",HR_Data[[#This Row],[Age]]&lt;35,"25-34",HR_Data[[#This Row],[Age]]&lt;45,"35-44",TRUE(),"45+")</f>
        <v>35-44</v>
      </c>
      <c r="O8">
        <f>YEAR(HR_Data[[#This Row],[Joining Date]])</f>
        <v>2023</v>
      </c>
      <c r="P8" t="str">
        <f>TEXT(HR_Data[[#This Row],[Joining Date]],"mmmm")</f>
        <v>July</v>
      </c>
      <c r="Q8">
        <f t="array" ref="Q8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">
        <f>HR_Data[[#This Row],[Salary]]*HR_Data[[#This Row],[Bonus %]]</f>
        <v>12022.05</v>
      </c>
      <c r="S8">
        <f>HR_Data[[#This Row],[Salary]]+HR_Data[[#This Row],[Bonus Amount]]</f>
        <v>92169.05</v>
      </c>
      <c r="T8" t="str">
        <f>IF(HR_Data[[#This Row],[Attrition]]="Yes","Inactive","Active")</f>
        <v>Active</v>
      </c>
      <c r="U8" t="str">
        <f t="array" ref="U8">_xlfn.IFS(HR_Data[[#This Row],[Salary]]&gt;=100000,"A",HR_Data[[#This Row],[Salary]]&gt;=70000,"B",HR_Data[[#This Row],[Salary]]&gt;=50000,"C",TRUE(),"D")</f>
        <v>B</v>
      </c>
      <c r="V8" t="str">
        <f t="array" ref="V8">_xlfn.IFS(HR_Data[[#This Row],[Experience]]&gt;=15,"Expert",HR_Data[[#This Row],[Experience]]&gt;=8,"Senior",HR_Data[[#This Row],[Experience]]&gt;=3,"Mid-Level",TRUE(),"Junior")</f>
        <v>Expert</v>
      </c>
    </row>
    <row r="9" spans="1:22" ht="14.25" customHeight="1" x14ac:dyDescent="0.3">
      <c r="A9" t="s">
        <v>58</v>
      </c>
      <c r="B9" t="s">
        <v>59</v>
      </c>
      <c r="C9" t="s">
        <v>60</v>
      </c>
      <c r="D9" t="s">
        <v>25</v>
      </c>
      <c r="E9">
        <v>26</v>
      </c>
      <c r="F9">
        <v>36545</v>
      </c>
      <c r="G9">
        <v>2</v>
      </c>
      <c r="H9" t="s">
        <v>61</v>
      </c>
      <c r="I9" t="s">
        <v>62</v>
      </c>
      <c r="J9" t="s">
        <v>63</v>
      </c>
      <c r="K9" t="s">
        <v>29</v>
      </c>
      <c r="L9" t="str">
        <f t="array" ref="L9">_xlfn.IFS(HR_Data[[#This Row],[Experience]]&lt;2,"0-2 Years",HR_Data[[#This Row],[Experience]]&lt;5,"2-5 Years",HR_Data[[#This Row],[Experience]]&lt;10,"5-10 Years",TRUE(),"10+ Years")</f>
        <v>2-5 Years</v>
      </c>
      <c r="M9" t="str">
        <f t="array" ref="M9">_xlfn.IFS(HR_Data[[#This Row],[Salary]]&lt;40000,"Low",HR_Data[[#This Row],[Salary]]&lt;70000,"Medium",HR_Data[[#This Row],[Salary]]&lt;100000,"High",TRUE(),"Very High")</f>
        <v>Low</v>
      </c>
      <c r="N9" t="str">
        <f t="array" ref="N9">_xlfn.IFS(HR_Data[[#This Row],[Age]]&lt;25,"18-24",HR_Data[[#This Row],[Age]]&lt;35,"25-34",HR_Data[[#This Row],[Age]]&lt;45,"35-44",TRUE(),"45+")</f>
        <v>25-34</v>
      </c>
      <c r="O9">
        <f>YEAR(HR_Data[[#This Row],[Joining Date]])</f>
        <v>2021</v>
      </c>
      <c r="P9" t="str">
        <f>TEXT(HR_Data[[#This Row],[Joining Date]],"mmmm")</f>
        <v>January</v>
      </c>
      <c r="Q9">
        <f t="array" ref="Q9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9">
        <f>HR_Data[[#This Row],[Salary]]*HR_Data[[#This Row],[Bonus %]]</f>
        <v>7309</v>
      </c>
      <c r="S9">
        <f>HR_Data[[#This Row],[Salary]]+HR_Data[[#This Row],[Bonus Amount]]</f>
        <v>43854</v>
      </c>
      <c r="T9" t="str">
        <f>IF(HR_Data[[#This Row],[Attrition]]="Yes","Inactive","Active")</f>
        <v>Active</v>
      </c>
      <c r="U9" t="str">
        <f t="array" ref="U9">_xlfn.IFS(HR_Data[[#This Row],[Salary]]&gt;=100000,"A",HR_Data[[#This Row],[Salary]]&gt;=70000,"B",HR_Data[[#This Row],[Salary]]&gt;=50000,"C",TRUE(),"D")</f>
        <v>D</v>
      </c>
      <c r="V9" t="str">
        <f t="array" ref="V9">_xlfn.IFS(HR_Data[[#This Row],[Experience]]&gt;=15,"Expert",HR_Data[[#This Row],[Experience]]&gt;=8,"Senior",HR_Data[[#This Row],[Experience]]&gt;=3,"Mid-Level",TRUE(),"Junior")</f>
        <v>Junior</v>
      </c>
    </row>
    <row r="10" spans="1:22" ht="14.25" customHeight="1" x14ac:dyDescent="0.3">
      <c r="A10" t="s">
        <v>64</v>
      </c>
      <c r="B10" t="s">
        <v>65</v>
      </c>
      <c r="C10" t="s">
        <v>32</v>
      </c>
      <c r="D10" t="s">
        <v>25</v>
      </c>
      <c r="E10">
        <v>50</v>
      </c>
      <c r="F10">
        <v>118479</v>
      </c>
      <c r="G10">
        <v>29</v>
      </c>
      <c r="H10" t="s">
        <v>66</v>
      </c>
      <c r="I10" t="s">
        <v>67</v>
      </c>
      <c r="J10" t="s">
        <v>28</v>
      </c>
      <c r="K10" t="s">
        <v>29</v>
      </c>
      <c r="L10" t="str">
        <f t="array" ref="L10">_xlfn.IFS(HR_Data[[#This Row],[Experience]]&lt;2,"0-2 Years",HR_Data[[#This Row],[Experience]]&lt;5,"2-5 Years",HR_Data[[#This Row],[Experience]]&lt;10,"5-10 Years",TRUE(),"10+ Years")</f>
        <v>10+ Years</v>
      </c>
      <c r="M10" t="str">
        <f t="array" ref="M10">_xlfn.IFS(HR_Data[[#This Row],[Salary]]&lt;40000,"Low",HR_Data[[#This Row],[Salary]]&lt;70000,"Medium",HR_Data[[#This Row],[Salary]]&lt;100000,"High",TRUE(),"Very High")</f>
        <v>Very High</v>
      </c>
      <c r="N10" t="str">
        <f t="array" ref="N10">_xlfn.IFS(HR_Data[[#This Row],[Age]]&lt;25,"18-24",HR_Data[[#This Row],[Age]]&lt;35,"25-34",HR_Data[[#This Row],[Age]]&lt;45,"35-44",TRUE(),"45+")</f>
        <v>45+</v>
      </c>
      <c r="O10">
        <f>YEAR(HR_Data[[#This Row],[Joining Date]])</f>
        <v>2018</v>
      </c>
      <c r="P10" t="str">
        <f>TEXT(HR_Data[[#This Row],[Joining Date]],"mmmm")</f>
        <v>February</v>
      </c>
      <c r="Q10">
        <f t="array" ref="Q10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10">
        <f>HR_Data[[#This Row],[Salary]]*HR_Data[[#This Row],[Bonus %]]</f>
        <v>17771.849999999999</v>
      </c>
      <c r="S10">
        <f>HR_Data[[#This Row],[Salary]]+HR_Data[[#This Row],[Bonus Amount]]</f>
        <v>136250.85</v>
      </c>
      <c r="T10" t="str">
        <f>IF(HR_Data[[#This Row],[Attrition]]="Yes","Inactive","Active")</f>
        <v>Active</v>
      </c>
      <c r="U10" t="str">
        <f t="array" ref="U10">_xlfn.IFS(HR_Data[[#This Row],[Salary]]&gt;=100000,"A",HR_Data[[#This Row],[Salary]]&gt;=70000,"B",HR_Data[[#This Row],[Salary]]&gt;=50000,"C",TRUE(),"D")</f>
        <v>A</v>
      </c>
      <c r="V10" t="str">
        <f t="array" ref="V10">_xlfn.IFS(HR_Data[[#This Row],[Experience]]&gt;=15,"Expert",HR_Data[[#This Row],[Experience]]&gt;=8,"Senior",HR_Data[[#This Row],[Experience]]&gt;=3,"Mid-Level",TRUE(),"Junior")</f>
        <v>Expert</v>
      </c>
    </row>
    <row r="11" spans="1:22" ht="14.25" customHeight="1" x14ac:dyDescent="0.3">
      <c r="A11" t="s">
        <v>68</v>
      </c>
      <c r="B11" t="s">
        <v>69</v>
      </c>
      <c r="C11" t="s">
        <v>70</v>
      </c>
      <c r="D11" t="s">
        <v>25</v>
      </c>
      <c r="E11">
        <v>35</v>
      </c>
      <c r="F11">
        <v>78496</v>
      </c>
      <c r="G11">
        <v>14</v>
      </c>
      <c r="H11" t="s">
        <v>71</v>
      </c>
      <c r="I11" t="s">
        <v>72</v>
      </c>
      <c r="J11" t="s">
        <v>63</v>
      </c>
      <c r="K11" t="s">
        <v>37</v>
      </c>
      <c r="L11" t="str">
        <f t="array" ref="L11">_xlfn.IFS(HR_Data[[#This Row],[Experience]]&lt;2,"0-2 Years",HR_Data[[#This Row],[Experience]]&lt;5,"2-5 Years",HR_Data[[#This Row],[Experience]]&lt;10,"5-10 Years",TRUE(),"10+ Years")</f>
        <v>10+ Years</v>
      </c>
      <c r="M11" t="str">
        <f t="array" ref="M11">_xlfn.IFS(HR_Data[[#This Row],[Salary]]&lt;40000,"Low",HR_Data[[#This Row],[Salary]]&lt;70000,"Medium",HR_Data[[#This Row],[Salary]]&lt;100000,"High",TRUE(),"Very High")</f>
        <v>High</v>
      </c>
      <c r="N11" t="str">
        <f t="array" ref="N11">_xlfn.IFS(HR_Data[[#This Row],[Age]]&lt;25,"18-24",HR_Data[[#This Row],[Age]]&lt;35,"25-34",HR_Data[[#This Row],[Age]]&lt;45,"35-44",TRUE(),"45+")</f>
        <v>35-44</v>
      </c>
      <c r="O11">
        <f>YEAR(HR_Data[[#This Row],[Joining Date]])</f>
        <v>2026</v>
      </c>
      <c r="P11" t="str">
        <f>TEXT(HR_Data[[#This Row],[Joining Date]],"mmmm")</f>
        <v>January</v>
      </c>
      <c r="Q11">
        <f t="array" ref="Q11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11">
        <f>HR_Data[[#This Row],[Salary]]*HR_Data[[#This Row],[Bonus %]]</f>
        <v>15699.2</v>
      </c>
      <c r="S11">
        <f>HR_Data[[#This Row],[Salary]]+HR_Data[[#This Row],[Bonus Amount]]</f>
        <v>94195.199999999997</v>
      </c>
      <c r="T11" t="str">
        <f>IF(HR_Data[[#This Row],[Attrition]]="Yes","Inactive","Active")</f>
        <v>Inactive</v>
      </c>
      <c r="U11" t="str">
        <f t="array" ref="U11">_xlfn.IFS(HR_Data[[#This Row],[Salary]]&gt;=100000,"A",HR_Data[[#This Row],[Salary]]&gt;=70000,"B",HR_Data[[#This Row],[Salary]]&gt;=50000,"C",TRUE(),"D")</f>
        <v>B</v>
      </c>
      <c r="V11" t="str">
        <f t="array" ref="V11">_xlfn.IFS(HR_Data[[#This Row],[Experience]]&gt;=15,"Expert",HR_Data[[#This Row],[Experience]]&gt;=8,"Senior",HR_Data[[#This Row],[Experience]]&gt;=3,"Mid-Level",TRUE(),"Junior")</f>
        <v>Senior</v>
      </c>
    </row>
    <row r="12" spans="1:22" ht="14.25" customHeight="1" x14ac:dyDescent="0.3">
      <c r="A12" t="s">
        <v>73</v>
      </c>
      <c r="B12" t="s">
        <v>74</v>
      </c>
      <c r="C12" t="s">
        <v>75</v>
      </c>
      <c r="D12" t="s">
        <v>25</v>
      </c>
      <c r="E12">
        <v>29</v>
      </c>
      <c r="F12">
        <v>42304</v>
      </c>
      <c r="G12">
        <v>4</v>
      </c>
      <c r="H12" t="s">
        <v>76</v>
      </c>
      <c r="I12" t="s">
        <v>67</v>
      </c>
      <c r="J12" t="s">
        <v>36</v>
      </c>
      <c r="K12" t="s">
        <v>29</v>
      </c>
      <c r="L12" t="str">
        <f t="array" ref="L12">_xlfn.IFS(HR_Data[[#This Row],[Experience]]&lt;2,"0-2 Years",HR_Data[[#This Row],[Experience]]&lt;5,"2-5 Years",HR_Data[[#This Row],[Experience]]&lt;10,"5-10 Years",TRUE(),"10+ Years")</f>
        <v>2-5 Years</v>
      </c>
      <c r="M12" t="str">
        <f t="array" ref="M12">_xlfn.IFS(HR_Data[[#This Row],[Salary]]&lt;40000,"Low",HR_Data[[#This Row],[Salary]]&lt;70000,"Medium",HR_Data[[#This Row],[Salary]]&lt;100000,"High",TRUE(),"Very High")</f>
        <v>Medium</v>
      </c>
      <c r="N12" t="str">
        <f t="array" ref="N12">_xlfn.IFS(HR_Data[[#This Row],[Age]]&lt;25,"18-24",HR_Data[[#This Row],[Age]]&lt;35,"25-34",HR_Data[[#This Row],[Age]]&lt;45,"35-44",TRUE(),"45+")</f>
        <v>25-34</v>
      </c>
      <c r="O12">
        <f>YEAR(HR_Data[[#This Row],[Joining Date]])</f>
        <v>2025</v>
      </c>
      <c r="P12" t="str">
        <f>TEXT(HR_Data[[#This Row],[Joining Date]],"mmmm")</f>
        <v>July</v>
      </c>
      <c r="Q12">
        <f t="array" ref="Q1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2">
        <f>HR_Data[[#This Row],[Salary]]*HR_Data[[#This Row],[Bonus %]]</f>
        <v>4230.4000000000005</v>
      </c>
      <c r="S12">
        <f>HR_Data[[#This Row],[Salary]]+HR_Data[[#This Row],[Bonus Amount]]</f>
        <v>46534.400000000001</v>
      </c>
      <c r="T12" t="str">
        <f>IF(HR_Data[[#This Row],[Attrition]]="Yes","Inactive","Active")</f>
        <v>Active</v>
      </c>
      <c r="U12" t="str">
        <f t="array" ref="U12">_xlfn.IFS(HR_Data[[#This Row],[Salary]]&gt;=100000,"A",HR_Data[[#This Row],[Salary]]&gt;=70000,"B",HR_Data[[#This Row],[Salary]]&gt;=50000,"C",TRUE(),"D")</f>
        <v>D</v>
      </c>
      <c r="V12" t="str">
        <f t="array" ref="V12">_xlfn.IFS(HR_Data[[#This Row],[Experience]]&gt;=15,"Expert",HR_Data[[#This Row],[Experience]]&gt;=8,"Senior",HR_Data[[#This Row],[Experience]]&gt;=3,"Mid-Level",TRUE(),"Junior")</f>
        <v>Mid-Level</v>
      </c>
    </row>
    <row r="13" spans="1:22" ht="14.25" customHeight="1" x14ac:dyDescent="0.3">
      <c r="A13" t="s">
        <v>77</v>
      </c>
      <c r="B13" t="s">
        <v>78</v>
      </c>
      <c r="C13" t="s">
        <v>70</v>
      </c>
      <c r="D13" t="s">
        <v>33</v>
      </c>
      <c r="E13">
        <v>30</v>
      </c>
      <c r="F13">
        <v>53646</v>
      </c>
      <c r="G13">
        <v>7</v>
      </c>
      <c r="H13" t="s">
        <v>79</v>
      </c>
      <c r="I13" t="s">
        <v>80</v>
      </c>
      <c r="J13" t="s">
        <v>36</v>
      </c>
      <c r="K13" t="s">
        <v>29</v>
      </c>
      <c r="L13" t="str">
        <f t="array" ref="L13">_xlfn.IFS(HR_Data[[#This Row],[Experience]]&lt;2,"0-2 Years",HR_Data[[#This Row],[Experience]]&lt;5,"2-5 Years",HR_Data[[#This Row],[Experience]]&lt;10,"5-10 Years",TRUE(),"10+ Years")</f>
        <v>5-10 Years</v>
      </c>
      <c r="M13" t="str">
        <f t="array" ref="M13">_xlfn.IFS(HR_Data[[#This Row],[Salary]]&lt;40000,"Low",HR_Data[[#This Row],[Salary]]&lt;70000,"Medium",HR_Data[[#This Row],[Salary]]&lt;100000,"High",TRUE(),"Very High")</f>
        <v>Medium</v>
      </c>
      <c r="N13" t="str">
        <f t="array" ref="N13">_xlfn.IFS(HR_Data[[#This Row],[Age]]&lt;25,"18-24",HR_Data[[#This Row],[Age]]&lt;35,"25-34",HR_Data[[#This Row],[Age]]&lt;45,"35-44",TRUE(),"45+")</f>
        <v>25-34</v>
      </c>
      <c r="O13">
        <f>YEAR(HR_Data[[#This Row],[Joining Date]])</f>
        <v>2018</v>
      </c>
      <c r="P13" t="str">
        <f>TEXT(HR_Data[[#This Row],[Joining Date]],"mmmm")</f>
        <v>July</v>
      </c>
      <c r="Q13">
        <f t="array" ref="Q13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3">
        <f>HR_Data[[#This Row],[Salary]]*HR_Data[[#This Row],[Bonus %]]</f>
        <v>5364.6</v>
      </c>
      <c r="S13">
        <f>HR_Data[[#This Row],[Salary]]+HR_Data[[#This Row],[Bonus Amount]]</f>
        <v>59010.6</v>
      </c>
      <c r="T13" t="str">
        <f>IF(HR_Data[[#This Row],[Attrition]]="Yes","Inactive","Active")</f>
        <v>Active</v>
      </c>
      <c r="U13" t="str">
        <f t="array" ref="U13">_xlfn.IFS(HR_Data[[#This Row],[Salary]]&gt;=100000,"A",HR_Data[[#This Row],[Salary]]&gt;=70000,"B",HR_Data[[#This Row],[Salary]]&gt;=50000,"C",TRUE(),"D")</f>
        <v>C</v>
      </c>
      <c r="V13" t="str">
        <f t="array" ref="V13">_xlfn.IFS(HR_Data[[#This Row],[Experience]]&gt;=15,"Expert",HR_Data[[#This Row],[Experience]]&gt;=8,"Senior",HR_Data[[#This Row],[Experience]]&gt;=3,"Mid-Level",TRUE(),"Junior")</f>
        <v>Mid-Level</v>
      </c>
    </row>
    <row r="14" spans="1:22" ht="14.25" customHeight="1" x14ac:dyDescent="0.3">
      <c r="A14" t="s">
        <v>81</v>
      </c>
      <c r="B14" t="s">
        <v>82</v>
      </c>
      <c r="C14" t="s">
        <v>24</v>
      </c>
      <c r="D14" t="s">
        <v>25</v>
      </c>
      <c r="E14">
        <v>60</v>
      </c>
      <c r="F14">
        <v>125917</v>
      </c>
      <c r="G14">
        <v>32</v>
      </c>
      <c r="H14" t="s">
        <v>83</v>
      </c>
      <c r="I14" t="s">
        <v>35</v>
      </c>
      <c r="J14" t="s">
        <v>28</v>
      </c>
      <c r="K14" t="s">
        <v>29</v>
      </c>
      <c r="L14" t="str">
        <f t="array" ref="L14">_xlfn.IFS(HR_Data[[#This Row],[Experience]]&lt;2,"0-2 Years",HR_Data[[#This Row],[Experience]]&lt;5,"2-5 Years",HR_Data[[#This Row],[Experience]]&lt;10,"5-10 Years",TRUE(),"10+ Years")</f>
        <v>10+ Years</v>
      </c>
      <c r="M14" t="str">
        <f t="array" ref="M14">_xlfn.IFS(HR_Data[[#This Row],[Salary]]&lt;40000,"Low",HR_Data[[#This Row],[Salary]]&lt;70000,"Medium",HR_Data[[#This Row],[Salary]]&lt;100000,"High",TRUE(),"Very High")</f>
        <v>Very High</v>
      </c>
      <c r="N14" t="str">
        <f t="array" ref="N14">_xlfn.IFS(HR_Data[[#This Row],[Age]]&lt;25,"18-24",HR_Data[[#This Row],[Age]]&lt;35,"25-34",HR_Data[[#This Row],[Age]]&lt;45,"35-44",TRUE(),"45+")</f>
        <v>45+</v>
      </c>
      <c r="O14">
        <f>YEAR(HR_Data[[#This Row],[Joining Date]])</f>
        <v>2018</v>
      </c>
      <c r="P14" t="str">
        <f>TEXT(HR_Data[[#This Row],[Joining Date]],"mmmm")</f>
        <v>June</v>
      </c>
      <c r="Q14">
        <f t="array" ref="Q14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14">
        <f>HR_Data[[#This Row],[Salary]]*HR_Data[[#This Row],[Bonus %]]</f>
        <v>18887.55</v>
      </c>
      <c r="S14">
        <f>HR_Data[[#This Row],[Salary]]+HR_Data[[#This Row],[Bonus Amount]]</f>
        <v>144804.54999999999</v>
      </c>
      <c r="T14" t="str">
        <f>IF(HR_Data[[#This Row],[Attrition]]="Yes","Inactive","Active")</f>
        <v>Active</v>
      </c>
      <c r="U14" t="str">
        <f t="array" ref="U14">_xlfn.IFS(HR_Data[[#This Row],[Salary]]&gt;=100000,"A",HR_Data[[#This Row],[Salary]]&gt;=70000,"B",HR_Data[[#This Row],[Salary]]&gt;=50000,"C",TRUE(),"D")</f>
        <v>A</v>
      </c>
      <c r="V14" t="str">
        <f t="array" ref="V14">_xlfn.IFS(HR_Data[[#This Row],[Experience]]&gt;=15,"Expert",HR_Data[[#This Row],[Experience]]&gt;=8,"Senior",HR_Data[[#This Row],[Experience]]&gt;=3,"Mid-Level",TRUE(),"Junior")</f>
        <v>Expert</v>
      </c>
    </row>
    <row r="15" spans="1:22" ht="14.25" customHeight="1" x14ac:dyDescent="0.3">
      <c r="A15" t="s">
        <v>84</v>
      </c>
      <c r="B15" t="s">
        <v>85</v>
      </c>
      <c r="C15" t="s">
        <v>40</v>
      </c>
      <c r="D15" t="s">
        <v>25</v>
      </c>
      <c r="E15">
        <v>21</v>
      </c>
      <c r="F15">
        <v>32094</v>
      </c>
      <c r="G15">
        <v>1</v>
      </c>
      <c r="H15" t="s">
        <v>86</v>
      </c>
      <c r="I15" t="s">
        <v>42</v>
      </c>
      <c r="J15" t="s">
        <v>28</v>
      </c>
      <c r="K15" t="s">
        <v>29</v>
      </c>
      <c r="L15" t="str">
        <f t="array" ref="L15">_xlfn.IFS(HR_Data[[#This Row],[Experience]]&lt;2,"0-2 Years",HR_Data[[#This Row],[Experience]]&lt;5,"2-5 Years",HR_Data[[#This Row],[Experience]]&lt;10,"5-10 Years",TRUE(),"10+ Years")</f>
        <v>0-2 Years</v>
      </c>
      <c r="M15" t="str">
        <f t="array" ref="M15">_xlfn.IFS(HR_Data[[#This Row],[Salary]]&lt;40000,"Low",HR_Data[[#This Row],[Salary]]&lt;70000,"Medium",HR_Data[[#This Row],[Salary]]&lt;100000,"High",TRUE(),"Very High")</f>
        <v>Low</v>
      </c>
      <c r="N15" t="str">
        <f t="array" ref="N15">_xlfn.IFS(HR_Data[[#This Row],[Age]]&lt;25,"18-24",HR_Data[[#This Row],[Age]]&lt;35,"25-34",HR_Data[[#This Row],[Age]]&lt;45,"35-44",TRUE(),"45+")</f>
        <v>18-24</v>
      </c>
      <c r="O15">
        <f>YEAR(HR_Data[[#This Row],[Joining Date]])</f>
        <v>2021</v>
      </c>
      <c r="P15" t="str">
        <f>TEXT(HR_Data[[#This Row],[Joining Date]],"mmmm")</f>
        <v>November</v>
      </c>
      <c r="Q15">
        <f t="array" ref="Q15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15">
        <f>HR_Data[[#This Row],[Salary]]*HR_Data[[#This Row],[Bonus %]]</f>
        <v>4814.0999999999995</v>
      </c>
      <c r="S15">
        <f>HR_Data[[#This Row],[Salary]]+HR_Data[[#This Row],[Bonus Amount]]</f>
        <v>36908.1</v>
      </c>
      <c r="T15" t="str">
        <f>IF(HR_Data[[#This Row],[Attrition]]="Yes","Inactive","Active")</f>
        <v>Active</v>
      </c>
      <c r="U15" t="str">
        <f t="array" ref="U15">_xlfn.IFS(HR_Data[[#This Row],[Salary]]&gt;=100000,"A",HR_Data[[#This Row],[Salary]]&gt;=70000,"B",HR_Data[[#This Row],[Salary]]&gt;=50000,"C",TRUE(),"D")</f>
        <v>D</v>
      </c>
      <c r="V15" t="str">
        <f t="array" ref="V15">_xlfn.IFS(HR_Data[[#This Row],[Experience]]&gt;=15,"Expert",HR_Data[[#This Row],[Experience]]&gt;=8,"Senior",HR_Data[[#This Row],[Experience]]&gt;=3,"Mid-Level",TRUE(),"Junior")</f>
        <v>Junior</v>
      </c>
    </row>
    <row r="16" spans="1:22" ht="14.25" customHeight="1" x14ac:dyDescent="0.3">
      <c r="A16" t="s">
        <v>87</v>
      </c>
      <c r="B16" t="s">
        <v>88</v>
      </c>
      <c r="C16" t="s">
        <v>32</v>
      </c>
      <c r="D16" t="s">
        <v>33</v>
      </c>
      <c r="E16">
        <v>55</v>
      </c>
      <c r="F16">
        <v>130007</v>
      </c>
      <c r="G16">
        <v>34</v>
      </c>
      <c r="H16" t="s">
        <v>89</v>
      </c>
      <c r="I16" t="s">
        <v>45</v>
      </c>
      <c r="J16" t="s">
        <v>90</v>
      </c>
      <c r="K16" t="s">
        <v>29</v>
      </c>
      <c r="L16" t="str">
        <f t="array" ref="L16">_xlfn.IFS(HR_Data[[#This Row],[Experience]]&lt;2,"0-2 Years",HR_Data[[#This Row],[Experience]]&lt;5,"2-5 Years",HR_Data[[#This Row],[Experience]]&lt;10,"5-10 Years",TRUE(),"10+ Years")</f>
        <v>10+ Years</v>
      </c>
      <c r="M16" t="str">
        <f t="array" ref="M16">_xlfn.IFS(HR_Data[[#This Row],[Salary]]&lt;40000,"Low",HR_Data[[#This Row],[Salary]]&lt;70000,"Medium",HR_Data[[#This Row],[Salary]]&lt;100000,"High",TRUE(),"Very High")</f>
        <v>Very High</v>
      </c>
      <c r="N16" t="str">
        <f t="array" ref="N16">_xlfn.IFS(HR_Data[[#This Row],[Age]]&lt;25,"18-24",HR_Data[[#This Row],[Age]]&lt;35,"25-34",HR_Data[[#This Row],[Age]]&lt;45,"35-44",TRUE(),"45+")</f>
        <v>45+</v>
      </c>
      <c r="O16">
        <f>YEAR(HR_Data[[#This Row],[Joining Date]])</f>
        <v>2025</v>
      </c>
      <c r="P16" t="str">
        <f>TEXT(HR_Data[[#This Row],[Joining Date]],"mmmm")</f>
        <v>August</v>
      </c>
      <c r="Q16">
        <f t="array" ref="Q16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16">
        <f>HR_Data[[#This Row],[Salary]]*HR_Data[[#This Row],[Bonus %]]</f>
        <v>0</v>
      </c>
      <c r="S16">
        <f>HR_Data[[#This Row],[Salary]]+HR_Data[[#This Row],[Bonus Amount]]</f>
        <v>130007</v>
      </c>
      <c r="T16" t="str">
        <f>IF(HR_Data[[#This Row],[Attrition]]="Yes","Inactive","Active")</f>
        <v>Active</v>
      </c>
      <c r="U16" t="str">
        <f t="array" ref="U16">_xlfn.IFS(HR_Data[[#This Row],[Salary]]&gt;=100000,"A",HR_Data[[#This Row],[Salary]]&gt;=70000,"B",HR_Data[[#This Row],[Salary]]&gt;=50000,"C",TRUE(),"D")</f>
        <v>A</v>
      </c>
      <c r="V16" t="str">
        <f t="array" ref="V16">_xlfn.IFS(HR_Data[[#This Row],[Experience]]&gt;=15,"Expert",HR_Data[[#This Row],[Experience]]&gt;=8,"Senior",HR_Data[[#This Row],[Experience]]&gt;=3,"Mid-Level",TRUE(),"Junior")</f>
        <v>Expert</v>
      </c>
    </row>
    <row r="17" spans="1:22" ht="14.25" customHeight="1" x14ac:dyDescent="0.3">
      <c r="A17" t="s">
        <v>91</v>
      </c>
      <c r="B17" t="s">
        <v>92</v>
      </c>
      <c r="C17" t="s">
        <v>93</v>
      </c>
      <c r="D17" t="s">
        <v>33</v>
      </c>
      <c r="E17">
        <v>42</v>
      </c>
      <c r="F17">
        <v>65614</v>
      </c>
      <c r="G17">
        <v>12</v>
      </c>
      <c r="H17" t="s">
        <v>94</v>
      </c>
      <c r="I17" t="s">
        <v>57</v>
      </c>
      <c r="J17" t="s">
        <v>90</v>
      </c>
      <c r="K17" t="s">
        <v>29</v>
      </c>
      <c r="L17" t="str">
        <f t="array" ref="L17">_xlfn.IFS(HR_Data[[#This Row],[Experience]]&lt;2,"0-2 Years",HR_Data[[#This Row],[Experience]]&lt;5,"2-5 Years",HR_Data[[#This Row],[Experience]]&lt;10,"5-10 Years",TRUE(),"10+ Years")</f>
        <v>10+ Years</v>
      </c>
      <c r="M17" t="str">
        <f t="array" ref="M17">_xlfn.IFS(HR_Data[[#This Row],[Salary]]&lt;40000,"Low",HR_Data[[#This Row],[Salary]]&lt;70000,"Medium",HR_Data[[#This Row],[Salary]]&lt;100000,"High",TRUE(),"Very High")</f>
        <v>Medium</v>
      </c>
      <c r="N17" t="str">
        <f t="array" ref="N17">_xlfn.IFS(HR_Data[[#This Row],[Age]]&lt;25,"18-24",HR_Data[[#This Row],[Age]]&lt;35,"25-34",HR_Data[[#This Row],[Age]]&lt;45,"35-44",TRUE(),"45+")</f>
        <v>35-44</v>
      </c>
      <c r="O17">
        <f>YEAR(HR_Data[[#This Row],[Joining Date]])</f>
        <v>2023</v>
      </c>
      <c r="P17" t="str">
        <f>TEXT(HR_Data[[#This Row],[Joining Date]],"mmmm")</f>
        <v>December</v>
      </c>
      <c r="Q17">
        <f t="array" ref="Q17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17">
        <f>HR_Data[[#This Row],[Salary]]*HR_Data[[#This Row],[Bonus %]]</f>
        <v>0</v>
      </c>
      <c r="S17">
        <f>HR_Data[[#This Row],[Salary]]+HR_Data[[#This Row],[Bonus Amount]]</f>
        <v>65614</v>
      </c>
      <c r="T17" t="str">
        <f>IF(HR_Data[[#This Row],[Attrition]]="Yes","Inactive","Active")</f>
        <v>Active</v>
      </c>
      <c r="U17" t="str">
        <f t="array" ref="U17">_xlfn.IFS(HR_Data[[#This Row],[Salary]]&gt;=100000,"A",HR_Data[[#This Row],[Salary]]&gt;=70000,"B",HR_Data[[#This Row],[Salary]]&gt;=50000,"C",TRUE(),"D")</f>
        <v>C</v>
      </c>
      <c r="V17" t="str">
        <f t="array" ref="V17">_xlfn.IFS(HR_Data[[#This Row],[Experience]]&gt;=15,"Expert",HR_Data[[#This Row],[Experience]]&gt;=8,"Senior",HR_Data[[#This Row],[Experience]]&gt;=3,"Mid-Level",TRUE(),"Junior")</f>
        <v>Senior</v>
      </c>
    </row>
    <row r="18" spans="1:22" ht="14.25" customHeight="1" x14ac:dyDescent="0.3">
      <c r="A18" t="s">
        <v>95</v>
      </c>
      <c r="B18" t="s">
        <v>96</v>
      </c>
      <c r="C18" t="s">
        <v>40</v>
      </c>
      <c r="D18" t="s">
        <v>33</v>
      </c>
      <c r="E18">
        <v>34</v>
      </c>
      <c r="F18">
        <v>72878</v>
      </c>
      <c r="G18">
        <v>14</v>
      </c>
      <c r="H18" t="s">
        <v>97</v>
      </c>
      <c r="I18" t="s">
        <v>57</v>
      </c>
      <c r="J18" t="s">
        <v>36</v>
      </c>
      <c r="K18" t="s">
        <v>29</v>
      </c>
      <c r="L18" t="str">
        <f t="array" ref="L18">_xlfn.IFS(HR_Data[[#This Row],[Experience]]&lt;2,"0-2 Years",HR_Data[[#This Row],[Experience]]&lt;5,"2-5 Years",HR_Data[[#This Row],[Experience]]&lt;10,"5-10 Years",TRUE(),"10+ Years")</f>
        <v>10+ Years</v>
      </c>
      <c r="M18" t="str">
        <f t="array" ref="M18">_xlfn.IFS(HR_Data[[#This Row],[Salary]]&lt;40000,"Low",HR_Data[[#This Row],[Salary]]&lt;70000,"Medium",HR_Data[[#This Row],[Salary]]&lt;100000,"High",TRUE(),"Very High")</f>
        <v>High</v>
      </c>
      <c r="N18" t="str">
        <f t="array" ref="N18">_xlfn.IFS(HR_Data[[#This Row],[Age]]&lt;25,"18-24",HR_Data[[#This Row],[Age]]&lt;35,"25-34",HR_Data[[#This Row],[Age]]&lt;45,"35-44",TRUE(),"45+")</f>
        <v>25-34</v>
      </c>
      <c r="O18">
        <f>YEAR(HR_Data[[#This Row],[Joining Date]])</f>
        <v>2015</v>
      </c>
      <c r="P18" t="str">
        <f>TEXT(HR_Data[[#This Row],[Joining Date]],"mmmm")</f>
        <v>June</v>
      </c>
      <c r="Q18">
        <f t="array" ref="Q1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8">
        <f>HR_Data[[#This Row],[Salary]]*HR_Data[[#This Row],[Bonus %]]</f>
        <v>7287.8</v>
      </c>
      <c r="S18">
        <f>HR_Data[[#This Row],[Salary]]+HR_Data[[#This Row],[Bonus Amount]]</f>
        <v>80165.8</v>
      </c>
      <c r="T18" t="str">
        <f>IF(HR_Data[[#This Row],[Attrition]]="Yes","Inactive","Active")</f>
        <v>Active</v>
      </c>
      <c r="U18" t="str">
        <f t="array" ref="U18">_xlfn.IFS(HR_Data[[#This Row],[Salary]]&gt;=100000,"A",HR_Data[[#This Row],[Salary]]&gt;=70000,"B",HR_Data[[#This Row],[Salary]]&gt;=50000,"C",TRUE(),"D")</f>
        <v>B</v>
      </c>
      <c r="V18" t="str">
        <f t="array" ref="V18">_xlfn.IFS(HR_Data[[#This Row],[Experience]]&gt;=15,"Expert",HR_Data[[#This Row],[Experience]]&gt;=8,"Senior",HR_Data[[#This Row],[Experience]]&gt;=3,"Mid-Level",TRUE(),"Junior")</f>
        <v>Senior</v>
      </c>
    </row>
    <row r="19" spans="1:22" ht="14.25" customHeight="1" x14ac:dyDescent="0.3">
      <c r="A19" t="s">
        <v>98</v>
      </c>
      <c r="B19" t="s">
        <v>99</v>
      </c>
      <c r="C19" t="s">
        <v>75</v>
      </c>
      <c r="D19" t="s">
        <v>33</v>
      </c>
      <c r="E19">
        <v>23</v>
      </c>
      <c r="F19">
        <v>40627</v>
      </c>
      <c r="G19">
        <v>4</v>
      </c>
      <c r="H19" t="s">
        <v>100</v>
      </c>
      <c r="I19" t="s">
        <v>72</v>
      </c>
      <c r="J19" t="s">
        <v>36</v>
      </c>
      <c r="K19" t="s">
        <v>29</v>
      </c>
      <c r="L19" t="str">
        <f t="array" ref="L19">_xlfn.IFS(HR_Data[[#This Row],[Experience]]&lt;2,"0-2 Years",HR_Data[[#This Row],[Experience]]&lt;5,"2-5 Years",HR_Data[[#This Row],[Experience]]&lt;10,"5-10 Years",TRUE(),"10+ Years")</f>
        <v>2-5 Years</v>
      </c>
      <c r="M19" t="str">
        <f t="array" ref="M19">_xlfn.IFS(HR_Data[[#This Row],[Salary]]&lt;40000,"Low",HR_Data[[#This Row],[Salary]]&lt;70000,"Medium",HR_Data[[#This Row],[Salary]]&lt;100000,"High",TRUE(),"Very High")</f>
        <v>Medium</v>
      </c>
      <c r="N19" t="str">
        <f t="array" ref="N19">_xlfn.IFS(HR_Data[[#This Row],[Age]]&lt;25,"18-24",HR_Data[[#This Row],[Age]]&lt;35,"25-34",HR_Data[[#This Row],[Age]]&lt;45,"35-44",TRUE(),"45+")</f>
        <v>18-24</v>
      </c>
      <c r="O19">
        <f>YEAR(HR_Data[[#This Row],[Joining Date]])</f>
        <v>2016</v>
      </c>
      <c r="P19" t="str">
        <f>TEXT(HR_Data[[#This Row],[Joining Date]],"mmmm")</f>
        <v>August</v>
      </c>
      <c r="Q19">
        <f t="array" ref="Q1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9">
        <f>HR_Data[[#This Row],[Salary]]*HR_Data[[#This Row],[Bonus %]]</f>
        <v>4062.7000000000003</v>
      </c>
      <c r="S19">
        <f>HR_Data[[#This Row],[Salary]]+HR_Data[[#This Row],[Bonus Amount]]</f>
        <v>44689.7</v>
      </c>
      <c r="T19" t="str">
        <f>IF(HR_Data[[#This Row],[Attrition]]="Yes","Inactive","Active")</f>
        <v>Active</v>
      </c>
      <c r="U19" t="str">
        <f t="array" ref="U19">_xlfn.IFS(HR_Data[[#This Row],[Salary]]&gt;=100000,"A",HR_Data[[#This Row],[Salary]]&gt;=70000,"B",HR_Data[[#This Row],[Salary]]&gt;=50000,"C",TRUE(),"D")</f>
        <v>D</v>
      </c>
      <c r="V19" t="str">
        <f t="array" ref="V19">_xlfn.IFS(HR_Data[[#This Row],[Experience]]&gt;=15,"Expert",HR_Data[[#This Row],[Experience]]&gt;=8,"Senior",HR_Data[[#This Row],[Experience]]&gt;=3,"Mid-Level",TRUE(),"Junior")</f>
        <v>Mid-Level</v>
      </c>
    </row>
    <row r="20" spans="1:22" ht="14.25" customHeight="1" x14ac:dyDescent="0.3">
      <c r="A20" t="s">
        <v>101</v>
      </c>
      <c r="B20" t="s">
        <v>102</v>
      </c>
      <c r="C20" t="s">
        <v>32</v>
      </c>
      <c r="D20" t="s">
        <v>25</v>
      </c>
      <c r="E20">
        <v>52</v>
      </c>
      <c r="F20">
        <v>128498</v>
      </c>
      <c r="G20">
        <v>30</v>
      </c>
      <c r="H20" t="s">
        <v>103</v>
      </c>
      <c r="I20" t="s">
        <v>35</v>
      </c>
      <c r="J20" t="s">
        <v>28</v>
      </c>
      <c r="K20" t="s">
        <v>37</v>
      </c>
      <c r="L20" t="str">
        <f t="array" ref="L20">_xlfn.IFS(HR_Data[[#This Row],[Experience]]&lt;2,"0-2 Years",HR_Data[[#This Row],[Experience]]&lt;5,"2-5 Years",HR_Data[[#This Row],[Experience]]&lt;10,"5-10 Years",TRUE(),"10+ Years")</f>
        <v>10+ Years</v>
      </c>
      <c r="M20" t="str">
        <f t="array" ref="M20">_xlfn.IFS(HR_Data[[#This Row],[Salary]]&lt;40000,"Low",HR_Data[[#This Row],[Salary]]&lt;70000,"Medium",HR_Data[[#This Row],[Salary]]&lt;100000,"High",TRUE(),"Very High")</f>
        <v>Very High</v>
      </c>
      <c r="N20" t="str">
        <f t="array" ref="N20">_xlfn.IFS(HR_Data[[#This Row],[Age]]&lt;25,"18-24",HR_Data[[#This Row],[Age]]&lt;35,"25-34",HR_Data[[#This Row],[Age]]&lt;45,"35-44",TRUE(),"45+")</f>
        <v>45+</v>
      </c>
      <c r="O20">
        <f>YEAR(HR_Data[[#This Row],[Joining Date]])</f>
        <v>2024</v>
      </c>
      <c r="P20" t="str">
        <f>TEXT(HR_Data[[#This Row],[Joining Date]],"mmmm")</f>
        <v>February</v>
      </c>
      <c r="Q20">
        <f t="array" ref="Q20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0">
        <f>HR_Data[[#This Row],[Salary]]*HR_Data[[#This Row],[Bonus %]]</f>
        <v>19274.7</v>
      </c>
      <c r="S20">
        <f>HR_Data[[#This Row],[Salary]]+HR_Data[[#This Row],[Bonus Amount]]</f>
        <v>147772.70000000001</v>
      </c>
      <c r="T20" t="str">
        <f>IF(HR_Data[[#This Row],[Attrition]]="Yes","Inactive","Active")</f>
        <v>Inactive</v>
      </c>
      <c r="U20" t="str">
        <f t="array" ref="U20">_xlfn.IFS(HR_Data[[#This Row],[Salary]]&gt;=100000,"A",HR_Data[[#This Row],[Salary]]&gt;=70000,"B",HR_Data[[#This Row],[Salary]]&gt;=50000,"C",TRUE(),"D")</f>
        <v>A</v>
      </c>
      <c r="V20" t="str">
        <f t="array" ref="V20">_xlfn.IFS(HR_Data[[#This Row],[Experience]]&gt;=15,"Expert",HR_Data[[#This Row],[Experience]]&gt;=8,"Senior",HR_Data[[#This Row],[Experience]]&gt;=3,"Mid-Level",TRUE(),"Junior")</f>
        <v>Expert</v>
      </c>
    </row>
    <row r="21" spans="1:22" ht="14.25" customHeight="1" x14ac:dyDescent="0.3">
      <c r="A21" t="s">
        <v>104</v>
      </c>
      <c r="B21" t="s">
        <v>105</v>
      </c>
      <c r="C21" t="s">
        <v>60</v>
      </c>
      <c r="D21" t="s">
        <v>33</v>
      </c>
      <c r="E21">
        <v>32</v>
      </c>
      <c r="F21">
        <v>29824</v>
      </c>
      <c r="G21">
        <v>3</v>
      </c>
      <c r="H21" t="s">
        <v>106</v>
      </c>
      <c r="I21" t="s">
        <v>45</v>
      </c>
      <c r="J21" t="s">
        <v>36</v>
      </c>
      <c r="K21" t="s">
        <v>29</v>
      </c>
      <c r="L21" t="str">
        <f t="array" ref="L21">_xlfn.IFS(HR_Data[[#This Row],[Experience]]&lt;2,"0-2 Years",HR_Data[[#This Row],[Experience]]&lt;5,"2-5 Years",HR_Data[[#This Row],[Experience]]&lt;10,"5-10 Years",TRUE(),"10+ Years")</f>
        <v>2-5 Years</v>
      </c>
      <c r="M21" t="str">
        <f t="array" ref="M21">_xlfn.IFS(HR_Data[[#This Row],[Salary]]&lt;40000,"Low",HR_Data[[#This Row],[Salary]]&lt;70000,"Medium",HR_Data[[#This Row],[Salary]]&lt;100000,"High",TRUE(),"Very High")</f>
        <v>Low</v>
      </c>
      <c r="N21" t="str">
        <f t="array" ref="N21">_xlfn.IFS(HR_Data[[#This Row],[Age]]&lt;25,"18-24",HR_Data[[#This Row],[Age]]&lt;35,"25-34",HR_Data[[#This Row],[Age]]&lt;45,"35-44",TRUE(),"45+")</f>
        <v>25-34</v>
      </c>
      <c r="O21">
        <f>YEAR(HR_Data[[#This Row],[Joining Date]])</f>
        <v>2016</v>
      </c>
      <c r="P21" t="str">
        <f>TEXT(HR_Data[[#This Row],[Joining Date]],"mmmm")</f>
        <v>May</v>
      </c>
      <c r="Q21">
        <f t="array" ref="Q2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1">
        <f>HR_Data[[#This Row],[Salary]]*HR_Data[[#This Row],[Bonus %]]</f>
        <v>2982.4</v>
      </c>
      <c r="S21">
        <f>HR_Data[[#This Row],[Salary]]+HR_Data[[#This Row],[Bonus Amount]]</f>
        <v>32806.400000000001</v>
      </c>
      <c r="T21" t="str">
        <f>IF(HR_Data[[#This Row],[Attrition]]="Yes","Inactive","Active")</f>
        <v>Active</v>
      </c>
      <c r="U21" t="str">
        <f t="array" ref="U21">_xlfn.IFS(HR_Data[[#This Row],[Salary]]&gt;=100000,"A",HR_Data[[#This Row],[Salary]]&gt;=70000,"B",HR_Data[[#This Row],[Salary]]&gt;=50000,"C",TRUE(),"D")</f>
        <v>D</v>
      </c>
      <c r="V21" t="str">
        <f t="array" ref="V21">_xlfn.IFS(HR_Data[[#This Row],[Experience]]&gt;=15,"Expert",HR_Data[[#This Row],[Experience]]&gt;=8,"Senior",HR_Data[[#This Row],[Experience]]&gt;=3,"Mid-Level",TRUE(),"Junior")</f>
        <v>Mid-Level</v>
      </c>
    </row>
    <row r="22" spans="1:22" ht="14.25" customHeight="1" x14ac:dyDescent="0.3">
      <c r="A22" t="s">
        <v>107</v>
      </c>
      <c r="B22" t="s">
        <v>108</v>
      </c>
      <c r="C22" t="s">
        <v>75</v>
      </c>
      <c r="D22" t="s">
        <v>33</v>
      </c>
      <c r="E22">
        <v>49</v>
      </c>
      <c r="F22">
        <v>120424</v>
      </c>
      <c r="G22">
        <v>28</v>
      </c>
      <c r="H22" t="s">
        <v>109</v>
      </c>
      <c r="I22" t="s">
        <v>27</v>
      </c>
      <c r="J22" t="s">
        <v>28</v>
      </c>
      <c r="K22" t="s">
        <v>29</v>
      </c>
      <c r="L22" t="str">
        <f t="array" ref="L22">_xlfn.IFS(HR_Data[[#This Row],[Experience]]&lt;2,"0-2 Years",HR_Data[[#This Row],[Experience]]&lt;5,"2-5 Years",HR_Data[[#This Row],[Experience]]&lt;10,"5-10 Years",TRUE(),"10+ Years")</f>
        <v>10+ Years</v>
      </c>
      <c r="M22" t="str">
        <f t="array" ref="M22">_xlfn.IFS(HR_Data[[#This Row],[Salary]]&lt;40000,"Low",HR_Data[[#This Row],[Salary]]&lt;70000,"Medium",HR_Data[[#This Row],[Salary]]&lt;100000,"High",TRUE(),"Very High")</f>
        <v>Very High</v>
      </c>
      <c r="N22" t="str">
        <f t="array" ref="N22">_xlfn.IFS(HR_Data[[#This Row],[Age]]&lt;25,"18-24",HR_Data[[#This Row],[Age]]&lt;35,"25-34",HR_Data[[#This Row],[Age]]&lt;45,"35-44",TRUE(),"45+")</f>
        <v>45+</v>
      </c>
      <c r="O22">
        <f>YEAR(HR_Data[[#This Row],[Joining Date]])</f>
        <v>2019</v>
      </c>
      <c r="P22" t="str">
        <f>TEXT(HR_Data[[#This Row],[Joining Date]],"mmmm")</f>
        <v>February</v>
      </c>
      <c r="Q22">
        <f t="array" ref="Q22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2">
        <f>HR_Data[[#This Row],[Salary]]*HR_Data[[#This Row],[Bonus %]]</f>
        <v>18063.599999999999</v>
      </c>
      <c r="S22">
        <f>HR_Data[[#This Row],[Salary]]+HR_Data[[#This Row],[Bonus Amount]]</f>
        <v>138487.6</v>
      </c>
      <c r="T22" t="str">
        <f>IF(HR_Data[[#This Row],[Attrition]]="Yes","Inactive","Active")</f>
        <v>Active</v>
      </c>
      <c r="U22" t="str">
        <f t="array" ref="U22">_xlfn.IFS(HR_Data[[#This Row],[Salary]]&gt;=100000,"A",HR_Data[[#This Row],[Salary]]&gt;=70000,"B",HR_Data[[#This Row],[Salary]]&gt;=50000,"C",TRUE(),"D")</f>
        <v>A</v>
      </c>
      <c r="V22" t="str">
        <f t="array" ref="V22">_xlfn.IFS(HR_Data[[#This Row],[Experience]]&gt;=15,"Expert",HR_Data[[#This Row],[Experience]]&gt;=8,"Senior",HR_Data[[#This Row],[Experience]]&gt;=3,"Mid-Level",TRUE(),"Junior")</f>
        <v>Expert</v>
      </c>
    </row>
    <row r="23" spans="1:22" ht="14.25" customHeight="1" x14ac:dyDescent="0.3">
      <c r="A23" t="s">
        <v>110</v>
      </c>
      <c r="B23" t="s">
        <v>111</v>
      </c>
      <c r="C23" t="s">
        <v>112</v>
      </c>
      <c r="D23" t="s">
        <v>33</v>
      </c>
      <c r="E23">
        <v>53</v>
      </c>
      <c r="F23">
        <v>128856</v>
      </c>
      <c r="G23">
        <v>34</v>
      </c>
      <c r="H23" t="s">
        <v>113</v>
      </c>
      <c r="I23" t="s">
        <v>62</v>
      </c>
      <c r="J23" t="s">
        <v>28</v>
      </c>
      <c r="K23" t="s">
        <v>29</v>
      </c>
      <c r="L23" t="str">
        <f t="array" ref="L23">_xlfn.IFS(HR_Data[[#This Row],[Experience]]&lt;2,"0-2 Years",HR_Data[[#This Row],[Experience]]&lt;5,"2-5 Years",HR_Data[[#This Row],[Experience]]&lt;10,"5-10 Years",TRUE(),"10+ Years")</f>
        <v>10+ Years</v>
      </c>
      <c r="M23" t="str">
        <f t="array" ref="M23">_xlfn.IFS(HR_Data[[#This Row],[Salary]]&lt;40000,"Low",HR_Data[[#This Row],[Salary]]&lt;70000,"Medium",HR_Data[[#This Row],[Salary]]&lt;100000,"High",TRUE(),"Very High")</f>
        <v>Very High</v>
      </c>
      <c r="N23" t="str">
        <f t="array" ref="N23">_xlfn.IFS(HR_Data[[#This Row],[Age]]&lt;25,"18-24",HR_Data[[#This Row],[Age]]&lt;35,"25-34",HR_Data[[#This Row],[Age]]&lt;45,"35-44",TRUE(),"45+")</f>
        <v>45+</v>
      </c>
      <c r="O23">
        <f>YEAR(HR_Data[[#This Row],[Joining Date]])</f>
        <v>2020</v>
      </c>
      <c r="P23" t="str">
        <f>TEXT(HR_Data[[#This Row],[Joining Date]],"mmmm")</f>
        <v>April</v>
      </c>
      <c r="Q23">
        <f t="array" ref="Q2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3">
        <f>HR_Data[[#This Row],[Salary]]*HR_Data[[#This Row],[Bonus %]]</f>
        <v>19328.399999999998</v>
      </c>
      <c r="S23">
        <f>HR_Data[[#This Row],[Salary]]+HR_Data[[#This Row],[Bonus Amount]]</f>
        <v>148184.4</v>
      </c>
      <c r="T23" t="str">
        <f>IF(HR_Data[[#This Row],[Attrition]]="Yes","Inactive","Active")</f>
        <v>Active</v>
      </c>
      <c r="U23" t="str">
        <f t="array" ref="U23">_xlfn.IFS(HR_Data[[#This Row],[Salary]]&gt;=100000,"A",HR_Data[[#This Row],[Salary]]&gt;=70000,"B",HR_Data[[#This Row],[Salary]]&gt;=50000,"C",TRUE(),"D")</f>
        <v>A</v>
      </c>
      <c r="V23" t="str">
        <f t="array" ref="V23">_xlfn.IFS(HR_Data[[#This Row],[Experience]]&gt;=15,"Expert",HR_Data[[#This Row],[Experience]]&gt;=8,"Senior",HR_Data[[#This Row],[Experience]]&gt;=3,"Mid-Level",TRUE(),"Junior")</f>
        <v>Expert</v>
      </c>
    </row>
    <row r="24" spans="1:22" ht="14.25" customHeight="1" x14ac:dyDescent="0.3">
      <c r="A24" t="s">
        <v>114</v>
      </c>
      <c r="B24" t="s">
        <v>115</v>
      </c>
      <c r="C24" t="s">
        <v>70</v>
      </c>
      <c r="D24" t="s">
        <v>33</v>
      </c>
      <c r="E24">
        <v>25</v>
      </c>
      <c r="F24">
        <v>25690</v>
      </c>
      <c r="G24">
        <v>0</v>
      </c>
      <c r="H24" t="s">
        <v>116</v>
      </c>
      <c r="I24" t="s">
        <v>80</v>
      </c>
      <c r="J24" t="s">
        <v>28</v>
      </c>
      <c r="K24" t="s">
        <v>29</v>
      </c>
      <c r="L24" t="str">
        <f t="array" ref="L24">_xlfn.IFS(HR_Data[[#This Row],[Experience]]&lt;2,"0-2 Years",HR_Data[[#This Row],[Experience]]&lt;5,"2-5 Years",HR_Data[[#This Row],[Experience]]&lt;10,"5-10 Years",TRUE(),"10+ Years")</f>
        <v>0-2 Years</v>
      </c>
      <c r="M24" t="str">
        <f t="array" ref="M24">_xlfn.IFS(HR_Data[[#This Row],[Salary]]&lt;40000,"Low",HR_Data[[#This Row],[Salary]]&lt;70000,"Medium",HR_Data[[#This Row],[Salary]]&lt;100000,"High",TRUE(),"Very High")</f>
        <v>Low</v>
      </c>
      <c r="N24" t="str">
        <f t="array" ref="N24">_xlfn.IFS(HR_Data[[#This Row],[Age]]&lt;25,"18-24",HR_Data[[#This Row],[Age]]&lt;35,"25-34",HR_Data[[#This Row],[Age]]&lt;45,"35-44",TRUE(),"45+")</f>
        <v>25-34</v>
      </c>
      <c r="O24">
        <f>YEAR(HR_Data[[#This Row],[Joining Date]])</f>
        <v>2025</v>
      </c>
      <c r="P24" t="str">
        <f>TEXT(HR_Data[[#This Row],[Joining Date]],"mmmm")</f>
        <v>March</v>
      </c>
      <c r="Q24">
        <f t="array" ref="Q24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4">
        <f>HR_Data[[#This Row],[Salary]]*HR_Data[[#This Row],[Bonus %]]</f>
        <v>3853.5</v>
      </c>
      <c r="S24">
        <f>HR_Data[[#This Row],[Salary]]+HR_Data[[#This Row],[Bonus Amount]]</f>
        <v>29543.5</v>
      </c>
      <c r="T24" t="str">
        <f>IF(HR_Data[[#This Row],[Attrition]]="Yes","Inactive","Active")</f>
        <v>Active</v>
      </c>
      <c r="U24" t="str">
        <f t="array" ref="U24">_xlfn.IFS(HR_Data[[#This Row],[Salary]]&gt;=100000,"A",HR_Data[[#This Row],[Salary]]&gt;=70000,"B",HR_Data[[#This Row],[Salary]]&gt;=50000,"C",TRUE(),"D")</f>
        <v>D</v>
      </c>
      <c r="V24" t="str">
        <f t="array" ref="V24">_xlfn.IFS(HR_Data[[#This Row],[Experience]]&gt;=15,"Expert",HR_Data[[#This Row],[Experience]]&gt;=8,"Senior",HR_Data[[#This Row],[Experience]]&gt;=3,"Mid-Level",TRUE(),"Junior")</f>
        <v>Junior</v>
      </c>
    </row>
    <row r="25" spans="1:22" ht="14.25" customHeight="1" x14ac:dyDescent="0.3">
      <c r="A25" t="s">
        <v>117</v>
      </c>
      <c r="B25" t="s">
        <v>118</v>
      </c>
      <c r="C25" t="s">
        <v>75</v>
      </c>
      <c r="D25" t="s">
        <v>33</v>
      </c>
      <c r="E25">
        <v>32</v>
      </c>
      <c r="F25">
        <v>77578</v>
      </c>
      <c r="G25">
        <v>13</v>
      </c>
      <c r="H25" t="s">
        <v>119</v>
      </c>
      <c r="I25" t="s">
        <v>27</v>
      </c>
      <c r="J25" t="s">
        <v>36</v>
      </c>
      <c r="K25" t="s">
        <v>37</v>
      </c>
      <c r="L25" t="str">
        <f t="array" ref="L25">_xlfn.IFS(HR_Data[[#This Row],[Experience]]&lt;2,"0-2 Years",HR_Data[[#This Row],[Experience]]&lt;5,"2-5 Years",HR_Data[[#This Row],[Experience]]&lt;10,"5-10 Years",TRUE(),"10+ Years")</f>
        <v>10+ Years</v>
      </c>
      <c r="M25" t="str">
        <f t="array" ref="M25">_xlfn.IFS(HR_Data[[#This Row],[Salary]]&lt;40000,"Low",HR_Data[[#This Row],[Salary]]&lt;70000,"Medium",HR_Data[[#This Row],[Salary]]&lt;100000,"High",TRUE(),"Very High")</f>
        <v>High</v>
      </c>
      <c r="N25" t="str">
        <f t="array" ref="N25">_xlfn.IFS(HR_Data[[#This Row],[Age]]&lt;25,"18-24",HR_Data[[#This Row],[Age]]&lt;35,"25-34",HR_Data[[#This Row],[Age]]&lt;45,"35-44",TRUE(),"45+")</f>
        <v>25-34</v>
      </c>
      <c r="O25">
        <f>YEAR(HR_Data[[#This Row],[Joining Date]])</f>
        <v>2016</v>
      </c>
      <c r="P25" t="str">
        <f>TEXT(HR_Data[[#This Row],[Joining Date]],"mmmm")</f>
        <v>May</v>
      </c>
      <c r="Q25">
        <f t="array" ref="Q2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5">
        <f>HR_Data[[#This Row],[Salary]]*HR_Data[[#This Row],[Bonus %]]</f>
        <v>7757.8</v>
      </c>
      <c r="S25">
        <f>HR_Data[[#This Row],[Salary]]+HR_Data[[#This Row],[Bonus Amount]]</f>
        <v>85335.8</v>
      </c>
      <c r="T25" t="str">
        <f>IF(HR_Data[[#This Row],[Attrition]]="Yes","Inactive","Active")</f>
        <v>Inactive</v>
      </c>
      <c r="U25" t="str">
        <f t="array" ref="U25">_xlfn.IFS(HR_Data[[#This Row],[Salary]]&gt;=100000,"A",HR_Data[[#This Row],[Salary]]&gt;=70000,"B",HR_Data[[#This Row],[Salary]]&gt;=50000,"C",TRUE(),"D")</f>
        <v>B</v>
      </c>
      <c r="V25" t="str">
        <f t="array" ref="V25">_xlfn.IFS(HR_Data[[#This Row],[Experience]]&gt;=15,"Expert",HR_Data[[#This Row],[Experience]]&gt;=8,"Senior",HR_Data[[#This Row],[Experience]]&gt;=3,"Mid-Level",TRUE(),"Junior")</f>
        <v>Senior</v>
      </c>
    </row>
    <row r="26" spans="1:22" ht="14.25" customHeight="1" x14ac:dyDescent="0.3">
      <c r="A26" t="s">
        <v>120</v>
      </c>
      <c r="B26" t="s">
        <v>121</v>
      </c>
      <c r="C26" t="s">
        <v>40</v>
      </c>
      <c r="D26" t="s">
        <v>33</v>
      </c>
      <c r="E26">
        <v>52</v>
      </c>
      <c r="F26">
        <v>125489</v>
      </c>
      <c r="G26">
        <v>32</v>
      </c>
      <c r="H26" t="s">
        <v>122</v>
      </c>
      <c r="I26" t="s">
        <v>72</v>
      </c>
      <c r="J26" t="s">
        <v>36</v>
      </c>
      <c r="K26" t="s">
        <v>29</v>
      </c>
      <c r="L26" t="str">
        <f t="array" ref="L26">_xlfn.IFS(HR_Data[[#This Row],[Experience]]&lt;2,"0-2 Years",HR_Data[[#This Row],[Experience]]&lt;5,"2-5 Years",HR_Data[[#This Row],[Experience]]&lt;10,"5-10 Years",TRUE(),"10+ Years")</f>
        <v>10+ Years</v>
      </c>
      <c r="M26" t="str">
        <f t="array" ref="M26">_xlfn.IFS(HR_Data[[#This Row],[Salary]]&lt;40000,"Low",HR_Data[[#This Row],[Salary]]&lt;70000,"Medium",HR_Data[[#This Row],[Salary]]&lt;100000,"High",TRUE(),"Very High")</f>
        <v>Very High</v>
      </c>
      <c r="N26" t="str">
        <f t="array" ref="N26">_xlfn.IFS(HR_Data[[#This Row],[Age]]&lt;25,"18-24",HR_Data[[#This Row],[Age]]&lt;35,"25-34",HR_Data[[#This Row],[Age]]&lt;45,"35-44",TRUE(),"45+")</f>
        <v>45+</v>
      </c>
      <c r="O26">
        <f>YEAR(HR_Data[[#This Row],[Joining Date]])</f>
        <v>2016</v>
      </c>
      <c r="P26" t="str">
        <f>TEXT(HR_Data[[#This Row],[Joining Date]],"mmmm")</f>
        <v>July</v>
      </c>
      <c r="Q26">
        <f t="array" ref="Q2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6">
        <f>HR_Data[[#This Row],[Salary]]*HR_Data[[#This Row],[Bonus %]]</f>
        <v>12548.900000000001</v>
      </c>
      <c r="S26">
        <f>HR_Data[[#This Row],[Salary]]+HR_Data[[#This Row],[Bonus Amount]]</f>
        <v>138037.9</v>
      </c>
      <c r="T26" t="str">
        <f>IF(HR_Data[[#This Row],[Attrition]]="Yes","Inactive","Active")</f>
        <v>Active</v>
      </c>
      <c r="U26" t="str">
        <f t="array" ref="U26">_xlfn.IFS(HR_Data[[#This Row],[Salary]]&gt;=100000,"A",HR_Data[[#This Row],[Salary]]&gt;=70000,"B",HR_Data[[#This Row],[Salary]]&gt;=50000,"C",TRUE(),"D")</f>
        <v>A</v>
      </c>
      <c r="V26" t="str">
        <f t="array" ref="V26">_xlfn.IFS(HR_Data[[#This Row],[Experience]]&gt;=15,"Expert",HR_Data[[#This Row],[Experience]]&gt;=8,"Senior",HR_Data[[#This Row],[Experience]]&gt;=3,"Mid-Level",TRUE(),"Junior")</f>
        <v>Expert</v>
      </c>
    </row>
    <row r="27" spans="1:22" ht="14.25" customHeight="1" x14ac:dyDescent="0.3">
      <c r="A27" t="s">
        <v>123</v>
      </c>
      <c r="B27" t="s">
        <v>124</v>
      </c>
      <c r="C27" t="s">
        <v>60</v>
      </c>
      <c r="D27" t="s">
        <v>25</v>
      </c>
      <c r="E27">
        <v>30</v>
      </c>
      <c r="F27">
        <v>26086</v>
      </c>
      <c r="G27">
        <v>2</v>
      </c>
      <c r="H27" t="s">
        <v>125</v>
      </c>
      <c r="I27" t="s">
        <v>57</v>
      </c>
      <c r="J27" t="s">
        <v>36</v>
      </c>
      <c r="K27" t="s">
        <v>29</v>
      </c>
      <c r="L27" t="str">
        <f t="array" ref="L27">_xlfn.IFS(HR_Data[[#This Row],[Experience]]&lt;2,"0-2 Years",HR_Data[[#This Row],[Experience]]&lt;5,"2-5 Years",HR_Data[[#This Row],[Experience]]&lt;10,"5-10 Years",TRUE(),"10+ Years")</f>
        <v>2-5 Years</v>
      </c>
      <c r="M27" t="str">
        <f t="array" ref="M27">_xlfn.IFS(HR_Data[[#This Row],[Salary]]&lt;40000,"Low",HR_Data[[#This Row],[Salary]]&lt;70000,"Medium",HR_Data[[#This Row],[Salary]]&lt;100000,"High",TRUE(),"Very High")</f>
        <v>Low</v>
      </c>
      <c r="N27" t="str">
        <f t="array" ref="N27">_xlfn.IFS(HR_Data[[#This Row],[Age]]&lt;25,"18-24",HR_Data[[#This Row],[Age]]&lt;35,"25-34",HR_Data[[#This Row],[Age]]&lt;45,"35-44",TRUE(),"45+")</f>
        <v>25-34</v>
      </c>
      <c r="O27">
        <f>YEAR(HR_Data[[#This Row],[Joining Date]])</f>
        <v>2024</v>
      </c>
      <c r="P27" t="str">
        <f>TEXT(HR_Data[[#This Row],[Joining Date]],"mmmm")</f>
        <v>May</v>
      </c>
      <c r="Q27">
        <f t="array" ref="Q27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7">
        <f>HR_Data[[#This Row],[Salary]]*HR_Data[[#This Row],[Bonus %]]</f>
        <v>2608.6000000000004</v>
      </c>
      <c r="S27">
        <f>HR_Data[[#This Row],[Salary]]+HR_Data[[#This Row],[Bonus Amount]]</f>
        <v>28694.6</v>
      </c>
      <c r="T27" t="str">
        <f>IF(HR_Data[[#This Row],[Attrition]]="Yes","Inactive","Active")</f>
        <v>Active</v>
      </c>
      <c r="U27" t="str">
        <f t="array" ref="U27">_xlfn.IFS(HR_Data[[#This Row],[Salary]]&gt;=100000,"A",HR_Data[[#This Row],[Salary]]&gt;=70000,"B",HR_Data[[#This Row],[Salary]]&gt;=50000,"C",TRUE(),"D")</f>
        <v>D</v>
      </c>
      <c r="V27" t="str">
        <f t="array" ref="V27">_xlfn.IFS(HR_Data[[#This Row],[Experience]]&gt;=15,"Expert",HR_Data[[#This Row],[Experience]]&gt;=8,"Senior",HR_Data[[#This Row],[Experience]]&gt;=3,"Mid-Level",TRUE(),"Junior")</f>
        <v>Junior</v>
      </c>
    </row>
    <row r="28" spans="1:22" ht="14.25" customHeight="1" x14ac:dyDescent="0.3">
      <c r="A28" t="s">
        <v>126</v>
      </c>
      <c r="B28" t="s">
        <v>127</v>
      </c>
      <c r="C28" t="s">
        <v>93</v>
      </c>
      <c r="D28" t="s">
        <v>33</v>
      </c>
      <c r="E28">
        <v>41</v>
      </c>
      <c r="F28">
        <v>72488</v>
      </c>
      <c r="G28">
        <v>16</v>
      </c>
      <c r="H28" t="s">
        <v>128</v>
      </c>
      <c r="I28" t="s">
        <v>42</v>
      </c>
      <c r="J28" t="s">
        <v>36</v>
      </c>
      <c r="K28" t="s">
        <v>29</v>
      </c>
      <c r="L28" t="str">
        <f t="array" ref="L28">_xlfn.IFS(HR_Data[[#This Row],[Experience]]&lt;2,"0-2 Years",HR_Data[[#This Row],[Experience]]&lt;5,"2-5 Years",HR_Data[[#This Row],[Experience]]&lt;10,"5-10 Years",TRUE(),"10+ Years")</f>
        <v>10+ Years</v>
      </c>
      <c r="M28" t="str">
        <f t="array" ref="M28">_xlfn.IFS(HR_Data[[#This Row],[Salary]]&lt;40000,"Low",HR_Data[[#This Row],[Salary]]&lt;70000,"Medium",HR_Data[[#This Row],[Salary]]&lt;100000,"High",TRUE(),"Very High")</f>
        <v>High</v>
      </c>
      <c r="N28" t="str">
        <f t="array" ref="N28">_xlfn.IFS(HR_Data[[#This Row],[Age]]&lt;25,"18-24",HR_Data[[#This Row],[Age]]&lt;35,"25-34",HR_Data[[#This Row],[Age]]&lt;45,"35-44",TRUE(),"45+")</f>
        <v>35-44</v>
      </c>
      <c r="O28">
        <f>YEAR(HR_Data[[#This Row],[Joining Date]])</f>
        <v>2021</v>
      </c>
      <c r="P28" t="str">
        <f>TEXT(HR_Data[[#This Row],[Joining Date]],"mmmm")</f>
        <v>September</v>
      </c>
      <c r="Q28">
        <f t="array" ref="Q2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8">
        <f>HR_Data[[#This Row],[Salary]]*HR_Data[[#This Row],[Bonus %]]</f>
        <v>7248.8</v>
      </c>
      <c r="S28">
        <f>HR_Data[[#This Row],[Salary]]+HR_Data[[#This Row],[Bonus Amount]]</f>
        <v>79736.800000000003</v>
      </c>
      <c r="T28" t="str">
        <f>IF(HR_Data[[#This Row],[Attrition]]="Yes","Inactive","Active")</f>
        <v>Active</v>
      </c>
      <c r="U28" t="str">
        <f t="array" ref="U28">_xlfn.IFS(HR_Data[[#This Row],[Salary]]&gt;=100000,"A",HR_Data[[#This Row],[Salary]]&gt;=70000,"B",HR_Data[[#This Row],[Salary]]&gt;=50000,"C",TRUE(),"D")</f>
        <v>B</v>
      </c>
      <c r="V28" t="str">
        <f t="array" ref="V28">_xlfn.IFS(HR_Data[[#This Row],[Experience]]&gt;=15,"Expert",HR_Data[[#This Row],[Experience]]&gt;=8,"Senior",HR_Data[[#This Row],[Experience]]&gt;=3,"Mid-Level",TRUE(),"Junior")</f>
        <v>Expert</v>
      </c>
    </row>
    <row r="29" spans="1:22" ht="14.25" customHeight="1" x14ac:dyDescent="0.3">
      <c r="A29" t="s">
        <v>129</v>
      </c>
      <c r="B29" t="s">
        <v>130</v>
      </c>
      <c r="C29" t="s">
        <v>55</v>
      </c>
      <c r="D29" t="s">
        <v>25</v>
      </c>
      <c r="E29">
        <v>56</v>
      </c>
      <c r="F29">
        <v>142376</v>
      </c>
      <c r="G29">
        <v>34</v>
      </c>
      <c r="H29" t="s">
        <v>131</v>
      </c>
      <c r="I29" t="s">
        <v>132</v>
      </c>
      <c r="J29" t="s">
        <v>63</v>
      </c>
      <c r="K29" t="s">
        <v>29</v>
      </c>
      <c r="L29" t="str">
        <f t="array" ref="L29">_xlfn.IFS(HR_Data[[#This Row],[Experience]]&lt;2,"0-2 Years",HR_Data[[#This Row],[Experience]]&lt;5,"2-5 Years",HR_Data[[#This Row],[Experience]]&lt;10,"5-10 Years",TRUE(),"10+ Years")</f>
        <v>10+ Years</v>
      </c>
      <c r="M29" t="str">
        <f t="array" ref="M29">_xlfn.IFS(HR_Data[[#This Row],[Salary]]&lt;40000,"Low",HR_Data[[#This Row],[Salary]]&lt;70000,"Medium",HR_Data[[#This Row],[Salary]]&lt;100000,"High",TRUE(),"Very High")</f>
        <v>Very High</v>
      </c>
      <c r="N29" t="str">
        <f t="array" ref="N29">_xlfn.IFS(HR_Data[[#This Row],[Age]]&lt;25,"18-24",HR_Data[[#This Row],[Age]]&lt;35,"25-34",HR_Data[[#This Row],[Age]]&lt;45,"35-44",TRUE(),"45+")</f>
        <v>45+</v>
      </c>
      <c r="O29">
        <f>YEAR(HR_Data[[#This Row],[Joining Date]])</f>
        <v>2020</v>
      </c>
      <c r="P29" t="str">
        <f>TEXT(HR_Data[[#This Row],[Joining Date]],"mmmm")</f>
        <v>December</v>
      </c>
      <c r="Q29">
        <f t="array" ref="Q29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29">
        <f>HR_Data[[#This Row],[Salary]]*HR_Data[[#This Row],[Bonus %]]</f>
        <v>28475.200000000001</v>
      </c>
      <c r="S29">
        <f>HR_Data[[#This Row],[Salary]]+HR_Data[[#This Row],[Bonus Amount]]</f>
        <v>170851.20000000001</v>
      </c>
      <c r="T29" t="str">
        <f>IF(HR_Data[[#This Row],[Attrition]]="Yes","Inactive","Active")</f>
        <v>Active</v>
      </c>
      <c r="U29" t="str">
        <f t="array" ref="U29">_xlfn.IFS(HR_Data[[#This Row],[Salary]]&gt;=100000,"A",HR_Data[[#This Row],[Salary]]&gt;=70000,"B",HR_Data[[#This Row],[Salary]]&gt;=50000,"C",TRUE(),"D")</f>
        <v>A</v>
      </c>
      <c r="V29" t="str">
        <f t="array" ref="V29">_xlfn.IFS(HR_Data[[#This Row],[Experience]]&gt;=15,"Expert",HR_Data[[#This Row],[Experience]]&gt;=8,"Senior",HR_Data[[#This Row],[Experience]]&gt;=3,"Mid-Level",TRUE(),"Junior")</f>
        <v>Expert</v>
      </c>
    </row>
    <row r="30" spans="1:22" ht="14.25" customHeight="1" x14ac:dyDescent="0.3">
      <c r="A30" t="s">
        <v>133</v>
      </c>
      <c r="B30" t="s">
        <v>69</v>
      </c>
      <c r="C30" t="s">
        <v>134</v>
      </c>
      <c r="D30" t="s">
        <v>33</v>
      </c>
      <c r="E30">
        <v>55</v>
      </c>
      <c r="F30">
        <v>116512</v>
      </c>
      <c r="G30">
        <v>28</v>
      </c>
      <c r="H30" t="s">
        <v>135</v>
      </c>
      <c r="I30" t="s">
        <v>42</v>
      </c>
      <c r="J30" t="s">
        <v>36</v>
      </c>
      <c r="K30" t="s">
        <v>29</v>
      </c>
      <c r="L30" t="str">
        <f t="array" ref="L30">_xlfn.IFS(HR_Data[[#This Row],[Experience]]&lt;2,"0-2 Years",HR_Data[[#This Row],[Experience]]&lt;5,"2-5 Years",HR_Data[[#This Row],[Experience]]&lt;10,"5-10 Years",TRUE(),"10+ Years")</f>
        <v>10+ Years</v>
      </c>
      <c r="M30" t="str">
        <f t="array" ref="M30">_xlfn.IFS(HR_Data[[#This Row],[Salary]]&lt;40000,"Low",HR_Data[[#This Row],[Salary]]&lt;70000,"Medium",HR_Data[[#This Row],[Salary]]&lt;100000,"High",TRUE(),"Very High")</f>
        <v>Very High</v>
      </c>
      <c r="N30" t="str">
        <f t="array" ref="N30">_xlfn.IFS(HR_Data[[#This Row],[Age]]&lt;25,"18-24",HR_Data[[#This Row],[Age]]&lt;35,"25-34",HR_Data[[#This Row],[Age]]&lt;45,"35-44",TRUE(),"45+")</f>
        <v>45+</v>
      </c>
      <c r="O30">
        <f>YEAR(HR_Data[[#This Row],[Joining Date]])</f>
        <v>2015</v>
      </c>
      <c r="P30" t="str">
        <f>TEXT(HR_Data[[#This Row],[Joining Date]],"mmmm")</f>
        <v>March</v>
      </c>
      <c r="Q30">
        <f t="array" ref="Q3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0">
        <f>HR_Data[[#This Row],[Salary]]*HR_Data[[#This Row],[Bonus %]]</f>
        <v>11651.2</v>
      </c>
      <c r="S30">
        <f>HR_Data[[#This Row],[Salary]]+HR_Data[[#This Row],[Bonus Amount]]</f>
        <v>128163.2</v>
      </c>
      <c r="T30" t="str">
        <f>IF(HR_Data[[#This Row],[Attrition]]="Yes","Inactive","Active")</f>
        <v>Active</v>
      </c>
      <c r="U30" t="str">
        <f t="array" ref="U30">_xlfn.IFS(HR_Data[[#This Row],[Salary]]&gt;=100000,"A",HR_Data[[#This Row],[Salary]]&gt;=70000,"B",HR_Data[[#This Row],[Salary]]&gt;=50000,"C",TRUE(),"D")</f>
        <v>A</v>
      </c>
      <c r="V30" t="str">
        <f t="array" ref="V30">_xlfn.IFS(HR_Data[[#This Row],[Experience]]&gt;=15,"Expert",HR_Data[[#This Row],[Experience]]&gt;=8,"Senior",HR_Data[[#This Row],[Experience]]&gt;=3,"Mid-Level",TRUE(),"Junior")</f>
        <v>Expert</v>
      </c>
    </row>
    <row r="31" spans="1:22" ht="14.25" customHeight="1" x14ac:dyDescent="0.3">
      <c r="A31" t="s">
        <v>136</v>
      </c>
      <c r="B31" t="s">
        <v>137</v>
      </c>
      <c r="C31" t="s">
        <v>75</v>
      </c>
      <c r="D31" t="s">
        <v>25</v>
      </c>
      <c r="E31">
        <v>56</v>
      </c>
      <c r="F31">
        <v>137924</v>
      </c>
      <c r="G31">
        <v>35</v>
      </c>
      <c r="H31" t="s">
        <v>138</v>
      </c>
      <c r="I31" t="s">
        <v>80</v>
      </c>
      <c r="J31" t="s">
        <v>36</v>
      </c>
      <c r="K31" t="s">
        <v>29</v>
      </c>
      <c r="L31" t="str">
        <f t="array" ref="L31">_xlfn.IFS(HR_Data[[#This Row],[Experience]]&lt;2,"0-2 Years",HR_Data[[#This Row],[Experience]]&lt;5,"2-5 Years",HR_Data[[#This Row],[Experience]]&lt;10,"5-10 Years",TRUE(),"10+ Years")</f>
        <v>10+ Years</v>
      </c>
      <c r="M31" t="str">
        <f t="array" ref="M31">_xlfn.IFS(HR_Data[[#This Row],[Salary]]&lt;40000,"Low",HR_Data[[#This Row],[Salary]]&lt;70000,"Medium",HR_Data[[#This Row],[Salary]]&lt;100000,"High",TRUE(),"Very High")</f>
        <v>Very High</v>
      </c>
      <c r="N31" t="str">
        <f t="array" ref="N31">_xlfn.IFS(HR_Data[[#This Row],[Age]]&lt;25,"18-24",HR_Data[[#This Row],[Age]]&lt;35,"25-34",HR_Data[[#This Row],[Age]]&lt;45,"35-44",TRUE(),"45+")</f>
        <v>45+</v>
      </c>
      <c r="O31">
        <f>YEAR(HR_Data[[#This Row],[Joining Date]])</f>
        <v>2021</v>
      </c>
      <c r="P31" t="str">
        <f>TEXT(HR_Data[[#This Row],[Joining Date]],"mmmm")</f>
        <v>April</v>
      </c>
      <c r="Q31">
        <f t="array" ref="Q3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1">
        <f>HR_Data[[#This Row],[Salary]]*HR_Data[[#This Row],[Bonus %]]</f>
        <v>13792.400000000001</v>
      </c>
      <c r="S31">
        <f>HR_Data[[#This Row],[Salary]]+HR_Data[[#This Row],[Bonus Amount]]</f>
        <v>151716.4</v>
      </c>
      <c r="T31" t="str">
        <f>IF(HR_Data[[#This Row],[Attrition]]="Yes","Inactive","Active")</f>
        <v>Active</v>
      </c>
      <c r="U31" t="str">
        <f t="array" ref="U31">_xlfn.IFS(HR_Data[[#This Row],[Salary]]&gt;=100000,"A",HR_Data[[#This Row],[Salary]]&gt;=70000,"B",HR_Data[[#This Row],[Salary]]&gt;=50000,"C",TRUE(),"D")</f>
        <v>A</v>
      </c>
      <c r="V31" t="str">
        <f t="array" ref="V31">_xlfn.IFS(HR_Data[[#This Row],[Experience]]&gt;=15,"Expert",HR_Data[[#This Row],[Experience]]&gt;=8,"Senior",HR_Data[[#This Row],[Experience]]&gt;=3,"Mid-Level",TRUE(),"Junior")</f>
        <v>Expert</v>
      </c>
    </row>
    <row r="32" spans="1:22" ht="14.25" customHeight="1" x14ac:dyDescent="0.3">
      <c r="A32" t="s">
        <v>139</v>
      </c>
      <c r="B32" t="s">
        <v>140</v>
      </c>
      <c r="C32" t="s">
        <v>70</v>
      </c>
      <c r="D32" t="s">
        <v>25</v>
      </c>
      <c r="E32">
        <v>23</v>
      </c>
      <c r="F32">
        <v>40479</v>
      </c>
      <c r="G32">
        <v>3</v>
      </c>
      <c r="H32" t="s">
        <v>141</v>
      </c>
      <c r="I32" t="s">
        <v>45</v>
      </c>
      <c r="J32" t="s">
        <v>63</v>
      </c>
      <c r="K32" t="s">
        <v>29</v>
      </c>
      <c r="L32" t="str">
        <f t="array" ref="L32">_xlfn.IFS(HR_Data[[#This Row],[Experience]]&lt;2,"0-2 Years",HR_Data[[#This Row],[Experience]]&lt;5,"2-5 Years",HR_Data[[#This Row],[Experience]]&lt;10,"5-10 Years",TRUE(),"10+ Years")</f>
        <v>2-5 Years</v>
      </c>
      <c r="M32" t="str">
        <f t="array" ref="M32">_xlfn.IFS(HR_Data[[#This Row],[Salary]]&lt;40000,"Low",HR_Data[[#This Row],[Salary]]&lt;70000,"Medium",HR_Data[[#This Row],[Salary]]&lt;100000,"High",TRUE(),"Very High")</f>
        <v>Medium</v>
      </c>
      <c r="N32" t="str">
        <f t="array" ref="N32">_xlfn.IFS(HR_Data[[#This Row],[Age]]&lt;25,"18-24",HR_Data[[#This Row],[Age]]&lt;35,"25-34",HR_Data[[#This Row],[Age]]&lt;45,"35-44",TRUE(),"45+")</f>
        <v>18-24</v>
      </c>
      <c r="O32">
        <f>YEAR(HR_Data[[#This Row],[Joining Date]])</f>
        <v>2021</v>
      </c>
      <c r="P32" t="str">
        <f>TEXT(HR_Data[[#This Row],[Joining Date]],"mmmm")</f>
        <v>March</v>
      </c>
      <c r="Q32">
        <f t="array" ref="Q32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32">
        <f>HR_Data[[#This Row],[Salary]]*HR_Data[[#This Row],[Bonus %]]</f>
        <v>8095.8</v>
      </c>
      <c r="S32">
        <f>HR_Data[[#This Row],[Salary]]+HR_Data[[#This Row],[Bonus Amount]]</f>
        <v>48574.8</v>
      </c>
      <c r="T32" t="str">
        <f>IF(HR_Data[[#This Row],[Attrition]]="Yes","Inactive","Active")</f>
        <v>Active</v>
      </c>
      <c r="U32" t="str">
        <f t="array" ref="U32">_xlfn.IFS(HR_Data[[#This Row],[Salary]]&gt;=100000,"A",HR_Data[[#This Row],[Salary]]&gt;=70000,"B",HR_Data[[#This Row],[Salary]]&gt;=50000,"C",TRUE(),"D")</f>
        <v>D</v>
      </c>
      <c r="V32" t="str">
        <f t="array" ref="V32">_xlfn.IFS(HR_Data[[#This Row],[Experience]]&gt;=15,"Expert",HR_Data[[#This Row],[Experience]]&gt;=8,"Senior",HR_Data[[#This Row],[Experience]]&gt;=3,"Mid-Level",TRUE(),"Junior")</f>
        <v>Mid-Level</v>
      </c>
    </row>
    <row r="33" spans="1:22" ht="14.25" customHeight="1" x14ac:dyDescent="0.3">
      <c r="A33" t="s">
        <v>142</v>
      </c>
      <c r="B33" t="s">
        <v>143</v>
      </c>
      <c r="C33" t="s">
        <v>112</v>
      </c>
      <c r="D33" t="s">
        <v>25</v>
      </c>
      <c r="E33">
        <v>54</v>
      </c>
      <c r="F33">
        <v>103716</v>
      </c>
      <c r="G33">
        <v>27</v>
      </c>
      <c r="H33" t="s">
        <v>144</v>
      </c>
      <c r="I33" t="s">
        <v>72</v>
      </c>
      <c r="J33" t="s">
        <v>63</v>
      </c>
      <c r="K33" t="s">
        <v>29</v>
      </c>
      <c r="L33" t="str">
        <f t="array" ref="L33">_xlfn.IFS(HR_Data[[#This Row],[Experience]]&lt;2,"0-2 Years",HR_Data[[#This Row],[Experience]]&lt;5,"2-5 Years",HR_Data[[#This Row],[Experience]]&lt;10,"5-10 Years",TRUE(),"10+ Years")</f>
        <v>10+ Years</v>
      </c>
      <c r="M33" t="str">
        <f t="array" ref="M33">_xlfn.IFS(HR_Data[[#This Row],[Salary]]&lt;40000,"Low",HR_Data[[#This Row],[Salary]]&lt;70000,"Medium",HR_Data[[#This Row],[Salary]]&lt;100000,"High",TRUE(),"Very High")</f>
        <v>Very High</v>
      </c>
      <c r="N33" t="str">
        <f t="array" ref="N33">_xlfn.IFS(HR_Data[[#This Row],[Age]]&lt;25,"18-24",HR_Data[[#This Row],[Age]]&lt;35,"25-34",HR_Data[[#This Row],[Age]]&lt;45,"35-44",TRUE(),"45+")</f>
        <v>45+</v>
      </c>
      <c r="O33">
        <f>YEAR(HR_Data[[#This Row],[Joining Date]])</f>
        <v>2017</v>
      </c>
      <c r="P33" t="str">
        <f>TEXT(HR_Data[[#This Row],[Joining Date]],"mmmm")</f>
        <v>July</v>
      </c>
      <c r="Q33">
        <f t="array" ref="Q33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33">
        <f>HR_Data[[#This Row],[Salary]]*HR_Data[[#This Row],[Bonus %]]</f>
        <v>20743.2</v>
      </c>
      <c r="S33">
        <f>HR_Data[[#This Row],[Salary]]+HR_Data[[#This Row],[Bonus Amount]]</f>
        <v>124459.2</v>
      </c>
      <c r="T33" t="str">
        <f>IF(HR_Data[[#This Row],[Attrition]]="Yes","Inactive","Active")</f>
        <v>Active</v>
      </c>
      <c r="U33" t="str">
        <f t="array" ref="U33">_xlfn.IFS(HR_Data[[#This Row],[Salary]]&gt;=100000,"A",HR_Data[[#This Row],[Salary]]&gt;=70000,"B",HR_Data[[#This Row],[Salary]]&gt;=50000,"C",TRUE(),"D")</f>
        <v>A</v>
      </c>
      <c r="V33" t="str">
        <f t="array" ref="V33">_xlfn.IFS(HR_Data[[#This Row],[Experience]]&gt;=15,"Expert",HR_Data[[#This Row],[Experience]]&gt;=8,"Senior",HR_Data[[#This Row],[Experience]]&gt;=3,"Mid-Level",TRUE(),"Junior")</f>
        <v>Expert</v>
      </c>
    </row>
    <row r="34" spans="1:22" ht="14.25" customHeight="1" x14ac:dyDescent="0.3">
      <c r="A34" t="s">
        <v>145</v>
      </c>
      <c r="B34" t="s">
        <v>146</v>
      </c>
      <c r="C34" t="s">
        <v>60</v>
      </c>
      <c r="D34" t="s">
        <v>33</v>
      </c>
      <c r="E34">
        <v>56</v>
      </c>
      <c r="F34">
        <v>143083</v>
      </c>
      <c r="G34">
        <v>35</v>
      </c>
      <c r="H34" t="s">
        <v>147</v>
      </c>
      <c r="I34" t="s">
        <v>42</v>
      </c>
      <c r="J34" t="s">
        <v>63</v>
      </c>
      <c r="K34" t="s">
        <v>29</v>
      </c>
      <c r="L34" t="str">
        <f t="array" ref="L34">_xlfn.IFS(HR_Data[[#This Row],[Experience]]&lt;2,"0-2 Years",HR_Data[[#This Row],[Experience]]&lt;5,"2-5 Years",HR_Data[[#This Row],[Experience]]&lt;10,"5-10 Years",TRUE(),"10+ Years")</f>
        <v>10+ Years</v>
      </c>
      <c r="M34" t="str">
        <f t="array" ref="M34">_xlfn.IFS(HR_Data[[#This Row],[Salary]]&lt;40000,"Low",HR_Data[[#This Row],[Salary]]&lt;70000,"Medium",HR_Data[[#This Row],[Salary]]&lt;100000,"High",TRUE(),"Very High")</f>
        <v>Very High</v>
      </c>
      <c r="N34" t="str">
        <f t="array" ref="N34">_xlfn.IFS(HR_Data[[#This Row],[Age]]&lt;25,"18-24",HR_Data[[#This Row],[Age]]&lt;35,"25-34",HR_Data[[#This Row],[Age]]&lt;45,"35-44",TRUE(),"45+")</f>
        <v>45+</v>
      </c>
      <c r="O34">
        <f>YEAR(HR_Data[[#This Row],[Joining Date]])</f>
        <v>2017</v>
      </c>
      <c r="P34" t="str">
        <f>TEXT(HR_Data[[#This Row],[Joining Date]],"mmmm")</f>
        <v>November</v>
      </c>
      <c r="Q34">
        <f t="array" ref="Q34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34">
        <f>HR_Data[[#This Row],[Salary]]*HR_Data[[#This Row],[Bonus %]]</f>
        <v>28616.600000000002</v>
      </c>
      <c r="S34">
        <f>HR_Data[[#This Row],[Salary]]+HR_Data[[#This Row],[Bonus Amount]]</f>
        <v>171699.6</v>
      </c>
      <c r="T34" t="str">
        <f>IF(HR_Data[[#This Row],[Attrition]]="Yes","Inactive","Active")</f>
        <v>Active</v>
      </c>
      <c r="U34" t="str">
        <f t="array" ref="U34">_xlfn.IFS(HR_Data[[#This Row],[Salary]]&gt;=100000,"A",HR_Data[[#This Row],[Salary]]&gt;=70000,"B",HR_Data[[#This Row],[Salary]]&gt;=50000,"C",TRUE(),"D")</f>
        <v>A</v>
      </c>
      <c r="V34" t="str">
        <f t="array" ref="V34">_xlfn.IFS(HR_Data[[#This Row],[Experience]]&gt;=15,"Expert",HR_Data[[#This Row],[Experience]]&gt;=8,"Senior",HR_Data[[#This Row],[Experience]]&gt;=3,"Mid-Level",TRUE(),"Junior")</f>
        <v>Expert</v>
      </c>
    </row>
    <row r="35" spans="1:22" ht="14.25" customHeight="1" x14ac:dyDescent="0.3">
      <c r="A35" t="s">
        <v>148</v>
      </c>
      <c r="B35" t="s">
        <v>149</v>
      </c>
      <c r="C35" t="s">
        <v>32</v>
      </c>
      <c r="D35" t="s">
        <v>33</v>
      </c>
      <c r="E35">
        <v>49</v>
      </c>
      <c r="F35">
        <v>100716</v>
      </c>
      <c r="G35">
        <v>22</v>
      </c>
      <c r="H35" t="s">
        <v>150</v>
      </c>
      <c r="I35" t="s">
        <v>132</v>
      </c>
      <c r="J35" t="s">
        <v>46</v>
      </c>
      <c r="K35" t="s">
        <v>29</v>
      </c>
      <c r="L35" t="str">
        <f t="array" ref="L35">_xlfn.IFS(HR_Data[[#This Row],[Experience]]&lt;2,"0-2 Years",HR_Data[[#This Row],[Experience]]&lt;5,"2-5 Years",HR_Data[[#This Row],[Experience]]&lt;10,"5-10 Years",TRUE(),"10+ Years")</f>
        <v>10+ Years</v>
      </c>
      <c r="M35" t="str">
        <f t="array" ref="M35">_xlfn.IFS(HR_Data[[#This Row],[Salary]]&lt;40000,"Low",HR_Data[[#This Row],[Salary]]&lt;70000,"Medium",HR_Data[[#This Row],[Salary]]&lt;100000,"High",TRUE(),"Very High")</f>
        <v>Very High</v>
      </c>
      <c r="N35" t="str">
        <f t="array" ref="N35">_xlfn.IFS(HR_Data[[#This Row],[Age]]&lt;25,"18-24",HR_Data[[#This Row],[Age]]&lt;35,"25-34",HR_Data[[#This Row],[Age]]&lt;45,"35-44",TRUE(),"45+")</f>
        <v>45+</v>
      </c>
      <c r="O35">
        <f>YEAR(HR_Data[[#This Row],[Joining Date]])</f>
        <v>2018</v>
      </c>
      <c r="P35" t="str">
        <f>TEXT(HR_Data[[#This Row],[Joining Date]],"mmmm")</f>
        <v>June</v>
      </c>
      <c r="Q35">
        <f t="array" ref="Q35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35">
        <f>HR_Data[[#This Row],[Salary]]*HR_Data[[#This Row],[Bonus %]]</f>
        <v>5035.8</v>
      </c>
      <c r="S35">
        <f>HR_Data[[#This Row],[Salary]]+HR_Data[[#This Row],[Bonus Amount]]</f>
        <v>105751.8</v>
      </c>
      <c r="T35" t="str">
        <f>IF(HR_Data[[#This Row],[Attrition]]="Yes","Inactive","Active")</f>
        <v>Active</v>
      </c>
      <c r="U35" t="str">
        <f t="array" ref="U35">_xlfn.IFS(HR_Data[[#This Row],[Salary]]&gt;=100000,"A",HR_Data[[#This Row],[Salary]]&gt;=70000,"B",HR_Data[[#This Row],[Salary]]&gt;=50000,"C",TRUE(),"D")</f>
        <v>A</v>
      </c>
      <c r="V35" t="str">
        <f t="array" ref="V35">_xlfn.IFS(HR_Data[[#This Row],[Experience]]&gt;=15,"Expert",HR_Data[[#This Row],[Experience]]&gt;=8,"Senior",HR_Data[[#This Row],[Experience]]&gt;=3,"Mid-Level",TRUE(),"Junior")</f>
        <v>Expert</v>
      </c>
    </row>
    <row r="36" spans="1:22" ht="14.25" customHeight="1" x14ac:dyDescent="0.3">
      <c r="A36" t="s">
        <v>151</v>
      </c>
      <c r="B36" t="s">
        <v>152</v>
      </c>
      <c r="C36" t="s">
        <v>93</v>
      </c>
      <c r="D36" t="s">
        <v>33</v>
      </c>
      <c r="E36">
        <v>46</v>
      </c>
      <c r="F36">
        <v>92331</v>
      </c>
      <c r="G36">
        <v>21</v>
      </c>
      <c r="H36" t="s">
        <v>153</v>
      </c>
      <c r="I36" t="s">
        <v>57</v>
      </c>
      <c r="J36" t="s">
        <v>28</v>
      </c>
      <c r="K36" t="s">
        <v>29</v>
      </c>
      <c r="L36" t="str">
        <f t="array" ref="L36">_xlfn.IFS(HR_Data[[#This Row],[Experience]]&lt;2,"0-2 Years",HR_Data[[#This Row],[Experience]]&lt;5,"2-5 Years",HR_Data[[#This Row],[Experience]]&lt;10,"5-10 Years",TRUE(),"10+ Years")</f>
        <v>10+ Years</v>
      </c>
      <c r="M36" t="str">
        <f t="array" ref="M36">_xlfn.IFS(HR_Data[[#This Row],[Salary]]&lt;40000,"Low",HR_Data[[#This Row],[Salary]]&lt;70000,"Medium",HR_Data[[#This Row],[Salary]]&lt;100000,"High",TRUE(),"Very High")</f>
        <v>High</v>
      </c>
      <c r="N36" t="str">
        <f t="array" ref="N36">_xlfn.IFS(HR_Data[[#This Row],[Age]]&lt;25,"18-24",HR_Data[[#This Row],[Age]]&lt;35,"25-34",HR_Data[[#This Row],[Age]]&lt;45,"35-44",TRUE(),"45+")</f>
        <v>45+</v>
      </c>
      <c r="O36">
        <f>YEAR(HR_Data[[#This Row],[Joining Date]])</f>
        <v>2020</v>
      </c>
      <c r="P36" t="str">
        <f>TEXT(HR_Data[[#This Row],[Joining Date]],"mmmm")</f>
        <v>December</v>
      </c>
      <c r="Q36">
        <f t="array" ref="Q36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6">
        <f>HR_Data[[#This Row],[Salary]]*HR_Data[[#This Row],[Bonus %]]</f>
        <v>13849.65</v>
      </c>
      <c r="S36">
        <f>HR_Data[[#This Row],[Salary]]+HR_Data[[#This Row],[Bonus Amount]]</f>
        <v>106180.65</v>
      </c>
      <c r="T36" t="str">
        <f>IF(HR_Data[[#This Row],[Attrition]]="Yes","Inactive","Active")</f>
        <v>Active</v>
      </c>
      <c r="U36" t="str">
        <f t="array" ref="U36">_xlfn.IFS(HR_Data[[#This Row],[Salary]]&gt;=100000,"A",HR_Data[[#This Row],[Salary]]&gt;=70000,"B",HR_Data[[#This Row],[Salary]]&gt;=50000,"C",TRUE(),"D")</f>
        <v>B</v>
      </c>
      <c r="V36" t="str">
        <f t="array" ref="V36">_xlfn.IFS(HR_Data[[#This Row],[Experience]]&gt;=15,"Expert",HR_Data[[#This Row],[Experience]]&gt;=8,"Senior",HR_Data[[#This Row],[Experience]]&gt;=3,"Mid-Level",TRUE(),"Junior")</f>
        <v>Expert</v>
      </c>
    </row>
    <row r="37" spans="1:22" ht="14.25" customHeight="1" x14ac:dyDescent="0.3">
      <c r="A37" t="s">
        <v>154</v>
      </c>
      <c r="B37" t="s">
        <v>155</v>
      </c>
      <c r="C37" t="s">
        <v>134</v>
      </c>
      <c r="D37" t="s">
        <v>33</v>
      </c>
      <c r="E37">
        <v>53</v>
      </c>
      <c r="F37">
        <v>119800</v>
      </c>
      <c r="G37">
        <v>29</v>
      </c>
      <c r="H37" t="s">
        <v>156</v>
      </c>
      <c r="I37" t="s">
        <v>80</v>
      </c>
      <c r="J37" t="s">
        <v>28</v>
      </c>
      <c r="K37" t="s">
        <v>29</v>
      </c>
      <c r="L37" t="str">
        <f t="array" ref="L37">_xlfn.IFS(HR_Data[[#This Row],[Experience]]&lt;2,"0-2 Years",HR_Data[[#This Row],[Experience]]&lt;5,"2-5 Years",HR_Data[[#This Row],[Experience]]&lt;10,"5-10 Years",TRUE(),"10+ Years")</f>
        <v>10+ Years</v>
      </c>
      <c r="M37" t="str">
        <f t="array" ref="M37">_xlfn.IFS(HR_Data[[#This Row],[Salary]]&lt;40000,"Low",HR_Data[[#This Row],[Salary]]&lt;70000,"Medium",HR_Data[[#This Row],[Salary]]&lt;100000,"High",TRUE(),"Very High")</f>
        <v>Very High</v>
      </c>
      <c r="N37" t="str">
        <f t="array" ref="N37">_xlfn.IFS(HR_Data[[#This Row],[Age]]&lt;25,"18-24",HR_Data[[#This Row],[Age]]&lt;35,"25-34",HR_Data[[#This Row],[Age]]&lt;45,"35-44",TRUE(),"45+")</f>
        <v>45+</v>
      </c>
      <c r="O37">
        <f>YEAR(HR_Data[[#This Row],[Joining Date]])</f>
        <v>2020</v>
      </c>
      <c r="P37" t="str">
        <f>TEXT(HR_Data[[#This Row],[Joining Date]],"mmmm")</f>
        <v>February</v>
      </c>
      <c r="Q37">
        <f t="array" ref="Q3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7">
        <f>HR_Data[[#This Row],[Salary]]*HR_Data[[#This Row],[Bonus %]]</f>
        <v>17970</v>
      </c>
      <c r="S37">
        <f>HR_Data[[#This Row],[Salary]]+HR_Data[[#This Row],[Bonus Amount]]</f>
        <v>137770</v>
      </c>
      <c r="T37" t="str">
        <f>IF(HR_Data[[#This Row],[Attrition]]="Yes","Inactive","Active")</f>
        <v>Active</v>
      </c>
      <c r="U37" t="str">
        <f t="array" ref="U37">_xlfn.IFS(HR_Data[[#This Row],[Salary]]&gt;=100000,"A",HR_Data[[#This Row],[Salary]]&gt;=70000,"B",HR_Data[[#This Row],[Salary]]&gt;=50000,"C",TRUE(),"D")</f>
        <v>A</v>
      </c>
      <c r="V37" t="str">
        <f t="array" ref="V37">_xlfn.IFS(HR_Data[[#This Row],[Experience]]&gt;=15,"Expert",HR_Data[[#This Row],[Experience]]&gt;=8,"Senior",HR_Data[[#This Row],[Experience]]&gt;=3,"Mid-Level",TRUE(),"Junior")</f>
        <v>Expert</v>
      </c>
    </row>
    <row r="38" spans="1:22" ht="14.25" customHeight="1" x14ac:dyDescent="0.3">
      <c r="A38" t="s">
        <v>157</v>
      </c>
      <c r="B38" t="s">
        <v>158</v>
      </c>
      <c r="C38" t="s">
        <v>40</v>
      </c>
      <c r="D38" t="s">
        <v>25</v>
      </c>
      <c r="E38">
        <v>51</v>
      </c>
      <c r="F38">
        <v>104092</v>
      </c>
      <c r="G38">
        <v>22</v>
      </c>
      <c r="H38" t="s">
        <v>159</v>
      </c>
      <c r="I38" t="s">
        <v>132</v>
      </c>
      <c r="J38" t="s">
        <v>36</v>
      </c>
      <c r="K38" t="s">
        <v>29</v>
      </c>
      <c r="L38" t="str">
        <f t="array" ref="L38">_xlfn.IFS(HR_Data[[#This Row],[Experience]]&lt;2,"0-2 Years",HR_Data[[#This Row],[Experience]]&lt;5,"2-5 Years",HR_Data[[#This Row],[Experience]]&lt;10,"5-10 Years",TRUE(),"10+ Years")</f>
        <v>10+ Years</v>
      </c>
      <c r="M38" t="str">
        <f t="array" ref="M38">_xlfn.IFS(HR_Data[[#This Row],[Salary]]&lt;40000,"Low",HR_Data[[#This Row],[Salary]]&lt;70000,"Medium",HR_Data[[#This Row],[Salary]]&lt;100000,"High",TRUE(),"Very High")</f>
        <v>Very High</v>
      </c>
      <c r="N38" t="str">
        <f t="array" ref="N38">_xlfn.IFS(HR_Data[[#This Row],[Age]]&lt;25,"18-24",HR_Data[[#This Row],[Age]]&lt;35,"25-34",HR_Data[[#This Row],[Age]]&lt;45,"35-44",TRUE(),"45+")</f>
        <v>45+</v>
      </c>
      <c r="O38">
        <f>YEAR(HR_Data[[#This Row],[Joining Date]])</f>
        <v>2023</v>
      </c>
      <c r="P38" t="str">
        <f>TEXT(HR_Data[[#This Row],[Joining Date]],"mmmm")</f>
        <v>December</v>
      </c>
      <c r="Q38">
        <f t="array" ref="Q3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8">
        <f>HR_Data[[#This Row],[Salary]]*HR_Data[[#This Row],[Bonus %]]</f>
        <v>10409.200000000001</v>
      </c>
      <c r="S38">
        <f>HR_Data[[#This Row],[Salary]]+HR_Data[[#This Row],[Bonus Amount]]</f>
        <v>114501.2</v>
      </c>
      <c r="T38" t="str">
        <f>IF(HR_Data[[#This Row],[Attrition]]="Yes","Inactive","Active")</f>
        <v>Active</v>
      </c>
      <c r="U38" t="str">
        <f t="array" ref="U38">_xlfn.IFS(HR_Data[[#This Row],[Salary]]&gt;=100000,"A",HR_Data[[#This Row],[Salary]]&gt;=70000,"B",HR_Data[[#This Row],[Salary]]&gt;=50000,"C",TRUE(),"D")</f>
        <v>A</v>
      </c>
      <c r="V38" t="str">
        <f t="array" ref="V38">_xlfn.IFS(HR_Data[[#This Row],[Experience]]&gt;=15,"Expert",HR_Data[[#This Row],[Experience]]&gt;=8,"Senior",HR_Data[[#This Row],[Experience]]&gt;=3,"Mid-Level",TRUE(),"Junior")</f>
        <v>Expert</v>
      </c>
    </row>
    <row r="39" spans="1:22" ht="14.25" customHeight="1" x14ac:dyDescent="0.3">
      <c r="A39" t="s">
        <v>160</v>
      </c>
      <c r="B39" t="s">
        <v>161</v>
      </c>
      <c r="C39" t="s">
        <v>75</v>
      </c>
      <c r="D39" t="s">
        <v>33</v>
      </c>
      <c r="E39">
        <v>35</v>
      </c>
      <c r="F39">
        <v>71752</v>
      </c>
      <c r="G39">
        <v>16</v>
      </c>
      <c r="H39" t="s">
        <v>162</v>
      </c>
      <c r="I39" t="s">
        <v>62</v>
      </c>
      <c r="J39" t="s">
        <v>28</v>
      </c>
      <c r="K39" t="s">
        <v>29</v>
      </c>
      <c r="L39" t="str">
        <f t="array" ref="L39">_xlfn.IFS(HR_Data[[#This Row],[Experience]]&lt;2,"0-2 Years",HR_Data[[#This Row],[Experience]]&lt;5,"2-5 Years",HR_Data[[#This Row],[Experience]]&lt;10,"5-10 Years",TRUE(),"10+ Years")</f>
        <v>10+ Years</v>
      </c>
      <c r="M39" t="str">
        <f t="array" ref="M39">_xlfn.IFS(HR_Data[[#This Row],[Salary]]&lt;40000,"Low",HR_Data[[#This Row],[Salary]]&lt;70000,"Medium",HR_Data[[#This Row],[Salary]]&lt;100000,"High",TRUE(),"Very High")</f>
        <v>High</v>
      </c>
      <c r="N39" t="str">
        <f t="array" ref="N39">_xlfn.IFS(HR_Data[[#This Row],[Age]]&lt;25,"18-24",HR_Data[[#This Row],[Age]]&lt;35,"25-34",HR_Data[[#This Row],[Age]]&lt;45,"35-44",TRUE(),"45+")</f>
        <v>35-44</v>
      </c>
      <c r="O39">
        <f>YEAR(HR_Data[[#This Row],[Joining Date]])</f>
        <v>2024</v>
      </c>
      <c r="P39" t="str">
        <f>TEXT(HR_Data[[#This Row],[Joining Date]],"mmmm")</f>
        <v>September</v>
      </c>
      <c r="Q39">
        <f t="array" ref="Q3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9">
        <f>HR_Data[[#This Row],[Salary]]*HR_Data[[#This Row],[Bonus %]]</f>
        <v>10762.8</v>
      </c>
      <c r="S39">
        <f>HR_Data[[#This Row],[Salary]]+HR_Data[[#This Row],[Bonus Amount]]</f>
        <v>82514.8</v>
      </c>
      <c r="T39" t="str">
        <f>IF(HR_Data[[#This Row],[Attrition]]="Yes","Inactive","Active")</f>
        <v>Active</v>
      </c>
      <c r="U39" t="str">
        <f t="array" ref="U39">_xlfn.IFS(HR_Data[[#This Row],[Salary]]&gt;=100000,"A",HR_Data[[#This Row],[Salary]]&gt;=70000,"B",HR_Data[[#This Row],[Salary]]&gt;=50000,"C",TRUE(),"D")</f>
        <v>B</v>
      </c>
      <c r="V39" t="str">
        <f t="array" ref="V39">_xlfn.IFS(HR_Data[[#This Row],[Experience]]&gt;=15,"Expert",HR_Data[[#This Row],[Experience]]&gt;=8,"Senior",HR_Data[[#This Row],[Experience]]&gt;=3,"Mid-Level",TRUE(),"Junior")</f>
        <v>Expert</v>
      </c>
    </row>
    <row r="40" spans="1:22" ht="14.25" customHeight="1" x14ac:dyDescent="0.3">
      <c r="A40" t="s">
        <v>163</v>
      </c>
      <c r="B40" t="s">
        <v>54</v>
      </c>
      <c r="C40" t="s">
        <v>55</v>
      </c>
      <c r="D40" t="s">
        <v>25</v>
      </c>
      <c r="E40">
        <v>35</v>
      </c>
      <c r="F40">
        <v>56854</v>
      </c>
      <c r="G40">
        <v>12</v>
      </c>
      <c r="H40" t="s">
        <v>164</v>
      </c>
      <c r="I40" t="s">
        <v>42</v>
      </c>
      <c r="J40" t="s">
        <v>63</v>
      </c>
      <c r="K40" t="s">
        <v>29</v>
      </c>
      <c r="L40" t="str">
        <f t="array" ref="L40">_xlfn.IFS(HR_Data[[#This Row],[Experience]]&lt;2,"0-2 Years",HR_Data[[#This Row],[Experience]]&lt;5,"2-5 Years",HR_Data[[#This Row],[Experience]]&lt;10,"5-10 Years",TRUE(),"10+ Years")</f>
        <v>10+ Years</v>
      </c>
      <c r="M40" t="str">
        <f t="array" ref="M40">_xlfn.IFS(HR_Data[[#This Row],[Salary]]&lt;40000,"Low",HR_Data[[#This Row],[Salary]]&lt;70000,"Medium",HR_Data[[#This Row],[Salary]]&lt;100000,"High",TRUE(),"Very High")</f>
        <v>Medium</v>
      </c>
      <c r="N40" t="str">
        <f t="array" ref="N40">_xlfn.IFS(HR_Data[[#This Row],[Age]]&lt;25,"18-24",HR_Data[[#This Row],[Age]]&lt;35,"25-34",HR_Data[[#This Row],[Age]]&lt;45,"35-44",TRUE(),"45+")</f>
        <v>35-44</v>
      </c>
      <c r="O40">
        <f>YEAR(HR_Data[[#This Row],[Joining Date]])</f>
        <v>2024</v>
      </c>
      <c r="P40" t="str">
        <f>TEXT(HR_Data[[#This Row],[Joining Date]],"mmmm")</f>
        <v>October</v>
      </c>
      <c r="Q40">
        <f t="array" ref="Q40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40">
        <f>HR_Data[[#This Row],[Salary]]*HR_Data[[#This Row],[Bonus %]]</f>
        <v>11370.800000000001</v>
      </c>
      <c r="S40">
        <f>HR_Data[[#This Row],[Salary]]+HR_Data[[#This Row],[Bonus Amount]]</f>
        <v>68224.800000000003</v>
      </c>
      <c r="T40" t="str">
        <f>IF(HR_Data[[#This Row],[Attrition]]="Yes","Inactive","Active")</f>
        <v>Active</v>
      </c>
      <c r="U40" t="str">
        <f t="array" ref="U40">_xlfn.IFS(HR_Data[[#This Row],[Salary]]&gt;=100000,"A",HR_Data[[#This Row],[Salary]]&gt;=70000,"B",HR_Data[[#This Row],[Salary]]&gt;=50000,"C",TRUE(),"D")</f>
        <v>C</v>
      </c>
      <c r="V40" t="str">
        <f t="array" ref="V40">_xlfn.IFS(HR_Data[[#This Row],[Experience]]&gt;=15,"Expert",HR_Data[[#This Row],[Experience]]&gt;=8,"Senior",HR_Data[[#This Row],[Experience]]&gt;=3,"Mid-Level",TRUE(),"Junior")</f>
        <v>Senior</v>
      </c>
    </row>
    <row r="41" spans="1:22" ht="14.25" customHeight="1" x14ac:dyDescent="0.3">
      <c r="A41" t="s">
        <v>165</v>
      </c>
      <c r="B41" t="s">
        <v>166</v>
      </c>
      <c r="C41" t="s">
        <v>55</v>
      </c>
      <c r="D41" t="s">
        <v>25</v>
      </c>
      <c r="E41">
        <v>49</v>
      </c>
      <c r="F41">
        <v>94486</v>
      </c>
      <c r="G41">
        <v>21</v>
      </c>
      <c r="H41" t="s">
        <v>167</v>
      </c>
      <c r="I41" t="s">
        <v>80</v>
      </c>
      <c r="J41" t="s">
        <v>36</v>
      </c>
      <c r="K41" t="s">
        <v>29</v>
      </c>
      <c r="L41" t="str">
        <f t="array" ref="L41">_xlfn.IFS(HR_Data[[#This Row],[Experience]]&lt;2,"0-2 Years",HR_Data[[#This Row],[Experience]]&lt;5,"2-5 Years",HR_Data[[#This Row],[Experience]]&lt;10,"5-10 Years",TRUE(),"10+ Years")</f>
        <v>10+ Years</v>
      </c>
      <c r="M41" t="str">
        <f t="array" ref="M41">_xlfn.IFS(HR_Data[[#This Row],[Salary]]&lt;40000,"Low",HR_Data[[#This Row],[Salary]]&lt;70000,"Medium",HR_Data[[#This Row],[Salary]]&lt;100000,"High",TRUE(),"Very High")</f>
        <v>High</v>
      </c>
      <c r="N41" t="str">
        <f t="array" ref="N41">_xlfn.IFS(HR_Data[[#This Row],[Age]]&lt;25,"18-24",HR_Data[[#This Row],[Age]]&lt;35,"25-34",HR_Data[[#This Row],[Age]]&lt;45,"35-44",TRUE(),"45+")</f>
        <v>45+</v>
      </c>
      <c r="O41">
        <f>YEAR(HR_Data[[#This Row],[Joining Date]])</f>
        <v>2017</v>
      </c>
      <c r="P41" t="str">
        <f>TEXT(HR_Data[[#This Row],[Joining Date]],"mmmm")</f>
        <v>October</v>
      </c>
      <c r="Q41">
        <f t="array" ref="Q4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1">
        <f>HR_Data[[#This Row],[Salary]]*HR_Data[[#This Row],[Bonus %]]</f>
        <v>9448.6</v>
      </c>
      <c r="S41">
        <f>HR_Data[[#This Row],[Salary]]+HR_Data[[#This Row],[Bonus Amount]]</f>
        <v>103934.6</v>
      </c>
      <c r="T41" t="str">
        <f>IF(HR_Data[[#This Row],[Attrition]]="Yes","Inactive","Active")</f>
        <v>Active</v>
      </c>
      <c r="U41" t="str">
        <f t="array" ref="U41">_xlfn.IFS(HR_Data[[#This Row],[Salary]]&gt;=100000,"A",HR_Data[[#This Row],[Salary]]&gt;=70000,"B",HR_Data[[#This Row],[Salary]]&gt;=50000,"C",TRUE(),"D")</f>
        <v>B</v>
      </c>
      <c r="V41" t="str">
        <f t="array" ref="V41">_xlfn.IFS(HR_Data[[#This Row],[Experience]]&gt;=15,"Expert",HR_Data[[#This Row],[Experience]]&gt;=8,"Senior",HR_Data[[#This Row],[Experience]]&gt;=3,"Mid-Level",TRUE(),"Junior")</f>
        <v>Expert</v>
      </c>
    </row>
    <row r="42" spans="1:22" ht="14.25" customHeight="1" x14ac:dyDescent="0.3">
      <c r="A42" t="s">
        <v>168</v>
      </c>
      <c r="B42" t="s">
        <v>169</v>
      </c>
      <c r="C42" t="s">
        <v>24</v>
      </c>
      <c r="D42" t="s">
        <v>25</v>
      </c>
      <c r="E42">
        <v>56</v>
      </c>
      <c r="F42">
        <v>135286</v>
      </c>
      <c r="G42">
        <v>35</v>
      </c>
      <c r="H42" t="s">
        <v>170</v>
      </c>
      <c r="I42" t="s">
        <v>62</v>
      </c>
      <c r="J42" t="s">
        <v>36</v>
      </c>
      <c r="K42" t="s">
        <v>29</v>
      </c>
      <c r="L42" t="str">
        <f t="array" ref="L42">_xlfn.IFS(HR_Data[[#This Row],[Experience]]&lt;2,"0-2 Years",HR_Data[[#This Row],[Experience]]&lt;5,"2-5 Years",HR_Data[[#This Row],[Experience]]&lt;10,"5-10 Years",TRUE(),"10+ Years")</f>
        <v>10+ Years</v>
      </c>
      <c r="M42" t="str">
        <f t="array" ref="M42">_xlfn.IFS(HR_Data[[#This Row],[Salary]]&lt;40000,"Low",HR_Data[[#This Row],[Salary]]&lt;70000,"Medium",HR_Data[[#This Row],[Salary]]&lt;100000,"High",TRUE(),"Very High")</f>
        <v>Very High</v>
      </c>
      <c r="N42" t="str">
        <f t="array" ref="N42">_xlfn.IFS(HR_Data[[#This Row],[Age]]&lt;25,"18-24",HR_Data[[#This Row],[Age]]&lt;35,"25-34",HR_Data[[#This Row],[Age]]&lt;45,"35-44",TRUE(),"45+")</f>
        <v>45+</v>
      </c>
      <c r="O42">
        <f>YEAR(HR_Data[[#This Row],[Joining Date]])</f>
        <v>2024</v>
      </c>
      <c r="P42" t="str">
        <f>TEXT(HR_Data[[#This Row],[Joining Date]],"mmmm")</f>
        <v>June</v>
      </c>
      <c r="Q42">
        <f t="array" ref="Q4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2">
        <f>HR_Data[[#This Row],[Salary]]*HR_Data[[#This Row],[Bonus %]]</f>
        <v>13528.6</v>
      </c>
      <c r="S42">
        <f>HR_Data[[#This Row],[Salary]]+HR_Data[[#This Row],[Bonus Amount]]</f>
        <v>148814.6</v>
      </c>
      <c r="T42" t="str">
        <f>IF(HR_Data[[#This Row],[Attrition]]="Yes","Inactive","Active")</f>
        <v>Active</v>
      </c>
      <c r="U42" t="str">
        <f t="array" ref="U42">_xlfn.IFS(HR_Data[[#This Row],[Salary]]&gt;=100000,"A",HR_Data[[#This Row],[Salary]]&gt;=70000,"B",HR_Data[[#This Row],[Salary]]&gt;=50000,"C",TRUE(),"D")</f>
        <v>A</v>
      </c>
      <c r="V42" t="str">
        <f t="array" ref="V42">_xlfn.IFS(HR_Data[[#This Row],[Experience]]&gt;=15,"Expert",HR_Data[[#This Row],[Experience]]&gt;=8,"Senior",HR_Data[[#This Row],[Experience]]&gt;=3,"Mid-Level",TRUE(),"Junior")</f>
        <v>Expert</v>
      </c>
    </row>
    <row r="43" spans="1:22" ht="14.25" customHeight="1" x14ac:dyDescent="0.3">
      <c r="A43" t="s">
        <v>171</v>
      </c>
      <c r="B43" t="s">
        <v>172</v>
      </c>
      <c r="C43" t="s">
        <v>93</v>
      </c>
      <c r="D43" t="s">
        <v>25</v>
      </c>
      <c r="E43">
        <v>54</v>
      </c>
      <c r="F43">
        <v>138957</v>
      </c>
      <c r="G43">
        <v>35</v>
      </c>
      <c r="H43" t="s">
        <v>173</v>
      </c>
      <c r="I43" t="s">
        <v>35</v>
      </c>
      <c r="J43" t="s">
        <v>28</v>
      </c>
      <c r="K43" t="s">
        <v>29</v>
      </c>
      <c r="L43" t="str">
        <f t="array" ref="L43">_xlfn.IFS(HR_Data[[#This Row],[Experience]]&lt;2,"0-2 Years",HR_Data[[#This Row],[Experience]]&lt;5,"2-5 Years",HR_Data[[#This Row],[Experience]]&lt;10,"5-10 Years",TRUE(),"10+ Years")</f>
        <v>10+ Years</v>
      </c>
      <c r="M43" t="str">
        <f t="array" ref="M43">_xlfn.IFS(HR_Data[[#This Row],[Salary]]&lt;40000,"Low",HR_Data[[#This Row],[Salary]]&lt;70000,"Medium",HR_Data[[#This Row],[Salary]]&lt;100000,"High",TRUE(),"Very High")</f>
        <v>Very High</v>
      </c>
      <c r="N43" t="str">
        <f t="array" ref="N43">_xlfn.IFS(HR_Data[[#This Row],[Age]]&lt;25,"18-24",HR_Data[[#This Row],[Age]]&lt;35,"25-34",HR_Data[[#This Row],[Age]]&lt;45,"35-44",TRUE(),"45+")</f>
        <v>45+</v>
      </c>
      <c r="O43">
        <f>YEAR(HR_Data[[#This Row],[Joining Date]])</f>
        <v>2021</v>
      </c>
      <c r="P43" t="str">
        <f>TEXT(HR_Data[[#This Row],[Joining Date]],"mmmm")</f>
        <v>June</v>
      </c>
      <c r="Q43">
        <f t="array" ref="Q4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3">
        <f>HR_Data[[#This Row],[Salary]]*HR_Data[[#This Row],[Bonus %]]</f>
        <v>20843.55</v>
      </c>
      <c r="S43">
        <f>HR_Data[[#This Row],[Salary]]+HR_Data[[#This Row],[Bonus Amount]]</f>
        <v>159800.54999999999</v>
      </c>
      <c r="T43" t="str">
        <f>IF(HR_Data[[#This Row],[Attrition]]="Yes","Inactive","Active")</f>
        <v>Active</v>
      </c>
      <c r="U43" t="str">
        <f t="array" ref="U43">_xlfn.IFS(HR_Data[[#This Row],[Salary]]&gt;=100000,"A",HR_Data[[#This Row],[Salary]]&gt;=70000,"B",HR_Data[[#This Row],[Salary]]&gt;=50000,"C",TRUE(),"D")</f>
        <v>A</v>
      </c>
      <c r="V43" t="str">
        <f t="array" ref="V43">_xlfn.IFS(HR_Data[[#This Row],[Experience]]&gt;=15,"Expert",HR_Data[[#This Row],[Experience]]&gt;=8,"Senior",HR_Data[[#This Row],[Experience]]&gt;=3,"Mid-Level",TRUE(),"Junior")</f>
        <v>Expert</v>
      </c>
    </row>
    <row r="44" spans="1:22" ht="14.25" customHeight="1" x14ac:dyDescent="0.3">
      <c r="A44" t="s">
        <v>174</v>
      </c>
      <c r="B44" t="s">
        <v>172</v>
      </c>
      <c r="C44" t="s">
        <v>40</v>
      </c>
      <c r="D44" t="s">
        <v>33</v>
      </c>
      <c r="E44">
        <v>40</v>
      </c>
      <c r="F44">
        <v>74105</v>
      </c>
      <c r="G44">
        <v>13</v>
      </c>
      <c r="H44" t="s">
        <v>175</v>
      </c>
      <c r="I44" t="s">
        <v>80</v>
      </c>
      <c r="J44" t="s">
        <v>36</v>
      </c>
      <c r="K44" t="s">
        <v>29</v>
      </c>
      <c r="L44" t="str">
        <f t="array" ref="L44">_xlfn.IFS(HR_Data[[#This Row],[Experience]]&lt;2,"0-2 Years",HR_Data[[#This Row],[Experience]]&lt;5,"2-5 Years",HR_Data[[#This Row],[Experience]]&lt;10,"5-10 Years",TRUE(),"10+ Years")</f>
        <v>10+ Years</v>
      </c>
      <c r="M44" t="str">
        <f t="array" ref="M44">_xlfn.IFS(HR_Data[[#This Row],[Salary]]&lt;40000,"Low",HR_Data[[#This Row],[Salary]]&lt;70000,"Medium",HR_Data[[#This Row],[Salary]]&lt;100000,"High",TRUE(),"Very High")</f>
        <v>High</v>
      </c>
      <c r="N44" t="str">
        <f t="array" ref="N44">_xlfn.IFS(HR_Data[[#This Row],[Age]]&lt;25,"18-24",HR_Data[[#This Row],[Age]]&lt;35,"25-34",HR_Data[[#This Row],[Age]]&lt;45,"35-44",TRUE(),"45+")</f>
        <v>35-44</v>
      </c>
      <c r="O44">
        <f>YEAR(HR_Data[[#This Row],[Joining Date]])</f>
        <v>2018</v>
      </c>
      <c r="P44" t="str">
        <f>TEXT(HR_Data[[#This Row],[Joining Date]],"mmmm")</f>
        <v>October</v>
      </c>
      <c r="Q44">
        <f t="array" ref="Q44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4">
        <f>HR_Data[[#This Row],[Salary]]*HR_Data[[#This Row],[Bonus %]]</f>
        <v>7410.5</v>
      </c>
      <c r="S44">
        <f>HR_Data[[#This Row],[Salary]]+HR_Data[[#This Row],[Bonus Amount]]</f>
        <v>81515.5</v>
      </c>
      <c r="T44" t="str">
        <f>IF(HR_Data[[#This Row],[Attrition]]="Yes","Inactive","Active")</f>
        <v>Active</v>
      </c>
      <c r="U44" t="str">
        <f t="array" ref="U44">_xlfn.IFS(HR_Data[[#This Row],[Salary]]&gt;=100000,"A",HR_Data[[#This Row],[Salary]]&gt;=70000,"B",HR_Data[[#This Row],[Salary]]&gt;=50000,"C",TRUE(),"D")</f>
        <v>B</v>
      </c>
      <c r="V44" t="str">
        <f t="array" ref="V44">_xlfn.IFS(HR_Data[[#This Row],[Experience]]&gt;=15,"Expert",HR_Data[[#This Row],[Experience]]&gt;=8,"Senior",HR_Data[[#This Row],[Experience]]&gt;=3,"Mid-Level",TRUE(),"Junior")</f>
        <v>Senior</v>
      </c>
    </row>
    <row r="45" spans="1:22" ht="14.25" customHeight="1" x14ac:dyDescent="0.3">
      <c r="A45" t="s">
        <v>176</v>
      </c>
      <c r="B45" t="s">
        <v>177</v>
      </c>
      <c r="C45" t="s">
        <v>93</v>
      </c>
      <c r="D45" t="s">
        <v>25</v>
      </c>
      <c r="E45">
        <v>36</v>
      </c>
      <c r="F45">
        <v>66628</v>
      </c>
      <c r="G45">
        <v>14</v>
      </c>
      <c r="H45" t="s">
        <v>178</v>
      </c>
      <c r="I45" t="s">
        <v>72</v>
      </c>
      <c r="J45" t="s">
        <v>63</v>
      </c>
      <c r="K45" t="s">
        <v>29</v>
      </c>
      <c r="L45" t="str">
        <f t="array" ref="L45">_xlfn.IFS(HR_Data[[#This Row],[Experience]]&lt;2,"0-2 Years",HR_Data[[#This Row],[Experience]]&lt;5,"2-5 Years",HR_Data[[#This Row],[Experience]]&lt;10,"5-10 Years",TRUE(),"10+ Years")</f>
        <v>10+ Years</v>
      </c>
      <c r="M45" t="str">
        <f t="array" ref="M45">_xlfn.IFS(HR_Data[[#This Row],[Salary]]&lt;40000,"Low",HR_Data[[#This Row],[Salary]]&lt;70000,"Medium",HR_Data[[#This Row],[Salary]]&lt;100000,"High",TRUE(),"Very High")</f>
        <v>Medium</v>
      </c>
      <c r="N45" t="str">
        <f t="array" ref="N45">_xlfn.IFS(HR_Data[[#This Row],[Age]]&lt;25,"18-24",HR_Data[[#This Row],[Age]]&lt;35,"25-34",HR_Data[[#This Row],[Age]]&lt;45,"35-44",TRUE(),"45+")</f>
        <v>35-44</v>
      </c>
      <c r="O45">
        <f>YEAR(HR_Data[[#This Row],[Joining Date]])</f>
        <v>2015</v>
      </c>
      <c r="P45" t="str">
        <f>TEXT(HR_Data[[#This Row],[Joining Date]],"mmmm")</f>
        <v>July</v>
      </c>
      <c r="Q45">
        <f t="array" ref="Q45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45">
        <f>HR_Data[[#This Row],[Salary]]*HR_Data[[#This Row],[Bonus %]]</f>
        <v>13325.6</v>
      </c>
      <c r="S45">
        <f>HR_Data[[#This Row],[Salary]]+HR_Data[[#This Row],[Bonus Amount]]</f>
        <v>79953.600000000006</v>
      </c>
      <c r="T45" t="str">
        <f>IF(HR_Data[[#This Row],[Attrition]]="Yes","Inactive","Active")</f>
        <v>Active</v>
      </c>
      <c r="U45" t="str">
        <f t="array" ref="U45">_xlfn.IFS(HR_Data[[#This Row],[Salary]]&gt;=100000,"A",HR_Data[[#This Row],[Salary]]&gt;=70000,"B",HR_Data[[#This Row],[Salary]]&gt;=50000,"C",TRUE(),"D")</f>
        <v>C</v>
      </c>
      <c r="V45" t="str">
        <f t="array" ref="V45">_xlfn.IFS(HR_Data[[#This Row],[Experience]]&gt;=15,"Expert",HR_Data[[#This Row],[Experience]]&gt;=8,"Senior",HR_Data[[#This Row],[Experience]]&gt;=3,"Mid-Level",TRUE(),"Junior")</f>
        <v>Senior</v>
      </c>
    </row>
    <row r="46" spans="1:22" ht="14.25" customHeight="1" x14ac:dyDescent="0.3">
      <c r="A46" t="s">
        <v>179</v>
      </c>
      <c r="B46" t="s">
        <v>74</v>
      </c>
      <c r="C46" t="s">
        <v>32</v>
      </c>
      <c r="D46" t="s">
        <v>33</v>
      </c>
      <c r="E46">
        <v>42</v>
      </c>
      <c r="F46">
        <v>67982</v>
      </c>
      <c r="G46">
        <v>12</v>
      </c>
      <c r="H46" t="s">
        <v>180</v>
      </c>
      <c r="I46" t="s">
        <v>132</v>
      </c>
      <c r="J46" t="s">
        <v>28</v>
      </c>
      <c r="K46" t="s">
        <v>29</v>
      </c>
      <c r="L46" t="str">
        <f t="array" ref="L46">_xlfn.IFS(HR_Data[[#This Row],[Experience]]&lt;2,"0-2 Years",HR_Data[[#This Row],[Experience]]&lt;5,"2-5 Years",HR_Data[[#This Row],[Experience]]&lt;10,"5-10 Years",TRUE(),"10+ Years")</f>
        <v>10+ Years</v>
      </c>
      <c r="M46" t="str">
        <f t="array" ref="M46">_xlfn.IFS(HR_Data[[#This Row],[Salary]]&lt;40000,"Low",HR_Data[[#This Row],[Salary]]&lt;70000,"Medium",HR_Data[[#This Row],[Salary]]&lt;100000,"High",TRUE(),"Very High")</f>
        <v>Medium</v>
      </c>
      <c r="N46" t="str">
        <f t="array" ref="N46">_xlfn.IFS(HR_Data[[#This Row],[Age]]&lt;25,"18-24",HR_Data[[#This Row],[Age]]&lt;35,"25-34",HR_Data[[#This Row],[Age]]&lt;45,"35-44",TRUE(),"45+")</f>
        <v>35-44</v>
      </c>
      <c r="O46">
        <f>YEAR(HR_Data[[#This Row],[Joining Date]])</f>
        <v>2026</v>
      </c>
      <c r="P46" t="str">
        <f>TEXT(HR_Data[[#This Row],[Joining Date]],"mmmm")</f>
        <v>February</v>
      </c>
      <c r="Q46">
        <f t="array" ref="Q46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6">
        <f>HR_Data[[#This Row],[Salary]]*HR_Data[[#This Row],[Bonus %]]</f>
        <v>10197.299999999999</v>
      </c>
      <c r="S46">
        <f>HR_Data[[#This Row],[Salary]]+HR_Data[[#This Row],[Bonus Amount]]</f>
        <v>78179.3</v>
      </c>
      <c r="T46" t="str">
        <f>IF(HR_Data[[#This Row],[Attrition]]="Yes","Inactive","Active")</f>
        <v>Active</v>
      </c>
      <c r="U46" t="str">
        <f t="array" ref="U46">_xlfn.IFS(HR_Data[[#This Row],[Salary]]&gt;=100000,"A",HR_Data[[#This Row],[Salary]]&gt;=70000,"B",HR_Data[[#This Row],[Salary]]&gt;=50000,"C",TRUE(),"D")</f>
        <v>C</v>
      </c>
      <c r="V46" t="str">
        <f t="array" ref="V46">_xlfn.IFS(HR_Data[[#This Row],[Experience]]&gt;=15,"Expert",HR_Data[[#This Row],[Experience]]&gt;=8,"Senior",HR_Data[[#This Row],[Experience]]&gt;=3,"Mid-Level",TRUE(),"Junior")</f>
        <v>Senior</v>
      </c>
    </row>
    <row r="47" spans="1:22" ht="14.25" customHeight="1" x14ac:dyDescent="0.3">
      <c r="A47" t="s">
        <v>181</v>
      </c>
      <c r="B47" t="s">
        <v>182</v>
      </c>
      <c r="C47" t="s">
        <v>75</v>
      </c>
      <c r="D47" t="s">
        <v>25</v>
      </c>
      <c r="E47">
        <v>59</v>
      </c>
      <c r="F47">
        <v>124245</v>
      </c>
      <c r="G47">
        <v>33</v>
      </c>
      <c r="H47" t="s">
        <v>183</v>
      </c>
      <c r="I47" t="s">
        <v>35</v>
      </c>
      <c r="J47" t="s">
        <v>46</v>
      </c>
      <c r="K47" t="s">
        <v>29</v>
      </c>
      <c r="L47" t="str">
        <f t="array" ref="L47">_xlfn.IFS(HR_Data[[#This Row],[Experience]]&lt;2,"0-2 Years",HR_Data[[#This Row],[Experience]]&lt;5,"2-5 Years",HR_Data[[#This Row],[Experience]]&lt;10,"5-10 Years",TRUE(),"10+ Years")</f>
        <v>10+ Years</v>
      </c>
      <c r="M47" t="str">
        <f t="array" ref="M47">_xlfn.IFS(HR_Data[[#This Row],[Salary]]&lt;40000,"Low",HR_Data[[#This Row],[Salary]]&lt;70000,"Medium",HR_Data[[#This Row],[Salary]]&lt;100000,"High",TRUE(),"Very High")</f>
        <v>Very High</v>
      </c>
      <c r="N47" t="str">
        <f t="array" ref="N47">_xlfn.IFS(HR_Data[[#This Row],[Age]]&lt;25,"18-24",HR_Data[[#This Row],[Age]]&lt;35,"25-34",HR_Data[[#This Row],[Age]]&lt;45,"35-44",TRUE(),"45+")</f>
        <v>45+</v>
      </c>
      <c r="O47">
        <f>YEAR(HR_Data[[#This Row],[Joining Date]])</f>
        <v>2020</v>
      </c>
      <c r="P47" t="str">
        <f>TEXT(HR_Data[[#This Row],[Joining Date]],"mmmm")</f>
        <v>August</v>
      </c>
      <c r="Q47">
        <f t="array" ref="Q47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47">
        <f>HR_Data[[#This Row],[Salary]]*HR_Data[[#This Row],[Bonus %]]</f>
        <v>6212.25</v>
      </c>
      <c r="S47">
        <f>HR_Data[[#This Row],[Salary]]+HR_Data[[#This Row],[Bonus Amount]]</f>
        <v>130457.25</v>
      </c>
      <c r="T47" t="str">
        <f>IF(HR_Data[[#This Row],[Attrition]]="Yes","Inactive","Active")</f>
        <v>Active</v>
      </c>
      <c r="U47" t="str">
        <f t="array" ref="U47">_xlfn.IFS(HR_Data[[#This Row],[Salary]]&gt;=100000,"A",HR_Data[[#This Row],[Salary]]&gt;=70000,"B",HR_Data[[#This Row],[Salary]]&gt;=50000,"C",TRUE(),"D")</f>
        <v>A</v>
      </c>
      <c r="V47" t="str">
        <f t="array" ref="V47">_xlfn.IFS(HR_Data[[#This Row],[Experience]]&gt;=15,"Expert",HR_Data[[#This Row],[Experience]]&gt;=8,"Senior",HR_Data[[#This Row],[Experience]]&gt;=3,"Mid-Level",TRUE(),"Junior")</f>
        <v>Expert</v>
      </c>
    </row>
    <row r="48" spans="1:22" ht="14.25" customHeight="1" x14ac:dyDescent="0.3">
      <c r="A48" t="s">
        <v>184</v>
      </c>
      <c r="B48" t="s">
        <v>185</v>
      </c>
      <c r="C48" t="s">
        <v>134</v>
      </c>
      <c r="D48" t="s">
        <v>33</v>
      </c>
      <c r="E48">
        <v>57</v>
      </c>
      <c r="F48">
        <v>137352</v>
      </c>
      <c r="G48">
        <v>32</v>
      </c>
      <c r="H48" t="s">
        <v>186</v>
      </c>
      <c r="I48" t="s">
        <v>80</v>
      </c>
      <c r="J48" t="s">
        <v>46</v>
      </c>
      <c r="K48" t="s">
        <v>29</v>
      </c>
      <c r="L48" t="str">
        <f t="array" ref="L48">_xlfn.IFS(HR_Data[[#This Row],[Experience]]&lt;2,"0-2 Years",HR_Data[[#This Row],[Experience]]&lt;5,"2-5 Years",HR_Data[[#This Row],[Experience]]&lt;10,"5-10 Years",TRUE(),"10+ Years")</f>
        <v>10+ Years</v>
      </c>
      <c r="M48" t="str">
        <f t="array" ref="M48">_xlfn.IFS(HR_Data[[#This Row],[Salary]]&lt;40000,"Low",HR_Data[[#This Row],[Salary]]&lt;70000,"Medium",HR_Data[[#This Row],[Salary]]&lt;100000,"High",TRUE(),"Very High")</f>
        <v>Very High</v>
      </c>
      <c r="N48" t="str">
        <f t="array" ref="N48">_xlfn.IFS(HR_Data[[#This Row],[Age]]&lt;25,"18-24",HR_Data[[#This Row],[Age]]&lt;35,"25-34",HR_Data[[#This Row],[Age]]&lt;45,"35-44",TRUE(),"45+")</f>
        <v>45+</v>
      </c>
      <c r="O48">
        <f>YEAR(HR_Data[[#This Row],[Joining Date]])</f>
        <v>2024</v>
      </c>
      <c r="P48" t="str">
        <f>TEXT(HR_Data[[#This Row],[Joining Date]],"mmmm")</f>
        <v>December</v>
      </c>
      <c r="Q48">
        <f t="array" ref="Q48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48">
        <f>HR_Data[[#This Row],[Salary]]*HR_Data[[#This Row],[Bonus %]]</f>
        <v>6867.6</v>
      </c>
      <c r="S48">
        <f>HR_Data[[#This Row],[Salary]]+HR_Data[[#This Row],[Bonus Amount]]</f>
        <v>144219.6</v>
      </c>
      <c r="T48" t="str">
        <f>IF(HR_Data[[#This Row],[Attrition]]="Yes","Inactive","Active")</f>
        <v>Active</v>
      </c>
      <c r="U48" t="str">
        <f t="array" ref="U48">_xlfn.IFS(HR_Data[[#This Row],[Salary]]&gt;=100000,"A",HR_Data[[#This Row],[Salary]]&gt;=70000,"B",HR_Data[[#This Row],[Salary]]&gt;=50000,"C",TRUE(),"D")</f>
        <v>A</v>
      </c>
      <c r="V48" t="str">
        <f t="array" ref="V48">_xlfn.IFS(HR_Data[[#This Row],[Experience]]&gt;=15,"Expert",HR_Data[[#This Row],[Experience]]&gt;=8,"Senior",HR_Data[[#This Row],[Experience]]&gt;=3,"Mid-Level",TRUE(),"Junior")</f>
        <v>Expert</v>
      </c>
    </row>
    <row r="49" spans="1:22" ht="14.25" customHeight="1" x14ac:dyDescent="0.3">
      <c r="A49" t="s">
        <v>187</v>
      </c>
      <c r="B49" t="s">
        <v>48</v>
      </c>
      <c r="C49" t="s">
        <v>55</v>
      </c>
      <c r="D49" t="s">
        <v>25</v>
      </c>
      <c r="E49">
        <v>59</v>
      </c>
      <c r="F49">
        <v>130439</v>
      </c>
      <c r="G49">
        <v>33</v>
      </c>
      <c r="H49" t="s">
        <v>188</v>
      </c>
      <c r="I49" t="s">
        <v>45</v>
      </c>
      <c r="J49" t="s">
        <v>36</v>
      </c>
      <c r="K49" t="s">
        <v>29</v>
      </c>
      <c r="L49" t="str">
        <f t="array" ref="L49">_xlfn.IFS(HR_Data[[#This Row],[Experience]]&lt;2,"0-2 Years",HR_Data[[#This Row],[Experience]]&lt;5,"2-5 Years",HR_Data[[#This Row],[Experience]]&lt;10,"5-10 Years",TRUE(),"10+ Years")</f>
        <v>10+ Years</v>
      </c>
      <c r="M49" t="str">
        <f t="array" ref="M49">_xlfn.IFS(HR_Data[[#This Row],[Salary]]&lt;40000,"Low",HR_Data[[#This Row],[Salary]]&lt;70000,"Medium",HR_Data[[#This Row],[Salary]]&lt;100000,"High",TRUE(),"Very High")</f>
        <v>Very High</v>
      </c>
      <c r="N49" t="str">
        <f t="array" ref="N49">_xlfn.IFS(HR_Data[[#This Row],[Age]]&lt;25,"18-24",HR_Data[[#This Row],[Age]]&lt;35,"25-34",HR_Data[[#This Row],[Age]]&lt;45,"35-44",TRUE(),"45+")</f>
        <v>45+</v>
      </c>
      <c r="O49">
        <f>YEAR(HR_Data[[#This Row],[Joining Date]])</f>
        <v>2021</v>
      </c>
      <c r="P49" t="str">
        <f>TEXT(HR_Data[[#This Row],[Joining Date]],"mmmm")</f>
        <v>February</v>
      </c>
      <c r="Q49">
        <f t="array" ref="Q4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9">
        <f>HR_Data[[#This Row],[Salary]]*HR_Data[[#This Row],[Bonus %]]</f>
        <v>13043.900000000001</v>
      </c>
      <c r="S49">
        <f>HR_Data[[#This Row],[Salary]]+HR_Data[[#This Row],[Bonus Amount]]</f>
        <v>143482.9</v>
      </c>
      <c r="T49" t="str">
        <f>IF(HR_Data[[#This Row],[Attrition]]="Yes","Inactive","Active")</f>
        <v>Active</v>
      </c>
      <c r="U49" t="str">
        <f t="array" ref="U49">_xlfn.IFS(HR_Data[[#This Row],[Salary]]&gt;=100000,"A",HR_Data[[#This Row],[Salary]]&gt;=70000,"B",HR_Data[[#This Row],[Salary]]&gt;=50000,"C",TRUE(),"D")</f>
        <v>A</v>
      </c>
      <c r="V49" t="str">
        <f t="array" ref="V49">_xlfn.IFS(HR_Data[[#This Row],[Experience]]&gt;=15,"Expert",HR_Data[[#This Row],[Experience]]&gt;=8,"Senior",HR_Data[[#This Row],[Experience]]&gt;=3,"Mid-Level",TRUE(),"Junior")</f>
        <v>Expert</v>
      </c>
    </row>
    <row r="50" spans="1:22" ht="14.25" customHeight="1" x14ac:dyDescent="0.3">
      <c r="A50" t="s">
        <v>189</v>
      </c>
      <c r="B50" t="s">
        <v>190</v>
      </c>
      <c r="C50" t="s">
        <v>32</v>
      </c>
      <c r="D50" t="s">
        <v>25</v>
      </c>
      <c r="E50">
        <v>26</v>
      </c>
      <c r="F50">
        <v>37942</v>
      </c>
      <c r="G50">
        <v>5</v>
      </c>
      <c r="H50" t="s">
        <v>191</v>
      </c>
      <c r="I50" t="s">
        <v>67</v>
      </c>
      <c r="J50" t="s">
        <v>28</v>
      </c>
      <c r="K50" t="s">
        <v>29</v>
      </c>
      <c r="L50" t="str">
        <f t="array" ref="L50">_xlfn.IFS(HR_Data[[#This Row],[Experience]]&lt;2,"0-2 Years",HR_Data[[#This Row],[Experience]]&lt;5,"2-5 Years",HR_Data[[#This Row],[Experience]]&lt;10,"5-10 Years",TRUE(),"10+ Years")</f>
        <v>5-10 Years</v>
      </c>
      <c r="M50" t="str">
        <f t="array" ref="M50">_xlfn.IFS(HR_Data[[#This Row],[Salary]]&lt;40000,"Low",HR_Data[[#This Row],[Salary]]&lt;70000,"Medium",HR_Data[[#This Row],[Salary]]&lt;100000,"High",TRUE(),"Very High")</f>
        <v>Low</v>
      </c>
      <c r="N50" t="str">
        <f t="array" ref="N50">_xlfn.IFS(HR_Data[[#This Row],[Age]]&lt;25,"18-24",HR_Data[[#This Row],[Age]]&lt;35,"25-34",HR_Data[[#This Row],[Age]]&lt;45,"35-44",TRUE(),"45+")</f>
        <v>25-34</v>
      </c>
      <c r="O50">
        <f>YEAR(HR_Data[[#This Row],[Joining Date]])</f>
        <v>2020</v>
      </c>
      <c r="P50" t="str">
        <f>TEXT(HR_Data[[#This Row],[Joining Date]],"mmmm")</f>
        <v>March</v>
      </c>
      <c r="Q50">
        <f t="array" ref="Q50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0">
        <f>HR_Data[[#This Row],[Salary]]*HR_Data[[#This Row],[Bonus %]]</f>
        <v>5691.3</v>
      </c>
      <c r="S50">
        <f>HR_Data[[#This Row],[Salary]]+HR_Data[[#This Row],[Bonus Amount]]</f>
        <v>43633.3</v>
      </c>
      <c r="T50" t="str">
        <f>IF(HR_Data[[#This Row],[Attrition]]="Yes","Inactive","Active")</f>
        <v>Active</v>
      </c>
      <c r="U50" t="str">
        <f t="array" ref="U50">_xlfn.IFS(HR_Data[[#This Row],[Salary]]&gt;=100000,"A",HR_Data[[#This Row],[Salary]]&gt;=70000,"B",HR_Data[[#This Row],[Salary]]&gt;=50000,"C",TRUE(),"D")</f>
        <v>D</v>
      </c>
      <c r="V50" t="str">
        <f t="array" ref="V50">_xlfn.IFS(HR_Data[[#This Row],[Experience]]&gt;=15,"Expert",HR_Data[[#This Row],[Experience]]&gt;=8,"Senior",HR_Data[[#This Row],[Experience]]&gt;=3,"Mid-Level",TRUE(),"Junior")</f>
        <v>Mid-Level</v>
      </c>
    </row>
    <row r="51" spans="1:22" ht="14.25" customHeight="1" x14ac:dyDescent="0.3">
      <c r="A51" t="s">
        <v>192</v>
      </c>
      <c r="B51" t="s">
        <v>193</v>
      </c>
      <c r="C51" t="s">
        <v>24</v>
      </c>
      <c r="D51" t="s">
        <v>25</v>
      </c>
      <c r="E51">
        <v>60</v>
      </c>
      <c r="F51">
        <v>139424</v>
      </c>
      <c r="G51">
        <v>34</v>
      </c>
      <c r="H51" t="s">
        <v>194</v>
      </c>
      <c r="I51" t="s">
        <v>35</v>
      </c>
      <c r="J51" t="s">
        <v>28</v>
      </c>
      <c r="K51" t="s">
        <v>29</v>
      </c>
      <c r="L51" t="str">
        <f t="array" ref="L51">_xlfn.IFS(HR_Data[[#This Row],[Experience]]&lt;2,"0-2 Years",HR_Data[[#This Row],[Experience]]&lt;5,"2-5 Years",HR_Data[[#This Row],[Experience]]&lt;10,"5-10 Years",TRUE(),"10+ Years")</f>
        <v>10+ Years</v>
      </c>
      <c r="M51" t="str">
        <f t="array" ref="M51">_xlfn.IFS(HR_Data[[#This Row],[Salary]]&lt;40000,"Low",HR_Data[[#This Row],[Salary]]&lt;70000,"Medium",HR_Data[[#This Row],[Salary]]&lt;100000,"High",TRUE(),"Very High")</f>
        <v>Very High</v>
      </c>
      <c r="N51" t="str">
        <f t="array" ref="N51">_xlfn.IFS(HR_Data[[#This Row],[Age]]&lt;25,"18-24",HR_Data[[#This Row],[Age]]&lt;35,"25-34",HR_Data[[#This Row],[Age]]&lt;45,"35-44",TRUE(),"45+")</f>
        <v>45+</v>
      </c>
      <c r="O51">
        <f>YEAR(HR_Data[[#This Row],[Joining Date]])</f>
        <v>2016</v>
      </c>
      <c r="P51" t="str">
        <f>TEXT(HR_Data[[#This Row],[Joining Date]],"mmmm")</f>
        <v>May</v>
      </c>
      <c r="Q51">
        <f t="array" ref="Q51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1">
        <f>HR_Data[[#This Row],[Salary]]*HR_Data[[#This Row],[Bonus %]]</f>
        <v>20913.599999999999</v>
      </c>
      <c r="S51">
        <f>HR_Data[[#This Row],[Salary]]+HR_Data[[#This Row],[Bonus Amount]]</f>
        <v>160337.60000000001</v>
      </c>
      <c r="T51" t="str">
        <f>IF(HR_Data[[#This Row],[Attrition]]="Yes","Inactive","Active")</f>
        <v>Active</v>
      </c>
      <c r="U51" t="str">
        <f t="array" ref="U51">_xlfn.IFS(HR_Data[[#This Row],[Salary]]&gt;=100000,"A",HR_Data[[#This Row],[Salary]]&gt;=70000,"B",HR_Data[[#This Row],[Salary]]&gt;=50000,"C",TRUE(),"D")</f>
        <v>A</v>
      </c>
      <c r="V51" t="str">
        <f t="array" ref="V51">_xlfn.IFS(HR_Data[[#This Row],[Experience]]&gt;=15,"Expert",HR_Data[[#This Row],[Experience]]&gt;=8,"Senior",HR_Data[[#This Row],[Experience]]&gt;=3,"Mid-Level",TRUE(),"Junior")</f>
        <v>Expert</v>
      </c>
    </row>
    <row r="52" spans="1:22" ht="14.25" customHeight="1" x14ac:dyDescent="0.3">
      <c r="A52" t="s">
        <v>195</v>
      </c>
      <c r="B52" t="s">
        <v>196</v>
      </c>
      <c r="C52" t="s">
        <v>75</v>
      </c>
      <c r="D52" t="s">
        <v>33</v>
      </c>
      <c r="E52">
        <v>24</v>
      </c>
      <c r="F52">
        <v>26784</v>
      </c>
      <c r="G52">
        <v>0</v>
      </c>
      <c r="H52" t="s">
        <v>197</v>
      </c>
      <c r="I52" t="s">
        <v>35</v>
      </c>
      <c r="J52" t="s">
        <v>46</v>
      </c>
      <c r="K52" t="s">
        <v>29</v>
      </c>
      <c r="L52" t="str">
        <f t="array" ref="L52">_xlfn.IFS(HR_Data[[#This Row],[Experience]]&lt;2,"0-2 Years",HR_Data[[#This Row],[Experience]]&lt;5,"2-5 Years",HR_Data[[#This Row],[Experience]]&lt;10,"5-10 Years",TRUE(),"10+ Years")</f>
        <v>0-2 Years</v>
      </c>
      <c r="M52" t="str">
        <f t="array" ref="M52">_xlfn.IFS(HR_Data[[#This Row],[Salary]]&lt;40000,"Low",HR_Data[[#This Row],[Salary]]&lt;70000,"Medium",HR_Data[[#This Row],[Salary]]&lt;100000,"High",TRUE(),"Very High")</f>
        <v>Low</v>
      </c>
      <c r="N52" t="str">
        <f t="array" ref="N52">_xlfn.IFS(HR_Data[[#This Row],[Age]]&lt;25,"18-24",HR_Data[[#This Row],[Age]]&lt;35,"25-34",HR_Data[[#This Row],[Age]]&lt;45,"35-44",TRUE(),"45+")</f>
        <v>18-24</v>
      </c>
      <c r="O52">
        <f>YEAR(HR_Data[[#This Row],[Joining Date]])</f>
        <v>2023</v>
      </c>
      <c r="P52" t="str">
        <f>TEXT(HR_Data[[#This Row],[Joining Date]],"mmmm")</f>
        <v>September</v>
      </c>
      <c r="Q52">
        <f t="array" ref="Q52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52">
        <f>HR_Data[[#This Row],[Salary]]*HR_Data[[#This Row],[Bonus %]]</f>
        <v>1339.2</v>
      </c>
      <c r="S52">
        <f>HR_Data[[#This Row],[Salary]]+HR_Data[[#This Row],[Bonus Amount]]</f>
        <v>28123.200000000001</v>
      </c>
      <c r="T52" t="str">
        <f>IF(HR_Data[[#This Row],[Attrition]]="Yes","Inactive","Active")</f>
        <v>Active</v>
      </c>
      <c r="U52" t="str">
        <f t="array" ref="U52">_xlfn.IFS(HR_Data[[#This Row],[Salary]]&gt;=100000,"A",HR_Data[[#This Row],[Salary]]&gt;=70000,"B",HR_Data[[#This Row],[Salary]]&gt;=50000,"C",TRUE(),"D")</f>
        <v>D</v>
      </c>
      <c r="V52" t="str">
        <f t="array" ref="V52">_xlfn.IFS(HR_Data[[#This Row],[Experience]]&gt;=15,"Expert",HR_Data[[#This Row],[Experience]]&gt;=8,"Senior",HR_Data[[#This Row],[Experience]]&gt;=3,"Mid-Level",TRUE(),"Junior")</f>
        <v>Junior</v>
      </c>
    </row>
    <row r="53" spans="1:22" ht="14.25" customHeight="1" x14ac:dyDescent="0.3">
      <c r="A53" t="s">
        <v>198</v>
      </c>
      <c r="B53" t="s">
        <v>199</v>
      </c>
      <c r="C53" t="s">
        <v>93</v>
      </c>
      <c r="D53" t="s">
        <v>33</v>
      </c>
      <c r="E53">
        <v>37</v>
      </c>
      <c r="F53">
        <v>76081</v>
      </c>
      <c r="G53">
        <v>14</v>
      </c>
      <c r="H53" t="s">
        <v>200</v>
      </c>
      <c r="I53" t="s">
        <v>72</v>
      </c>
      <c r="J53" t="s">
        <v>63</v>
      </c>
      <c r="K53" t="s">
        <v>29</v>
      </c>
      <c r="L53" t="str">
        <f t="array" ref="L53">_xlfn.IFS(HR_Data[[#This Row],[Experience]]&lt;2,"0-2 Years",HR_Data[[#This Row],[Experience]]&lt;5,"2-5 Years",HR_Data[[#This Row],[Experience]]&lt;10,"5-10 Years",TRUE(),"10+ Years")</f>
        <v>10+ Years</v>
      </c>
      <c r="M53" t="str">
        <f t="array" ref="M53">_xlfn.IFS(HR_Data[[#This Row],[Salary]]&lt;40000,"Low",HR_Data[[#This Row],[Salary]]&lt;70000,"Medium",HR_Data[[#This Row],[Salary]]&lt;100000,"High",TRUE(),"Very High")</f>
        <v>High</v>
      </c>
      <c r="N53" t="str">
        <f t="array" ref="N53">_xlfn.IFS(HR_Data[[#This Row],[Age]]&lt;25,"18-24",HR_Data[[#This Row],[Age]]&lt;35,"25-34",HR_Data[[#This Row],[Age]]&lt;45,"35-44",TRUE(),"45+")</f>
        <v>35-44</v>
      </c>
      <c r="O53">
        <f>YEAR(HR_Data[[#This Row],[Joining Date]])</f>
        <v>2025</v>
      </c>
      <c r="P53" t="str">
        <f>TEXT(HR_Data[[#This Row],[Joining Date]],"mmmm")</f>
        <v>November</v>
      </c>
      <c r="Q53">
        <f t="array" ref="Q53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53">
        <f>HR_Data[[#This Row],[Salary]]*HR_Data[[#This Row],[Bonus %]]</f>
        <v>15216.2</v>
      </c>
      <c r="S53">
        <f>HR_Data[[#This Row],[Salary]]+HR_Data[[#This Row],[Bonus Amount]]</f>
        <v>91297.2</v>
      </c>
      <c r="T53" t="str">
        <f>IF(HR_Data[[#This Row],[Attrition]]="Yes","Inactive","Active")</f>
        <v>Active</v>
      </c>
      <c r="U53" t="str">
        <f t="array" ref="U53">_xlfn.IFS(HR_Data[[#This Row],[Salary]]&gt;=100000,"A",HR_Data[[#This Row],[Salary]]&gt;=70000,"B",HR_Data[[#This Row],[Salary]]&gt;=50000,"C",TRUE(),"D")</f>
        <v>B</v>
      </c>
      <c r="V53" t="str">
        <f t="array" ref="V53">_xlfn.IFS(HR_Data[[#This Row],[Experience]]&gt;=15,"Expert",HR_Data[[#This Row],[Experience]]&gt;=8,"Senior",HR_Data[[#This Row],[Experience]]&gt;=3,"Mid-Level",TRUE(),"Junior")</f>
        <v>Senior</v>
      </c>
    </row>
    <row r="54" spans="1:22" ht="14.25" customHeight="1" x14ac:dyDescent="0.3">
      <c r="A54" t="s">
        <v>201</v>
      </c>
      <c r="B54" t="s">
        <v>202</v>
      </c>
      <c r="C54" t="s">
        <v>112</v>
      </c>
      <c r="D54" t="s">
        <v>25</v>
      </c>
      <c r="E54">
        <v>53</v>
      </c>
      <c r="F54">
        <v>138711</v>
      </c>
      <c r="G54">
        <v>34</v>
      </c>
      <c r="H54" t="s">
        <v>203</v>
      </c>
      <c r="I54" t="s">
        <v>62</v>
      </c>
      <c r="J54" t="s">
        <v>63</v>
      </c>
      <c r="K54" t="s">
        <v>29</v>
      </c>
      <c r="L54" t="str">
        <f t="array" ref="L54">_xlfn.IFS(HR_Data[[#This Row],[Experience]]&lt;2,"0-2 Years",HR_Data[[#This Row],[Experience]]&lt;5,"2-5 Years",HR_Data[[#This Row],[Experience]]&lt;10,"5-10 Years",TRUE(),"10+ Years")</f>
        <v>10+ Years</v>
      </c>
      <c r="M54" t="str">
        <f t="array" ref="M54">_xlfn.IFS(HR_Data[[#This Row],[Salary]]&lt;40000,"Low",HR_Data[[#This Row],[Salary]]&lt;70000,"Medium",HR_Data[[#This Row],[Salary]]&lt;100000,"High",TRUE(),"Very High")</f>
        <v>Very High</v>
      </c>
      <c r="N54" t="str">
        <f t="array" ref="N54">_xlfn.IFS(HR_Data[[#This Row],[Age]]&lt;25,"18-24",HR_Data[[#This Row],[Age]]&lt;35,"25-34",HR_Data[[#This Row],[Age]]&lt;45,"35-44",TRUE(),"45+")</f>
        <v>45+</v>
      </c>
      <c r="O54">
        <f>YEAR(HR_Data[[#This Row],[Joining Date]])</f>
        <v>2015</v>
      </c>
      <c r="P54" t="str">
        <f>TEXT(HR_Data[[#This Row],[Joining Date]],"mmmm")</f>
        <v>August</v>
      </c>
      <c r="Q54">
        <f t="array" ref="Q54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54">
        <f>HR_Data[[#This Row],[Salary]]*HR_Data[[#This Row],[Bonus %]]</f>
        <v>27742.2</v>
      </c>
      <c r="S54">
        <f>HR_Data[[#This Row],[Salary]]+HR_Data[[#This Row],[Bonus Amount]]</f>
        <v>166453.20000000001</v>
      </c>
      <c r="T54" t="str">
        <f>IF(HR_Data[[#This Row],[Attrition]]="Yes","Inactive","Active")</f>
        <v>Active</v>
      </c>
      <c r="U54" t="str">
        <f t="array" ref="U54">_xlfn.IFS(HR_Data[[#This Row],[Salary]]&gt;=100000,"A",HR_Data[[#This Row],[Salary]]&gt;=70000,"B",HR_Data[[#This Row],[Salary]]&gt;=50000,"C",TRUE(),"D")</f>
        <v>A</v>
      </c>
      <c r="V54" t="str">
        <f t="array" ref="V54">_xlfn.IFS(HR_Data[[#This Row],[Experience]]&gt;=15,"Expert",HR_Data[[#This Row],[Experience]]&gt;=8,"Senior",HR_Data[[#This Row],[Experience]]&gt;=3,"Mid-Level",TRUE(),"Junior")</f>
        <v>Expert</v>
      </c>
    </row>
    <row r="55" spans="1:22" ht="14.25" customHeight="1" x14ac:dyDescent="0.3">
      <c r="A55" t="s">
        <v>204</v>
      </c>
      <c r="B55" t="s">
        <v>205</v>
      </c>
      <c r="C55" t="s">
        <v>134</v>
      </c>
      <c r="D55" t="s">
        <v>33</v>
      </c>
      <c r="E55">
        <v>42</v>
      </c>
      <c r="F55">
        <v>95899</v>
      </c>
      <c r="G55">
        <v>20</v>
      </c>
      <c r="H55" t="s">
        <v>206</v>
      </c>
      <c r="I55" t="s">
        <v>35</v>
      </c>
      <c r="J55" t="s">
        <v>28</v>
      </c>
      <c r="K55" t="s">
        <v>29</v>
      </c>
      <c r="L55" t="str">
        <f t="array" ref="L55">_xlfn.IFS(HR_Data[[#This Row],[Experience]]&lt;2,"0-2 Years",HR_Data[[#This Row],[Experience]]&lt;5,"2-5 Years",HR_Data[[#This Row],[Experience]]&lt;10,"5-10 Years",TRUE(),"10+ Years")</f>
        <v>10+ Years</v>
      </c>
      <c r="M55" t="str">
        <f t="array" ref="M55">_xlfn.IFS(HR_Data[[#This Row],[Salary]]&lt;40000,"Low",HR_Data[[#This Row],[Salary]]&lt;70000,"Medium",HR_Data[[#This Row],[Salary]]&lt;100000,"High",TRUE(),"Very High")</f>
        <v>High</v>
      </c>
      <c r="N55" t="str">
        <f t="array" ref="N55">_xlfn.IFS(HR_Data[[#This Row],[Age]]&lt;25,"18-24",HR_Data[[#This Row],[Age]]&lt;35,"25-34",HR_Data[[#This Row],[Age]]&lt;45,"35-44",TRUE(),"45+")</f>
        <v>35-44</v>
      </c>
      <c r="O55">
        <f>YEAR(HR_Data[[#This Row],[Joining Date]])</f>
        <v>2022</v>
      </c>
      <c r="P55" t="str">
        <f>TEXT(HR_Data[[#This Row],[Joining Date]],"mmmm")</f>
        <v>May</v>
      </c>
      <c r="Q55">
        <f t="array" ref="Q55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5">
        <f>HR_Data[[#This Row],[Salary]]*HR_Data[[#This Row],[Bonus %]]</f>
        <v>14384.85</v>
      </c>
      <c r="S55">
        <f>HR_Data[[#This Row],[Salary]]+HR_Data[[#This Row],[Bonus Amount]]</f>
        <v>110283.85</v>
      </c>
      <c r="T55" t="str">
        <f>IF(HR_Data[[#This Row],[Attrition]]="Yes","Inactive","Active")</f>
        <v>Active</v>
      </c>
      <c r="U55" t="str">
        <f t="array" ref="U55">_xlfn.IFS(HR_Data[[#This Row],[Salary]]&gt;=100000,"A",HR_Data[[#This Row],[Salary]]&gt;=70000,"B",HR_Data[[#This Row],[Salary]]&gt;=50000,"C",TRUE(),"D")</f>
        <v>B</v>
      </c>
      <c r="V55" t="str">
        <f t="array" ref="V55">_xlfn.IFS(HR_Data[[#This Row],[Experience]]&gt;=15,"Expert",HR_Data[[#This Row],[Experience]]&gt;=8,"Senior",HR_Data[[#This Row],[Experience]]&gt;=3,"Mid-Level",TRUE(),"Junior")</f>
        <v>Expert</v>
      </c>
    </row>
    <row r="56" spans="1:22" ht="14.25" customHeight="1" x14ac:dyDescent="0.3">
      <c r="A56" t="s">
        <v>207</v>
      </c>
      <c r="B56" t="s">
        <v>127</v>
      </c>
      <c r="C56" t="s">
        <v>112</v>
      </c>
      <c r="D56" t="s">
        <v>33</v>
      </c>
      <c r="E56">
        <v>31</v>
      </c>
      <c r="F56">
        <v>37875</v>
      </c>
      <c r="G56">
        <v>1</v>
      </c>
      <c r="H56" t="s">
        <v>208</v>
      </c>
      <c r="I56" t="s">
        <v>57</v>
      </c>
      <c r="J56" t="s">
        <v>90</v>
      </c>
      <c r="K56" t="s">
        <v>29</v>
      </c>
      <c r="L56" t="str">
        <f t="array" ref="L56">_xlfn.IFS(HR_Data[[#This Row],[Experience]]&lt;2,"0-2 Years",HR_Data[[#This Row],[Experience]]&lt;5,"2-5 Years",HR_Data[[#This Row],[Experience]]&lt;10,"5-10 Years",TRUE(),"10+ Years")</f>
        <v>0-2 Years</v>
      </c>
      <c r="M56" t="str">
        <f t="array" ref="M56">_xlfn.IFS(HR_Data[[#This Row],[Salary]]&lt;40000,"Low",HR_Data[[#This Row],[Salary]]&lt;70000,"Medium",HR_Data[[#This Row],[Salary]]&lt;100000,"High",TRUE(),"Very High")</f>
        <v>Low</v>
      </c>
      <c r="N56" t="str">
        <f t="array" ref="N56">_xlfn.IFS(HR_Data[[#This Row],[Age]]&lt;25,"18-24",HR_Data[[#This Row],[Age]]&lt;35,"25-34",HR_Data[[#This Row],[Age]]&lt;45,"35-44",TRUE(),"45+")</f>
        <v>25-34</v>
      </c>
      <c r="O56">
        <f>YEAR(HR_Data[[#This Row],[Joining Date]])</f>
        <v>2016</v>
      </c>
      <c r="P56" t="str">
        <f>TEXT(HR_Data[[#This Row],[Joining Date]],"mmmm")</f>
        <v>March</v>
      </c>
      <c r="Q56">
        <f t="array" ref="Q56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56">
        <f>HR_Data[[#This Row],[Salary]]*HR_Data[[#This Row],[Bonus %]]</f>
        <v>0</v>
      </c>
      <c r="S56">
        <f>HR_Data[[#This Row],[Salary]]+HR_Data[[#This Row],[Bonus Amount]]</f>
        <v>37875</v>
      </c>
      <c r="T56" t="str">
        <f>IF(HR_Data[[#This Row],[Attrition]]="Yes","Inactive","Active")</f>
        <v>Active</v>
      </c>
      <c r="U56" t="str">
        <f t="array" ref="U56">_xlfn.IFS(HR_Data[[#This Row],[Salary]]&gt;=100000,"A",HR_Data[[#This Row],[Salary]]&gt;=70000,"B",HR_Data[[#This Row],[Salary]]&gt;=50000,"C",TRUE(),"D")</f>
        <v>D</v>
      </c>
      <c r="V56" t="str">
        <f t="array" ref="V56">_xlfn.IFS(HR_Data[[#This Row],[Experience]]&gt;=15,"Expert",HR_Data[[#This Row],[Experience]]&gt;=8,"Senior",HR_Data[[#This Row],[Experience]]&gt;=3,"Mid-Level",TRUE(),"Junior")</f>
        <v>Junior</v>
      </c>
    </row>
    <row r="57" spans="1:22" ht="14.25" customHeight="1" x14ac:dyDescent="0.3">
      <c r="A57" t="s">
        <v>209</v>
      </c>
      <c r="B57" t="s">
        <v>210</v>
      </c>
      <c r="C57" t="s">
        <v>93</v>
      </c>
      <c r="D57" t="s">
        <v>25</v>
      </c>
      <c r="E57">
        <v>29</v>
      </c>
      <c r="F57">
        <v>25193</v>
      </c>
      <c r="G57">
        <v>1</v>
      </c>
      <c r="H57" t="s">
        <v>211</v>
      </c>
      <c r="I57" t="s">
        <v>67</v>
      </c>
      <c r="J57" t="s">
        <v>63</v>
      </c>
      <c r="K57" t="s">
        <v>29</v>
      </c>
      <c r="L57" t="str">
        <f t="array" ref="L57">_xlfn.IFS(HR_Data[[#This Row],[Experience]]&lt;2,"0-2 Years",HR_Data[[#This Row],[Experience]]&lt;5,"2-5 Years",HR_Data[[#This Row],[Experience]]&lt;10,"5-10 Years",TRUE(),"10+ Years")</f>
        <v>0-2 Years</v>
      </c>
      <c r="M57" t="str">
        <f t="array" ref="M57">_xlfn.IFS(HR_Data[[#This Row],[Salary]]&lt;40000,"Low",HR_Data[[#This Row],[Salary]]&lt;70000,"Medium",HR_Data[[#This Row],[Salary]]&lt;100000,"High",TRUE(),"Very High")</f>
        <v>Low</v>
      </c>
      <c r="N57" t="str">
        <f t="array" ref="N57">_xlfn.IFS(HR_Data[[#This Row],[Age]]&lt;25,"18-24",HR_Data[[#This Row],[Age]]&lt;35,"25-34",HR_Data[[#This Row],[Age]]&lt;45,"35-44",TRUE(),"45+")</f>
        <v>25-34</v>
      </c>
      <c r="O57">
        <f>YEAR(HR_Data[[#This Row],[Joining Date]])</f>
        <v>2020</v>
      </c>
      <c r="P57" t="str">
        <f>TEXT(HR_Data[[#This Row],[Joining Date]],"mmmm")</f>
        <v>May</v>
      </c>
      <c r="Q57">
        <f t="array" ref="Q57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57">
        <f>HR_Data[[#This Row],[Salary]]*HR_Data[[#This Row],[Bonus %]]</f>
        <v>5038.6000000000004</v>
      </c>
      <c r="S57">
        <f>HR_Data[[#This Row],[Salary]]+HR_Data[[#This Row],[Bonus Amount]]</f>
        <v>30231.599999999999</v>
      </c>
      <c r="T57" t="str">
        <f>IF(HR_Data[[#This Row],[Attrition]]="Yes","Inactive","Active")</f>
        <v>Active</v>
      </c>
      <c r="U57" t="str">
        <f t="array" ref="U57">_xlfn.IFS(HR_Data[[#This Row],[Salary]]&gt;=100000,"A",HR_Data[[#This Row],[Salary]]&gt;=70000,"B",HR_Data[[#This Row],[Salary]]&gt;=50000,"C",TRUE(),"D")</f>
        <v>D</v>
      </c>
      <c r="V57" t="str">
        <f t="array" ref="V57">_xlfn.IFS(HR_Data[[#This Row],[Experience]]&gt;=15,"Expert",HR_Data[[#This Row],[Experience]]&gt;=8,"Senior",HR_Data[[#This Row],[Experience]]&gt;=3,"Mid-Level",TRUE(),"Junior")</f>
        <v>Junior</v>
      </c>
    </row>
    <row r="58" spans="1:22" ht="14.25" customHeight="1" x14ac:dyDescent="0.3">
      <c r="A58" t="s">
        <v>212</v>
      </c>
      <c r="B58" t="s">
        <v>213</v>
      </c>
      <c r="C58" t="s">
        <v>24</v>
      </c>
      <c r="D58" t="s">
        <v>33</v>
      </c>
      <c r="E58">
        <v>38</v>
      </c>
      <c r="F58">
        <v>68898</v>
      </c>
      <c r="G58">
        <v>10</v>
      </c>
      <c r="H58" t="s">
        <v>214</v>
      </c>
      <c r="I58" t="s">
        <v>80</v>
      </c>
      <c r="J58" t="s">
        <v>46</v>
      </c>
      <c r="K58" t="s">
        <v>29</v>
      </c>
      <c r="L58" t="str">
        <f t="array" ref="L58">_xlfn.IFS(HR_Data[[#This Row],[Experience]]&lt;2,"0-2 Years",HR_Data[[#This Row],[Experience]]&lt;5,"2-5 Years",HR_Data[[#This Row],[Experience]]&lt;10,"5-10 Years",TRUE(),"10+ Years")</f>
        <v>10+ Years</v>
      </c>
      <c r="M58" t="str">
        <f t="array" ref="M58">_xlfn.IFS(HR_Data[[#This Row],[Salary]]&lt;40000,"Low",HR_Data[[#This Row],[Salary]]&lt;70000,"Medium",HR_Data[[#This Row],[Salary]]&lt;100000,"High",TRUE(),"Very High")</f>
        <v>Medium</v>
      </c>
      <c r="N58" t="str">
        <f t="array" ref="N58">_xlfn.IFS(HR_Data[[#This Row],[Age]]&lt;25,"18-24",HR_Data[[#This Row],[Age]]&lt;35,"25-34",HR_Data[[#This Row],[Age]]&lt;45,"35-44",TRUE(),"45+")</f>
        <v>35-44</v>
      </c>
      <c r="O58">
        <f>YEAR(HR_Data[[#This Row],[Joining Date]])</f>
        <v>2017</v>
      </c>
      <c r="P58" t="str">
        <f>TEXT(HR_Data[[#This Row],[Joining Date]],"mmmm")</f>
        <v>July</v>
      </c>
      <c r="Q58">
        <f t="array" ref="Q58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58">
        <f>HR_Data[[#This Row],[Salary]]*HR_Data[[#This Row],[Bonus %]]</f>
        <v>3444.9</v>
      </c>
      <c r="S58">
        <f>HR_Data[[#This Row],[Salary]]+HR_Data[[#This Row],[Bonus Amount]]</f>
        <v>72342.899999999994</v>
      </c>
      <c r="T58" t="str">
        <f>IF(HR_Data[[#This Row],[Attrition]]="Yes","Inactive","Active")</f>
        <v>Active</v>
      </c>
      <c r="U58" t="str">
        <f t="array" ref="U58">_xlfn.IFS(HR_Data[[#This Row],[Salary]]&gt;=100000,"A",HR_Data[[#This Row],[Salary]]&gt;=70000,"B",HR_Data[[#This Row],[Salary]]&gt;=50000,"C",TRUE(),"D")</f>
        <v>C</v>
      </c>
      <c r="V58" t="str">
        <f t="array" ref="V58">_xlfn.IFS(HR_Data[[#This Row],[Experience]]&gt;=15,"Expert",HR_Data[[#This Row],[Experience]]&gt;=8,"Senior",HR_Data[[#This Row],[Experience]]&gt;=3,"Mid-Level",TRUE(),"Junior")</f>
        <v>Senior</v>
      </c>
    </row>
    <row r="59" spans="1:22" ht="14.25" customHeight="1" x14ac:dyDescent="0.3">
      <c r="A59" t="s">
        <v>215</v>
      </c>
      <c r="B59" t="s">
        <v>216</v>
      </c>
      <c r="C59" t="s">
        <v>134</v>
      </c>
      <c r="D59" t="s">
        <v>33</v>
      </c>
      <c r="E59">
        <v>49</v>
      </c>
      <c r="F59">
        <v>100298</v>
      </c>
      <c r="G59">
        <v>24</v>
      </c>
      <c r="H59" t="s">
        <v>217</v>
      </c>
      <c r="I59" t="s">
        <v>72</v>
      </c>
      <c r="J59" t="s">
        <v>36</v>
      </c>
      <c r="K59" t="s">
        <v>29</v>
      </c>
      <c r="L59" t="str">
        <f t="array" ref="L59">_xlfn.IFS(HR_Data[[#This Row],[Experience]]&lt;2,"0-2 Years",HR_Data[[#This Row],[Experience]]&lt;5,"2-5 Years",HR_Data[[#This Row],[Experience]]&lt;10,"5-10 Years",TRUE(),"10+ Years")</f>
        <v>10+ Years</v>
      </c>
      <c r="M59" t="str">
        <f t="array" ref="M59">_xlfn.IFS(HR_Data[[#This Row],[Salary]]&lt;40000,"Low",HR_Data[[#This Row],[Salary]]&lt;70000,"Medium",HR_Data[[#This Row],[Salary]]&lt;100000,"High",TRUE(),"Very High")</f>
        <v>Very High</v>
      </c>
      <c r="N59" t="str">
        <f t="array" ref="N59">_xlfn.IFS(HR_Data[[#This Row],[Age]]&lt;25,"18-24",HR_Data[[#This Row],[Age]]&lt;35,"25-34",HR_Data[[#This Row],[Age]]&lt;45,"35-44",TRUE(),"45+")</f>
        <v>45+</v>
      </c>
      <c r="O59">
        <f>YEAR(HR_Data[[#This Row],[Joining Date]])</f>
        <v>2016</v>
      </c>
      <c r="P59" t="str">
        <f>TEXT(HR_Data[[#This Row],[Joining Date]],"mmmm")</f>
        <v>September</v>
      </c>
      <c r="Q59">
        <f t="array" ref="Q5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9">
        <f>HR_Data[[#This Row],[Salary]]*HR_Data[[#This Row],[Bonus %]]</f>
        <v>10029.800000000001</v>
      </c>
      <c r="S59">
        <f>HR_Data[[#This Row],[Salary]]+HR_Data[[#This Row],[Bonus Amount]]</f>
        <v>110327.8</v>
      </c>
      <c r="T59" t="str">
        <f>IF(HR_Data[[#This Row],[Attrition]]="Yes","Inactive","Active")</f>
        <v>Active</v>
      </c>
      <c r="U59" t="str">
        <f t="array" ref="U59">_xlfn.IFS(HR_Data[[#This Row],[Salary]]&gt;=100000,"A",HR_Data[[#This Row],[Salary]]&gt;=70000,"B",HR_Data[[#This Row],[Salary]]&gt;=50000,"C",TRUE(),"D")</f>
        <v>A</v>
      </c>
      <c r="V59" t="str">
        <f t="array" ref="V59">_xlfn.IFS(HR_Data[[#This Row],[Experience]]&gt;=15,"Expert",HR_Data[[#This Row],[Experience]]&gt;=8,"Senior",HR_Data[[#This Row],[Experience]]&gt;=3,"Mid-Level",TRUE(),"Junior")</f>
        <v>Expert</v>
      </c>
    </row>
    <row r="60" spans="1:22" ht="14.25" customHeight="1" x14ac:dyDescent="0.3">
      <c r="A60" t="s">
        <v>218</v>
      </c>
      <c r="B60" t="s">
        <v>158</v>
      </c>
      <c r="C60" t="s">
        <v>32</v>
      </c>
      <c r="D60" t="s">
        <v>25</v>
      </c>
      <c r="E60">
        <v>26</v>
      </c>
      <c r="F60">
        <v>40856</v>
      </c>
      <c r="G60">
        <v>2</v>
      </c>
      <c r="H60" t="s">
        <v>219</v>
      </c>
      <c r="I60" t="s">
        <v>42</v>
      </c>
      <c r="J60" t="s">
        <v>36</v>
      </c>
      <c r="K60" t="s">
        <v>37</v>
      </c>
      <c r="L60" t="str">
        <f t="array" ref="L60">_xlfn.IFS(HR_Data[[#This Row],[Experience]]&lt;2,"0-2 Years",HR_Data[[#This Row],[Experience]]&lt;5,"2-5 Years",HR_Data[[#This Row],[Experience]]&lt;10,"5-10 Years",TRUE(),"10+ Years")</f>
        <v>2-5 Years</v>
      </c>
      <c r="M60" t="str">
        <f t="array" ref="M60">_xlfn.IFS(HR_Data[[#This Row],[Salary]]&lt;40000,"Low",HR_Data[[#This Row],[Salary]]&lt;70000,"Medium",HR_Data[[#This Row],[Salary]]&lt;100000,"High",TRUE(),"Very High")</f>
        <v>Medium</v>
      </c>
      <c r="N60" t="str">
        <f t="array" ref="N60">_xlfn.IFS(HR_Data[[#This Row],[Age]]&lt;25,"18-24",HR_Data[[#This Row],[Age]]&lt;35,"25-34",HR_Data[[#This Row],[Age]]&lt;45,"35-44",TRUE(),"45+")</f>
        <v>25-34</v>
      </c>
      <c r="O60">
        <f>YEAR(HR_Data[[#This Row],[Joining Date]])</f>
        <v>2024</v>
      </c>
      <c r="P60" t="str">
        <f>TEXT(HR_Data[[#This Row],[Joining Date]],"mmmm")</f>
        <v>August</v>
      </c>
      <c r="Q60">
        <f t="array" ref="Q6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0">
        <f>HR_Data[[#This Row],[Salary]]*HR_Data[[#This Row],[Bonus %]]</f>
        <v>4085.6000000000004</v>
      </c>
      <c r="S60">
        <f>HR_Data[[#This Row],[Salary]]+HR_Data[[#This Row],[Bonus Amount]]</f>
        <v>44941.599999999999</v>
      </c>
      <c r="T60" t="str">
        <f>IF(HR_Data[[#This Row],[Attrition]]="Yes","Inactive","Active")</f>
        <v>Inactive</v>
      </c>
      <c r="U60" t="str">
        <f t="array" ref="U60">_xlfn.IFS(HR_Data[[#This Row],[Salary]]&gt;=100000,"A",HR_Data[[#This Row],[Salary]]&gt;=70000,"B",HR_Data[[#This Row],[Salary]]&gt;=50000,"C",TRUE(),"D")</f>
        <v>D</v>
      </c>
      <c r="V60" t="str">
        <f t="array" ref="V60">_xlfn.IFS(HR_Data[[#This Row],[Experience]]&gt;=15,"Expert",HR_Data[[#This Row],[Experience]]&gt;=8,"Senior",HR_Data[[#This Row],[Experience]]&gt;=3,"Mid-Level",TRUE(),"Junior")</f>
        <v>Junior</v>
      </c>
    </row>
    <row r="61" spans="1:22" ht="14.25" customHeight="1" x14ac:dyDescent="0.3">
      <c r="A61" t="s">
        <v>220</v>
      </c>
      <c r="B61" t="s">
        <v>65</v>
      </c>
      <c r="C61" t="s">
        <v>75</v>
      </c>
      <c r="D61" t="s">
        <v>25</v>
      </c>
      <c r="E61">
        <v>51</v>
      </c>
      <c r="F61">
        <v>118464</v>
      </c>
      <c r="G61">
        <v>27</v>
      </c>
      <c r="H61" t="s">
        <v>221</v>
      </c>
      <c r="I61" t="s">
        <v>35</v>
      </c>
      <c r="J61" t="s">
        <v>36</v>
      </c>
      <c r="K61" t="s">
        <v>29</v>
      </c>
      <c r="L61" t="str">
        <f t="array" ref="L61">_xlfn.IFS(HR_Data[[#This Row],[Experience]]&lt;2,"0-2 Years",HR_Data[[#This Row],[Experience]]&lt;5,"2-5 Years",HR_Data[[#This Row],[Experience]]&lt;10,"5-10 Years",TRUE(),"10+ Years")</f>
        <v>10+ Years</v>
      </c>
      <c r="M61" t="str">
        <f t="array" ref="M61">_xlfn.IFS(HR_Data[[#This Row],[Salary]]&lt;40000,"Low",HR_Data[[#This Row],[Salary]]&lt;70000,"Medium",HR_Data[[#This Row],[Salary]]&lt;100000,"High",TRUE(),"Very High")</f>
        <v>Very High</v>
      </c>
      <c r="N61" t="str">
        <f t="array" ref="N61">_xlfn.IFS(HR_Data[[#This Row],[Age]]&lt;25,"18-24",HR_Data[[#This Row],[Age]]&lt;35,"25-34",HR_Data[[#This Row],[Age]]&lt;45,"35-44",TRUE(),"45+")</f>
        <v>45+</v>
      </c>
      <c r="O61">
        <f>YEAR(HR_Data[[#This Row],[Joining Date]])</f>
        <v>2018</v>
      </c>
      <c r="P61" t="str">
        <f>TEXT(HR_Data[[#This Row],[Joining Date]],"mmmm")</f>
        <v>June</v>
      </c>
      <c r="Q61">
        <f t="array" ref="Q6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1">
        <f>HR_Data[[#This Row],[Salary]]*HR_Data[[#This Row],[Bonus %]]</f>
        <v>11846.400000000001</v>
      </c>
      <c r="S61">
        <f>HR_Data[[#This Row],[Salary]]+HR_Data[[#This Row],[Bonus Amount]]</f>
        <v>130310.39999999999</v>
      </c>
      <c r="T61" t="str">
        <f>IF(HR_Data[[#This Row],[Attrition]]="Yes","Inactive","Active")</f>
        <v>Active</v>
      </c>
      <c r="U61" t="str">
        <f t="array" ref="U61">_xlfn.IFS(HR_Data[[#This Row],[Salary]]&gt;=100000,"A",HR_Data[[#This Row],[Salary]]&gt;=70000,"B",HR_Data[[#This Row],[Salary]]&gt;=50000,"C",TRUE(),"D")</f>
        <v>A</v>
      </c>
      <c r="V61" t="str">
        <f t="array" ref="V61">_xlfn.IFS(HR_Data[[#This Row],[Experience]]&gt;=15,"Expert",HR_Data[[#This Row],[Experience]]&gt;=8,"Senior",HR_Data[[#This Row],[Experience]]&gt;=3,"Mid-Level",TRUE(),"Junior")</f>
        <v>Expert</v>
      </c>
    </row>
    <row r="62" spans="1:22" ht="14.25" customHeight="1" x14ac:dyDescent="0.3">
      <c r="A62" t="s">
        <v>222</v>
      </c>
      <c r="B62" t="s">
        <v>223</v>
      </c>
      <c r="C62" t="s">
        <v>93</v>
      </c>
      <c r="D62" t="s">
        <v>33</v>
      </c>
      <c r="E62">
        <v>57</v>
      </c>
      <c r="F62">
        <v>122814</v>
      </c>
      <c r="G62">
        <v>27</v>
      </c>
      <c r="H62" t="s">
        <v>224</v>
      </c>
      <c r="I62" t="s">
        <v>35</v>
      </c>
      <c r="J62" t="s">
        <v>28</v>
      </c>
      <c r="K62" t="s">
        <v>29</v>
      </c>
      <c r="L62" t="str">
        <f t="array" ref="L62">_xlfn.IFS(HR_Data[[#This Row],[Experience]]&lt;2,"0-2 Years",HR_Data[[#This Row],[Experience]]&lt;5,"2-5 Years",HR_Data[[#This Row],[Experience]]&lt;10,"5-10 Years",TRUE(),"10+ Years")</f>
        <v>10+ Years</v>
      </c>
      <c r="M62" t="str">
        <f t="array" ref="M62">_xlfn.IFS(HR_Data[[#This Row],[Salary]]&lt;40000,"Low",HR_Data[[#This Row],[Salary]]&lt;70000,"Medium",HR_Data[[#This Row],[Salary]]&lt;100000,"High",TRUE(),"Very High")</f>
        <v>Very High</v>
      </c>
      <c r="N62" t="str">
        <f t="array" ref="N62">_xlfn.IFS(HR_Data[[#This Row],[Age]]&lt;25,"18-24",HR_Data[[#This Row],[Age]]&lt;35,"25-34",HR_Data[[#This Row],[Age]]&lt;45,"35-44",TRUE(),"45+")</f>
        <v>45+</v>
      </c>
      <c r="O62">
        <f>YEAR(HR_Data[[#This Row],[Joining Date]])</f>
        <v>2021</v>
      </c>
      <c r="P62" t="str">
        <f>TEXT(HR_Data[[#This Row],[Joining Date]],"mmmm")</f>
        <v>January</v>
      </c>
      <c r="Q62">
        <f t="array" ref="Q62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62">
        <f>HR_Data[[#This Row],[Salary]]*HR_Data[[#This Row],[Bonus %]]</f>
        <v>18422.099999999999</v>
      </c>
      <c r="S62">
        <f>HR_Data[[#This Row],[Salary]]+HR_Data[[#This Row],[Bonus Amount]]</f>
        <v>141236.1</v>
      </c>
      <c r="T62" t="str">
        <f>IF(HR_Data[[#This Row],[Attrition]]="Yes","Inactive","Active")</f>
        <v>Active</v>
      </c>
      <c r="U62" t="str">
        <f t="array" ref="U62">_xlfn.IFS(HR_Data[[#This Row],[Salary]]&gt;=100000,"A",HR_Data[[#This Row],[Salary]]&gt;=70000,"B",HR_Data[[#This Row],[Salary]]&gt;=50000,"C",TRUE(),"D")</f>
        <v>A</v>
      </c>
      <c r="V62" t="str">
        <f t="array" ref="V62">_xlfn.IFS(HR_Data[[#This Row],[Experience]]&gt;=15,"Expert",HR_Data[[#This Row],[Experience]]&gt;=8,"Senior",HR_Data[[#This Row],[Experience]]&gt;=3,"Mid-Level",TRUE(),"Junior")</f>
        <v>Expert</v>
      </c>
    </row>
    <row r="63" spans="1:22" ht="14.25" customHeight="1" x14ac:dyDescent="0.3">
      <c r="A63" t="s">
        <v>225</v>
      </c>
      <c r="B63" t="s">
        <v>226</v>
      </c>
      <c r="C63" t="s">
        <v>134</v>
      </c>
      <c r="D63" t="s">
        <v>25</v>
      </c>
      <c r="E63">
        <v>48</v>
      </c>
      <c r="F63">
        <v>94740</v>
      </c>
      <c r="G63">
        <v>24</v>
      </c>
      <c r="H63" t="s">
        <v>180</v>
      </c>
      <c r="I63" t="s">
        <v>80</v>
      </c>
      <c r="J63" t="s">
        <v>46</v>
      </c>
      <c r="K63" t="s">
        <v>29</v>
      </c>
      <c r="L63" t="str">
        <f t="array" ref="L63">_xlfn.IFS(HR_Data[[#This Row],[Experience]]&lt;2,"0-2 Years",HR_Data[[#This Row],[Experience]]&lt;5,"2-5 Years",HR_Data[[#This Row],[Experience]]&lt;10,"5-10 Years",TRUE(),"10+ Years")</f>
        <v>10+ Years</v>
      </c>
      <c r="M63" t="str">
        <f t="array" ref="M63">_xlfn.IFS(HR_Data[[#This Row],[Salary]]&lt;40000,"Low",HR_Data[[#This Row],[Salary]]&lt;70000,"Medium",HR_Data[[#This Row],[Salary]]&lt;100000,"High",TRUE(),"Very High")</f>
        <v>High</v>
      </c>
      <c r="N63" t="str">
        <f t="array" ref="N63">_xlfn.IFS(HR_Data[[#This Row],[Age]]&lt;25,"18-24",HR_Data[[#This Row],[Age]]&lt;35,"25-34",HR_Data[[#This Row],[Age]]&lt;45,"35-44",TRUE(),"45+")</f>
        <v>45+</v>
      </c>
      <c r="O63">
        <f>YEAR(HR_Data[[#This Row],[Joining Date]])</f>
        <v>2026</v>
      </c>
      <c r="P63" t="str">
        <f>TEXT(HR_Data[[#This Row],[Joining Date]],"mmmm")</f>
        <v>February</v>
      </c>
      <c r="Q63">
        <f t="array" ref="Q63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63">
        <f>HR_Data[[#This Row],[Salary]]*HR_Data[[#This Row],[Bonus %]]</f>
        <v>4737</v>
      </c>
      <c r="S63">
        <f>HR_Data[[#This Row],[Salary]]+HR_Data[[#This Row],[Bonus Amount]]</f>
        <v>99477</v>
      </c>
      <c r="T63" t="str">
        <f>IF(HR_Data[[#This Row],[Attrition]]="Yes","Inactive","Active")</f>
        <v>Active</v>
      </c>
      <c r="U63" t="str">
        <f t="array" ref="U63">_xlfn.IFS(HR_Data[[#This Row],[Salary]]&gt;=100000,"A",HR_Data[[#This Row],[Salary]]&gt;=70000,"B",HR_Data[[#This Row],[Salary]]&gt;=50000,"C",TRUE(),"D")</f>
        <v>B</v>
      </c>
      <c r="V63" t="str">
        <f t="array" ref="V63">_xlfn.IFS(HR_Data[[#This Row],[Experience]]&gt;=15,"Expert",HR_Data[[#This Row],[Experience]]&gt;=8,"Senior",HR_Data[[#This Row],[Experience]]&gt;=3,"Mid-Level",TRUE(),"Junior")</f>
        <v>Expert</v>
      </c>
    </row>
    <row r="64" spans="1:22" ht="14.25" customHeight="1" x14ac:dyDescent="0.3">
      <c r="A64" t="s">
        <v>227</v>
      </c>
      <c r="B64" t="s">
        <v>228</v>
      </c>
      <c r="C64" t="s">
        <v>60</v>
      </c>
      <c r="D64" t="s">
        <v>25</v>
      </c>
      <c r="E64">
        <v>44</v>
      </c>
      <c r="F64">
        <v>71732</v>
      </c>
      <c r="G64">
        <v>17</v>
      </c>
      <c r="H64" t="s">
        <v>229</v>
      </c>
      <c r="I64" t="s">
        <v>35</v>
      </c>
      <c r="J64" t="s">
        <v>63</v>
      </c>
      <c r="K64" t="s">
        <v>29</v>
      </c>
      <c r="L64" t="str">
        <f t="array" ref="L64">_xlfn.IFS(HR_Data[[#This Row],[Experience]]&lt;2,"0-2 Years",HR_Data[[#This Row],[Experience]]&lt;5,"2-5 Years",HR_Data[[#This Row],[Experience]]&lt;10,"5-10 Years",TRUE(),"10+ Years")</f>
        <v>10+ Years</v>
      </c>
      <c r="M64" t="str">
        <f t="array" ref="M64">_xlfn.IFS(HR_Data[[#This Row],[Salary]]&lt;40000,"Low",HR_Data[[#This Row],[Salary]]&lt;70000,"Medium",HR_Data[[#This Row],[Salary]]&lt;100000,"High",TRUE(),"Very High")</f>
        <v>High</v>
      </c>
      <c r="N64" t="str">
        <f t="array" ref="N64">_xlfn.IFS(HR_Data[[#This Row],[Age]]&lt;25,"18-24",HR_Data[[#This Row],[Age]]&lt;35,"25-34",HR_Data[[#This Row],[Age]]&lt;45,"35-44",TRUE(),"45+")</f>
        <v>35-44</v>
      </c>
      <c r="O64">
        <f>YEAR(HR_Data[[#This Row],[Joining Date]])</f>
        <v>2019</v>
      </c>
      <c r="P64" t="str">
        <f>TEXT(HR_Data[[#This Row],[Joining Date]],"mmmm")</f>
        <v>April</v>
      </c>
      <c r="Q64">
        <f t="array" ref="Q64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64">
        <f>HR_Data[[#This Row],[Salary]]*HR_Data[[#This Row],[Bonus %]]</f>
        <v>14346.400000000001</v>
      </c>
      <c r="S64">
        <f>HR_Data[[#This Row],[Salary]]+HR_Data[[#This Row],[Bonus Amount]]</f>
        <v>86078.399999999994</v>
      </c>
      <c r="T64" t="str">
        <f>IF(HR_Data[[#This Row],[Attrition]]="Yes","Inactive","Active")</f>
        <v>Active</v>
      </c>
      <c r="U64" t="str">
        <f t="array" ref="U64">_xlfn.IFS(HR_Data[[#This Row],[Salary]]&gt;=100000,"A",HR_Data[[#This Row],[Salary]]&gt;=70000,"B",HR_Data[[#This Row],[Salary]]&gt;=50000,"C",TRUE(),"D")</f>
        <v>B</v>
      </c>
      <c r="V64" t="str">
        <f t="array" ref="V64">_xlfn.IFS(HR_Data[[#This Row],[Experience]]&gt;=15,"Expert",HR_Data[[#This Row],[Experience]]&gt;=8,"Senior",HR_Data[[#This Row],[Experience]]&gt;=3,"Mid-Level",TRUE(),"Junior")</f>
        <v>Expert</v>
      </c>
    </row>
    <row r="65" spans="1:22" ht="14.25" customHeight="1" x14ac:dyDescent="0.3">
      <c r="A65" t="s">
        <v>230</v>
      </c>
      <c r="B65" t="s">
        <v>231</v>
      </c>
      <c r="C65" t="s">
        <v>55</v>
      </c>
      <c r="D65" t="s">
        <v>25</v>
      </c>
      <c r="E65">
        <v>47</v>
      </c>
      <c r="F65">
        <v>109649</v>
      </c>
      <c r="G65">
        <v>28</v>
      </c>
      <c r="H65" t="s">
        <v>232</v>
      </c>
      <c r="I65" t="s">
        <v>45</v>
      </c>
      <c r="J65" t="s">
        <v>28</v>
      </c>
      <c r="K65" t="s">
        <v>29</v>
      </c>
      <c r="L65" t="str">
        <f t="array" ref="L65">_xlfn.IFS(HR_Data[[#This Row],[Experience]]&lt;2,"0-2 Years",HR_Data[[#This Row],[Experience]]&lt;5,"2-5 Years",HR_Data[[#This Row],[Experience]]&lt;10,"5-10 Years",TRUE(),"10+ Years")</f>
        <v>10+ Years</v>
      </c>
      <c r="M65" t="str">
        <f t="array" ref="M65">_xlfn.IFS(HR_Data[[#This Row],[Salary]]&lt;40000,"Low",HR_Data[[#This Row],[Salary]]&lt;70000,"Medium",HR_Data[[#This Row],[Salary]]&lt;100000,"High",TRUE(),"Very High")</f>
        <v>Very High</v>
      </c>
      <c r="N65" t="str">
        <f t="array" ref="N65">_xlfn.IFS(HR_Data[[#This Row],[Age]]&lt;25,"18-24",HR_Data[[#This Row],[Age]]&lt;35,"25-34",HR_Data[[#This Row],[Age]]&lt;45,"35-44",TRUE(),"45+")</f>
        <v>45+</v>
      </c>
      <c r="O65">
        <f>YEAR(HR_Data[[#This Row],[Joining Date]])</f>
        <v>2021</v>
      </c>
      <c r="P65" t="str">
        <f>TEXT(HR_Data[[#This Row],[Joining Date]],"mmmm")</f>
        <v>August</v>
      </c>
      <c r="Q65">
        <f t="array" ref="Q65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65">
        <f>HR_Data[[#This Row],[Salary]]*HR_Data[[#This Row],[Bonus %]]</f>
        <v>16447.349999999999</v>
      </c>
      <c r="S65">
        <f>HR_Data[[#This Row],[Salary]]+HR_Data[[#This Row],[Bonus Amount]]</f>
        <v>126096.35</v>
      </c>
      <c r="T65" t="str">
        <f>IF(HR_Data[[#This Row],[Attrition]]="Yes","Inactive","Active")</f>
        <v>Active</v>
      </c>
      <c r="U65" t="str">
        <f t="array" ref="U65">_xlfn.IFS(HR_Data[[#This Row],[Salary]]&gt;=100000,"A",HR_Data[[#This Row],[Salary]]&gt;=70000,"B",HR_Data[[#This Row],[Salary]]&gt;=50000,"C",TRUE(),"D")</f>
        <v>A</v>
      </c>
      <c r="V65" t="str">
        <f t="array" ref="V65">_xlfn.IFS(HR_Data[[#This Row],[Experience]]&gt;=15,"Expert",HR_Data[[#This Row],[Experience]]&gt;=8,"Senior",HR_Data[[#This Row],[Experience]]&gt;=3,"Mid-Level",TRUE(),"Junior")</f>
        <v>Expert</v>
      </c>
    </row>
    <row r="66" spans="1:22" ht="14.25" customHeight="1" x14ac:dyDescent="0.3">
      <c r="A66" t="s">
        <v>233</v>
      </c>
      <c r="B66" t="s">
        <v>234</v>
      </c>
      <c r="C66" t="s">
        <v>60</v>
      </c>
      <c r="D66" t="s">
        <v>33</v>
      </c>
      <c r="E66">
        <v>57</v>
      </c>
      <c r="F66">
        <v>136542</v>
      </c>
      <c r="G66">
        <v>33</v>
      </c>
      <c r="H66" t="s">
        <v>235</v>
      </c>
      <c r="I66" t="s">
        <v>57</v>
      </c>
      <c r="J66" t="s">
        <v>28</v>
      </c>
      <c r="K66" t="s">
        <v>29</v>
      </c>
      <c r="L66" t="str">
        <f t="array" ref="L66">_xlfn.IFS(HR_Data[[#This Row],[Experience]]&lt;2,"0-2 Years",HR_Data[[#This Row],[Experience]]&lt;5,"2-5 Years",HR_Data[[#This Row],[Experience]]&lt;10,"5-10 Years",TRUE(),"10+ Years")</f>
        <v>10+ Years</v>
      </c>
      <c r="M66" t="str">
        <f t="array" ref="M66">_xlfn.IFS(HR_Data[[#This Row],[Salary]]&lt;40000,"Low",HR_Data[[#This Row],[Salary]]&lt;70000,"Medium",HR_Data[[#This Row],[Salary]]&lt;100000,"High",TRUE(),"Very High")</f>
        <v>Very High</v>
      </c>
      <c r="N66" t="str">
        <f t="array" ref="N66">_xlfn.IFS(HR_Data[[#This Row],[Age]]&lt;25,"18-24",HR_Data[[#This Row],[Age]]&lt;35,"25-34",HR_Data[[#This Row],[Age]]&lt;45,"35-44",TRUE(),"45+")</f>
        <v>45+</v>
      </c>
      <c r="O66">
        <f>YEAR(HR_Data[[#This Row],[Joining Date]])</f>
        <v>2022</v>
      </c>
      <c r="P66" t="str">
        <f>TEXT(HR_Data[[#This Row],[Joining Date]],"mmmm")</f>
        <v>June</v>
      </c>
      <c r="Q66">
        <f t="array" ref="Q66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66">
        <f>HR_Data[[#This Row],[Salary]]*HR_Data[[#This Row],[Bonus %]]</f>
        <v>20481.3</v>
      </c>
      <c r="S66">
        <f>HR_Data[[#This Row],[Salary]]+HR_Data[[#This Row],[Bonus Amount]]</f>
        <v>157023.29999999999</v>
      </c>
      <c r="T66" t="str">
        <f>IF(HR_Data[[#This Row],[Attrition]]="Yes","Inactive","Active")</f>
        <v>Active</v>
      </c>
      <c r="U66" t="str">
        <f t="array" ref="U66">_xlfn.IFS(HR_Data[[#This Row],[Salary]]&gt;=100000,"A",HR_Data[[#This Row],[Salary]]&gt;=70000,"B",HR_Data[[#This Row],[Salary]]&gt;=50000,"C",TRUE(),"D")</f>
        <v>A</v>
      </c>
      <c r="V66" t="str">
        <f t="array" ref="V66">_xlfn.IFS(HR_Data[[#This Row],[Experience]]&gt;=15,"Expert",HR_Data[[#This Row],[Experience]]&gt;=8,"Senior",HR_Data[[#This Row],[Experience]]&gt;=3,"Mid-Level",TRUE(),"Junior")</f>
        <v>Expert</v>
      </c>
    </row>
    <row r="67" spans="1:22" ht="14.25" customHeight="1" x14ac:dyDescent="0.3">
      <c r="A67" t="s">
        <v>236</v>
      </c>
      <c r="B67" t="s">
        <v>65</v>
      </c>
      <c r="C67" t="s">
        <v>75</v>
      </c>
      <c r="D67" t="s">
        <v>25</v>
      </c>
      <c r="E67">
        <v>40</v>
      </c>
      <c r="F67">
        <v>98559</v>
      </c>
      <c r="G67">
        <v>20</v>
      </c>
      <c r="H67" t="s">
        <v>237</v>
      </c>
      <c r="I67" t="s">
        <v>42</v>
      </c>
      <c r="J67" t="s">
        <v>28</v>
      </c>
      <c r="K67" t="s">
        <v>29</v>
      </c>
      <c r="L67" t="str">
        <f t="array" ref="L67">_xlfn.IFS(HR_Data[[#This Row],[Experience]]&lt;2,"0-2 Years",HR_Data[[#This Row],[Experience]]&lt;5,"2-5 Years",HR_Data[[#This Row],[Experience]]&lt;10,"5-10 Years",TRUE(),"10+ Years")</f>
        <v>10+ Years</v>
      </c>
      <c r="M67" t="str">
        <f t="array" ref="M67">_xlfn.IFS(HR_Data[[#This Row],[Salary]]&lt;40000,"Low",HR_Data[[#This Row],[Salary]]&lt;70000,"Medium",HR_Data[[#This Row],[Salary]]&lt;100000,"High",TRUE(),"Very High")</f>
        <v>High</v>
      </c>
      <c r="N67" t="str">
        <f t="array" ref="N67">_xlfn.IFS(HR_Data[[#This Row],[Age]]&lt;25,"18-24",HR_Data[[#This Row],[Age]]&lt;35,"25-34",HR_Data[[#This Row],[Age]]&lt;45,"35-44",TRUE(),"45+")</f>
        <v>35-44</v>
      </c>
      <c r="O67">
        <f>YEAR(HR_Data[[#This Row],[Joining Date]])</f>
        <v>2019</v>
      </c>
      <c r="P67" t="str">
        <f>TEXT(HR_Data[[#This Row],[Joining Date]],"mmmm")</f>
        <v>February</v>
      </c>
      <c r="Q67">
        <f t="array" ref="Q6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67">
        <f>HR_Data[[#This Row],[Salary]]*HR_Data[[#This Row],[Bonus %]]</f>
        <v>14783.849999999999</v>
      </c>
      <c r="S67">
        <f>HR_Data[[#This Row],[Salary]]+HR_Data[[#This Row],[Bonus Amount]]</f>
        <v>113342.85</v>
      </c>
      <c r="T67" t="str">
        <f>IF(HR_Data[[#This Row],[Attrition]]="Yes","Inactive","Active")</f>
        <v>Active</v>
      </c>
      <c r="U67" t="str">
        <f t="array" ref="U67">_xlfn.IFS(HR_Data[[#This Row],[Salary]]&gt;=100000,"A",HR_Data[[#This Row],[Salary]]&gt;=70000,"B",HR_Data[[#This Row],[Salary]]&gt;=50000,"C",TRUE(),"D")</f>
        <v>B</v>
      </c>
      <c r="V67" t="str">
        <f t="array" ref="V67">_xlfn.IFS(HR_Data[[#This Row],[Experience]]&gt;=15,"Expert",HR_Data[[#This Row],[Experience]]&gt;=8,"Senior",HR_Data[[#This Row],[Experience]]&gt;=3,"Mid-Level",TRUE(),"Junior")</f>
        <v>Expert</v>
      </c>
    </row>
    <row r="68" spans="1:22" ht="14.25" customHeight="1" x14ac:dyDescent="0.3">
      <c r="A68" t="s">
        <v>238</v>
      </c>
      <c r="B68" t="s">
        <v>239</v>
      </c>
      <c r="C68" t="s">
        <v>134</v>
      </c>
      <c r="D68" t="s">
        <v>33</v>
      </c>
      <c r="E68">
        <v>35</v>
      </c>
      <c r="F68">
        <v>62854</v>
      </c>
      <c r="G68">
        <v>12</v>
      </c>
      <c r="H68" t="s">
        <v>240</v>
      </c>
      <c r="I68" t="s">
        <v>27</v>
      </c>
      <c r="J68" t="s">
        <v>28</v>
      </c>
      <c r="K68" t="s">
        <v>37</v>
      </c>
      <c r="L68" t="str">
        <f t="array" ref="L68">_xlfn.IFS(HR_Data[[#This Row],[Experience]]&lt;2,"0-2 Years",HR_Data[[#This Row],[Experience]]&lt;5,"2-5 Years",HR_Data[[#This Row],[Experience]]&lt;10,"5-10 Years",TRUE(),"10+ Years")</f>
        <v>10+ Years</v>
      </c>
      <c r="M68" t="str">
        <f t="array" ref="M68">_xlfn.IFS(HR_Data[[#This Row],[Salary]]&lt;40000,"Low",HR_Data[[#This Row],[Salary]]&lt;70000,"Medium",HR_Data[[#This Row],[Salary]]&lt;100000,"High",TRUE(),"Very High")</f>
        <v>Medium</v>
      </c>
      <c r="N68" t="str">
        <f t="array" ref="N68">_xlfn.IFS(HR_Data[[#This Row],[Age]]&lt;25,"18-24",HR_Data[[#This Row],[Age]]&lt;35,"25-34",HR_Data[[#This Row],[Age]]&lt;45,"35-44",TRUE(),"45+")</f>
        <v>35-44</v>
      </c>
      <c r="O68">
        <f>YEAR(HR_Data[[#This Row],[Joining Date]])</f>
        <v>2023</v>
      </c>
      <c r="P68" t="str">
        <f>TEXT(HR_Data[[#This Row],[Joining Date]],"mmmm")</f>
        <v>February</v>
      </c>
      <c r="Q68">
        <f t="array" ref="Q68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68">
        <f>HR_Data[[#This Row],[Salary]]*HR_Data[[#This Row],[Bonus %]]</f>
        <v>9428.1</v>
      </c>
      <c r="S68">
        <f>HR_Data[[#This Row],[Salary]]+HR_Data[[#This Row],[Bonus Amount]]</f>
        <v>72282.100000000006</v>
      </c>
      <c r="T68" t="str">
        <f>IF(HR_Data[[#This Row],[Attrition]]="Yes","Inactive","Active")</f>
        <v>Inactive</v>
      </c>
      <c r="U68" t="str">
        <f t="array" ref="U68">_xlfn.IFS(HR_Data[[#This Row],[Salary]]&gt;=100000,"A",HR_Data[[#This Row],[Salary]]&gt;=70000,"B",HR_Data[[#This Row],[Salary]]&gt;=50000,"C",TRUE(),"D")</f>
        <v>C</v>
      </c>
      <c r="V68" t="str">
        <f t="array" ref="V68">_xlfn.IFS(HR_Data[[#This Row],[Experience]]&gt;=15,"Expert",HR_Data[[#This Row],[Experience]]&gt;=8,"Senior",HR_Data[[#This Row],[Experience]]&gt;=3,"Mid-Level",TRUE(),"Junior")</f>
        <v>Senior</v>
      </c>
    </row>
    <row r="69" spans="1:22" ht="14.25" customHeight="1" x14ac:dyDescent="0.3">
      <c r="A69" t="s">
        <v>241</v>
      </c>
      <c r="B69" t="s">
        <v>242</v>
      </c>
      <c r="C69" t="s">
        <v>93</v>
      </c>
      <c r="D69" t="s">
        <v>25</v>
      </c>
      <c r="E69">
        <v>58</v>
      </c>
      <c r="F69">
        <v>133137</v>
      </c>
      <c r="G69">
        <v>35</v>
      </c>
      <c r="H69" t="s">
        <v>243</v>
      </c>
      <c r="I69" t="s">
        <v>67</v>
      </c>
      <c r="J69" t="s">
        <v>63</v>
      </c>
      <c r="K69" t="s">
        <v>37</v>
      </c>
      <c r="L69" t="str">
        <f t="array" ref="L69">_xlfn.IFS(HR_Data[[#This Row],[Experience]]&lt;2,"0-2 Years",HR_Data[[#This Row],[Experience]]&lt;5,"2-5 Years",HR_Data[[#This Row],[Experience]]&lt;10,"5-10 Years",TRUE(),"10+ Years")</f>
        <v>10+ Years</v>
      </c>
      <c r="M69" t="str">
        <f t="array" ref="M69">_xlfn.IFS(HR_Data[[#This Row],[Salary]]&lt;40000,"Low",HR_Data[[#This Row],[Salary]]&lt;70000,"Medium",HR_Data[[#This Row],[Salary]]&lt;100000,"High",TRUE(),"Very High")</f>
        <v>Very High</v>
      </c>
      <c r="N69" t="str">
        <f t="array" ref="N69">_xlfn.IFS(HR_Data[[#This Row],[Age]]&lt;25,"18-24",HR_Data[[#This Row],[Age]]&lt;35,"25-34",HR_Data[[#This Row],[Age]]&lt;45,"35-44",TRUE(),"45+")</f>
        <v>45+</v>
      </c>
      <c r="O69">
        <f>YEAR(HR_Data[[#This Row],[Joining Date]])</f>
        <v>2026</v>
      </c>
      <c r="P69" t="str">
        <f>TEXT(HR_Data[[#This Row],[Joining Date]],"mmmm")</f>
        <v>January</v>
      </c>
      <c r="Q69">
        <f t="array" ref="Q69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69">
        <f>HR_Data[[#This Row],[Salary]]*HR_Data[[#This Row],[Bonus %]]</f>
        <v>26627.4</v>
      </c>
      <c r="S69">
        <f>HR_Data[[#This Row],[Salary]]+HR_Data[[#This Row],[Bonus Amount]]</f>
        <v>159764.4</v>
      </c>
      <c r="T69" t="str">
        <f>IF(HR_Data[[#This Row],[Attrition]]="Yes","Inactive","Active")</f>
        <v>Inactive</v>
      </c>
      <c r="U69" t="str">
        <f t="array" ref="U69">_xlfn.IFS(HR_Data[[#This Row],[Salary]]&gt;=100000,"A",HR_Data[[#This Row],[Salary]]&gt;=70000,"B",HR_Data[[#This Row],[Salary]]&gt;=50000,"C",TRUE(),"D")</f>
        <v>A</v>
      </c>
      <c r="V69" t="str">
        <f t="array" ref="V69">_xlfn.IFS(HR_Data[[#This Row],[Experience]]&gt;=15,"Expert",HR_Data[[#This Row],[Experience]]&gt;=8,"Senior",HR_Data[[#This Row],[Experience]]&gt;=3,"Mid-Level",TRUE(),"Junior")</f>
        <v>Expert</v>
      </c>
    </row>
    <row r="70" spans="1:22" ht="14.25" customHeight="1" x14ac:dyDescent="0.3">
      <c r="A70" t="s">
        <v>244</v>
      </c>
      <c r="B70" t="s">
        <v>245</v>
      </c>
      <c r="C70" t="s">
        <v>24</v>
      </c>
      <c r="D70" t="s">
        <v>33</v>
      </c>
      <c r="E70">
        <v>30</v>
      </c>
      <c r="F70">
        <v>60473</v>
      </c>
      <c r="G70">
        <v>11</v>
      </c>
      <c r="H70" t="s">
        <v>246</v>
      </c>
      <c r="I70" t="s">
        <v>132</v>
      </c>
      <c r="J70" t="s">
        <v>63</v>
      </c>
      <c r="K70" t="s">
        <v>37</v>
      </c>
      <c r="L70" t="str">
        <f t="array" ref="L70">_xlfn.IFS(HR_Data[[#This Row],[Experience]]&lt;2,"0-2 Years",HR_Data[[#This Row],[Experience]]&lt;5,"2-5 Years",HR_Data[[#This Row],[Experience]]&lt;10,"5-10 Years",TRUE(),"10+ Years")</f>
        <v>10+ Years</v>
      </c>
      <c r="M70" t="str">
        <f t="array" ref="M70">_xlfn.IFS(HR_Data[[#This Row],[Salary]]&lt;40000,"Low",HR_Data[[#This Row],[Salary]]&lt;70000,"Medium",HR_Data[[#This Row],[Salary]]&lt;100000,"High",TRUE(),"Very High")</f>
        <v>Medium</v>
      </c>
      <c r="N70" t="str">
        <f t="array" ref="N70">_xlfn.IFS(HR_Data[[#This Row],[Age]]&lt;25,"18-24",HR_Data[[#This Row],[Age]]&lt;35,"25-34",HR_Data[[#This Row],[Age]]&lt;45,"35-44",TRUE(),"45+")</f>
        <v>25-34</v>
      </c>
      <c r="O70">
        <f>YEAR(HR_Data[[#This Row],[Joining Date]])</f>
        <v>2025</v>
      </c>
      <c r="P70" t="str">
        <f>TEXT(HR_Data[[#This Row],[Joining Date]],"mmmm")</f>
        <v>September</v>
      </c>
      <c r="Q70">
        <f t="array" ref="Q70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70">
        <f>HR_Data[[#This Row],[Salary]]*HR_Data[[#This Row],[Bonus %]]</f>
        <v>12094.6</v>
      </c>
      <c r="S70">
        <f>HR_Data[[#This Row],[Salary]]+HR_Data[[#This Row],[Bonus Amount]]</f>
        <v>72567.600000000006</v>
      </c>
      <c r="T70" t="str">
        <f>IF(HR_Data[[#This Row],[Attrition]]="Yes","Inactive","Active")</f>
        <v>Inactive</v>
      </c>
      <c r="U70" t="str">
        <f t="array" ref="U70">_xlfn.IFS(HR_Data[[#This Row],[Salary]]&gt;=100000,"A",HR_Data[[#This Row],[Salary]]&gt;=70000,"B",HR_Data[[#This Row],[Salary]]&gt;=50000,"C",TRUE(),"D")</f>
        <v>C</v>
      </c>
      <c r="V70" t="str">
        <f t="array" ref="V70">_xlfn.IFS(HR_Data[[#This Row],[Experience]]&gt;=15,"Expert",HR_Data[[#This Row],[Experience]]&gt;=8,"Senior",HR_Data[[#This Row],[Experience]]&gt;=3,"Mid-Level",TRUE(),"Junior")</f>
        <v>Senior</v>
      </c>
    </row>
    <row r="71" spans="1:22" ht="14.25" customHeight="1" x14ac:dyDescent="0.3">
      <c r="A71" t="s">
        <v>247</v>
      </c>
      <c r="B71" t="s">
        <v>161</v>
      </c>
      <c r="C71" t="s">
        <v>24</v>
      </c>
      <c r="D71" t="s">
        <v>33</v>
      </c>
      <c r="E71">
        <v>37</v>
      </c>
      <c r="F71">
        <v>55756</v>
      </c>
      <c r="G71">
        <v>9</v>
      </c>
      <c r="H71" t="s">
        <v>248</v>
      </c>
      <c r="I71" t="s">
        <v>45</v>
      </c>
      <c r="J71" t="s">
        <v>90</v>
      </c>
      <c r="K71" t="s">
        <v>37</v>
      </c>
      <c r="L71" t="str">
        <f t="array" ref="L71">_xlfn.IFS(HR_Data[[#This Row],[Experience]]&lt;2,"0-2 Years",HR_Data[[#This Row],[Experience]]&lt;5,"2-5 Years",HR_Data[[#This Row],[Experience]]&lt;10,"5-10 Years",TRUE(),"10+ Years")</f>
        <v>5-10 Years</v>
      </c>
      <c r="M71" t="str">
        <f t="array" ref="M71">_xlfn.IFS(HR_Data[[#This Row],[Salary]]&lt;40000,"Low",HR_Data[[#This Row],[Salary]]&lt;70000,"Medium",HR_Data[[#This Row],[Salary]]&lt;100000,"High",TRUE(),"Very High")</f>
        <v>Medium</v>
      </c>
      <c r="N71" t="str">
        <f t="array" ref="N71">_xlfn.IFS(HR_Data[[#This Row],[Age]]&lt;25,"18-24",HR_Data[[#This Row],[Age]]&lt;35,"25-34",HR_Data[[#This Row],[Age]]&lt;45,"35-44",TRUE(),"45+")</f>
        <v>35-44</v>
      </c>
      <c r="O71">
        <f>YEAR(HR_Data[[#This Row],[Joining Date]])</f>
        <v>2016</v>
      </c>
      <c r="P71" t="str">
        <f>TEXT(HR_Data[[#This Row],[Joining Date]],"mmmm")</f>
        <v>November</v>
      </c>
      <c r="Q71">
        <f t="array" ref="Q71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71">
        <f>HR_Data[[#This Row],[Salary]]*HR_Data[[#This Row],[Bonus %]]</f>
        <v>0</v>
      </c>
      <c r="S71">
        <f>HR_Data[[#This Row],[Salary]]+HR_Data[[#This Row],[Bonus Amount]]</f>
        <v>55756</v>
      </c>
      <c r="T71" t="str">
        <f>IF(HR_Data[[#This Row],[Attrition]]="Yes","Inactive","Active")</f>
        <v>Inactive</v>
      </c>
      <c r="U71" t="str">
        <f t="array" ref="U71">_xlfn.IFS(HR_Data[[#This Row],[Salary]]&gt;=100000,"A",HR_Data[[#This Row],[Salary]]&gt;=70000,"B",HR_Data[[#This Row],[Salary]]&gt;=50000,"C",TRUE(),"D")</f>
        <v>C</v>
      </c>
      <c r="V71" t="str">
        <f t="array" ref="V71">_xlfn.IFS(HR_Data[[#This Row],[Experience]]&gt;=15,"Expert",HR_Data[[#This Row],[Experience]]&gt;=8,"Senior",HR_Data[[#This Row],[Experience]]&gt;=3,"Mid-Level",TRUE(),"Junior")</f>
        <v>Senior</v>
      </c>
    </row>
    <row r="72" spans="1:22" ht="14.25" customHeight="1" x14ac:dyDescent="0.3">
      <c r="A72" t="s">
        <v>249</v>
      </c>
      <c r="B72" t="s">
        <v>231</v>
      </c>
      <c r="C72" t="s">
        <v>24</v>
      </c>
      <c r="D72" t="s">
        <v>33</v>
      </c>
      <c r="E72">
        <v>50</v>
      </c>
      <c r="F72">
        <v>108307</v>
      </c>
      <c r="G72">
        <v>24</v>
      </c>
      <c r="H72" t="s">
        <v>250</v>
      </c>
      <c r="I72" t="s">
        <v>72</v>
      </c>
      <c r="J72" t="s">
        <v>46</v>
      </c>
      <c r="K72" t="s">
        <v>29</v>
      </c>
      <c r="L72" t="str">
        <f t="array" ref="L72">_xlfn.IFS(HR_Data[[#This Row],[Experience]]&lt;2,"0-2 Years",HR_Data[[#This Row],[Experience]]&lt;5,"2-5 Years",HR_Data[[#This Row],[Experience]]&lt;10,"5-10 Years",TRUE(),"10+ Years")</f>
        <v>10+ Years</v>
      </c>
      <c r="M72" t="str">
        <f t="array" ref="M72">_xlfn.IFS(HR_Data[[#This Row],[Salary]]&lt;40000,"Low",HR_Data[[#This Row],[Salary]]&lt;70000,"Medium",HR_Data[[#This Row],[Salary]]&lt;100000,"High",TRUE(),"Very High")</f>
        <v>Very High</v>
      </c>
      <c r="N72" t="str">
        <f t="array" ref="N72">_xlfn.IFS(HR_Data[[#This Row],[Age]]&lt;25,"18-24",HR_Data[[#This Row],[Age]]&lt;35,"25-34",HR_Data[[#This Row],[Age]]&lt;45,"35-44",TRUE(),"45+")</f>
        <v>45+</v>
      </c>
      <c r="O72">
        <f>YEAR(HR_Data[[#This Row],[Joining Date]])</f>
        <v>2021</v>
      </c>
      <c r="P72" t="str">
        <f>TEXT(HR_Data[[#This Row],[Joining Date]],"mmmm")</f>
        <v>September</v>
      </c>
      <c r="Q72">
        <f t="array" ref="Q72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72">
        <f>HR_Data[[#This Row],[Salary]]*HR_Data[[#This Row],[Bonus %]]</f>
        <v>5415.35</v>
      </c>
      <c r="S72">
        <f>HR_Data[[#This Row],[Salary]]+HR_Data[[#This Row],[Bonus Amount]]</f>
        <v>113722.35</v>
      </c>
      <c r="T72" t="str">
        <f>IF(HR_Data[[#This Row],[Attrition]]="Yes","Inactive","Active")</f>
        <v>Active</v>
      </c>
      <c r="U72" t="str">
        <f t="array" ref="U72">_xlfn.IFS(HR_Data[[#This Row],[Salary]]&gt;=100000,"A",HR_Data[[#This Row],[Salary]]&gt;=70000,"B",HR_Data[[#This Row],[Salary]]&gt;=50000,"C",TRUE(),"D")</f>
        <v>A</v>
      </c>
      <c r="V72" t="str">
        <f t="array" ref="V72">_xlfn.IFS(HR_Data[[#This Row],[Experience]]&gt;=15,"Expert",HR_Data[[#This Row],[Experience]]&gt;=8,"Senior",HR_Data[[#This Row],[Experience]]&gt;=3,"Mid-Level",TRUE(),"Junior")</f>
        <v>Expert</v>
      </c>
    </row>
    <row r="73" spans="1:22" ht="14.25" customHeight="1" x14ac:dyDescent="0.3">
      <c r="A73" t="s">
        <v>251</v>
      </c>
      <c r="B73" t="s">
        <v>252</v>
      </c>
      <c r="C73" t="s">
        <v>40</v>
      </c>
      <c r="D73" t="s">
        <v>33</v>
      </c>
      <c r="E73">
        <v>28</v>
      </c>
      <c r="F73">
        <v>43114</v>
      </c>
      <c r="G73">
        <v>6</v>
      </c>
      <c r="H73" t="s">
        <v>253</v>
      </c>
      <c r="I73" t="s">
        <v>27</v>
      </c>
      <c r="J73" t="s">
        <v>36</v>
      </c>
      <c r="K73" t="s">
        <v>29</v>
      </c>
      <c r="L73" t="str">
        <f t="array" ref="L73">_xlfn.IFS(HR_Data[[#This Row],[Experience]]&lt;2,"0-2 Years",HR_Data[[#This Row],[Experience]]&lt;5,"2-5 Years",HR_Data[[#This Row],[Experience]]&lt;10,"5-10 Years",TRUE(),"10+ Years")</f>
        <v>5-10 Years</v>
      </c>
      <c r="M73" t="str">
        <f t="array" ref="M73">_xlfn.IFS(HR_Data[[#This Row],[Salary]]&lt;40000,"Low",HR_Data[[#This Row],[Salary]]&lt;70000,"Medium",HR_Data[[#This Row],[Salary]]&lt;100000,"High",TRUE(),"Very High")</f>
        <v>Medium</v>
      </c>
      <c r="N73" t="str">
        <f t="array" ref="N73">_xlfn.IFS(HR_Data[[#This Row],[Age]]&lt;25,"18-24",HR_Data[[#This Row],[Age]]&lt;35,"25-34",HR_Data[[#This Row],[Age]]&lt;45,"35-44",TRUE(),"45+")</f>
        <v>25-34</v>
      </c>
      <c r="O73">
        <f>YEAR(HR_Data[[#This Row],[Joining Date]])</f>
        <v>2020</v>
      </c>
      <c r="P73" t="str">
        <f>TEXT(HR_Data[[#This Row],[Joining Date]],"mmmm")</f>
        <v>December</v>
      </c>
      <c r="Q73">
        <f t="array" ref="Q73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3">
        <f>HR_Data[[#This Row],[Salary]]*HR_Data[[#This Row],[Bonus %]]</f>
        <v>4311.4000000000005</v>
      </c>
      <c r="S73">
        <f>HR_Data[[#This Row],[Salary]]+HR_Data[[#This Row],[Bonus Amount]]</f>
        <v>47425.4</v>
      </c>
      <c r="T73" t="str">
        <f>IF(HR_Data[[#This Row],[Attrition]]="Yes","Inactive","Active")</f>
        <v>Active</v>
      </c>
      <c r="U73" t="str">
        <f t="array" ref="U73">_xlfn.IFS(HR_Data[[#This Row],[Salary]]&gt;=100000,"A",HR_Data[[#This Row],[Salary]]&gt;=70000,"B",HR_Data[[#This Row],[Salary]]&gt;=50000,"C",TRUE(),"D")</f>
        <v>D</v>
      </c>
      <c r="V73" t="str">
        <f t="array" ref="V73">_xlfn.IFS(HR_Data[[#This Row],[Experience]]&gt;=15,"Expert",HR_Data[[#This Row],[Experience]]&gt;=8,"Senior",HR_Data[[#This Row],[Experience]]&gt;=3,"Mid-Level",TRUE(),"Junior")</f>
        <v>Mid-Level</v>
      </c>
    </row>
    <row r="74" spans="1:22" ht="14.25" customHeight="1" x14ac:dyDescent="0.3">
      <c r="A74" t="s">
        <v>254</v>
      </c>
      <c r="B74" t="s">
        <v>242</v>
      </c>
      <c r="C74" t="s">
        <v>40</v>
      </c>
      <c r="D74" t="s">
        <v>33</v>
      </c>
      <c r="E74">
        <v>52</v>
      </c>
      <c r="F74">
        <v>119658</v>
      </c>
      <c r="G74">
        <v>26</v>
      </c>
      <c r="H74" t="s">
        <v>255</v>
      </c>
      <c r="I74" t="s">
        <v>80</v>
      </c>
      <c r="J74" t="s">
        <v>28</v>
      </c>
      <c r="K74" t="s">
        <v>29</v>
      </c>
      <c r="L74" t="str">
        <f t="array" ref="L74">_xlfn.IFS(HR_Data[[#This Row],[Experience]]&lt;2,"0-2 Years",HR_Data[[#This Row],[Experience]]&lt;5,"2-5 Years",HR_Data[[#This Row],[Experience]]&lt;10,"5-10 Years",TRUE(),"10+ Years")</f>
        <v>10+ Years</v>
      </c>
      <c r="M74" t="str">
        <f t="array" ref="M74">_xlfn.IFS(HR_Data[[#This Row],[Salary]]&lt;40000,"Low",HR_Data[[#This Row],[Salary]]&lt;70000,"Medium",HR_Data[[#This Row],[Salary]]&lt;100000,"High",TRUE(),"Very High")</f>
        <v>Very High</v>
      </c>
      <c r="N74" t="str">
        <f t="array" ref="N74">_xlfn.IFS(HR_Data[[#This Row],[Age]]&lt;25,"18-24",HR_Data[[#This Row],[Age]]&lt;35,"25-34",HR_Data[[#This Row],[Age]]&lt;45,"35-44",TRUE(),"45+")</f>
        <v>45+</v>
      </c>
      <c r="O74">
        <f>YEAR(HR_Data[[#This Row],[Joining Date]])</f>
        <v>2025</v>
      </c>
      <c r="P74" t="str">
        <f>TEXT(HR_Data[[#This Row],[Joining Date]],"mmmm")</f>
        <v>July</v>
      </c>
      <c r="Q74">
        <f t="array" ref="Q74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74">
        <f>HR_Data[[#This Row],[Salary]]*HR_Data[[#This Row],[Bonus %]]</f>
        <v>17948.7</v>
      </c>
      <c r="S74">
        <f>HR_Data[[#This Row],[Salary]]+HR_Data[[#This Row],[Bonus Amount]]</f>
        <v>137606.70000000001</v>
      </c>
      <c r="T74" t="str">
        <f>IF(HR_Data[[#This Row],[Attrition]]="Yes","Inactive","Active")</f>
        <v>Active</v>
      </c>
      <c r="U74" t="str">
        <f t="array" ref="U74">_xlfn.IFS(HR_Data[[#This Row],[Salary]]&gt;=100000,"A",HR_Data[[#This Row],[Salary]]&gt;=70000,"B",HR_Data[[#This Row],[Salary]]&gt;=50000,"C",TRUE(),"D")</f>
        <v>A</v>
      </c>
      <c r="V74" t="str">
        <f t="array" ref="V74">_xlfn.IFS(HR_Data[[#This Row],[Experience]]&gt;=15,"Expert",HR_Data[[#This Row],[Experience]]&gt;=8,"Senior",HR_Data[[#This Row],[Experience]]&gt;=3,"Mid-Level",TRUE(),"Junior")</f>
        <v>Expert</v>
      </c>
    </row>
    <row r="75" spans="1:22" ht="14.25" customHeight="1" x14ac:dyDescent="0.3">
      <c r="A75" t="s">
        <v>256</v>
      </c>
      <c r="B75" t="s">
        <v>257</v>
      </c>
      <c r="C75" t="s">
        <v>112</v>
      </c>
      <c r="D75" t="s">
        <v>33</v>
      </c>
      <c r="E75">
        <v>37</v>
      </c>
      <c r="F75">
        <v>59160</v>
      </c>
      <c r="G75">
        <v>12</v>
      </c>
      <c r="H75" t="s">
        <v>258</v>
      </c>
      <c r="I75" t="s">
        <v>80</v>
      </c>
      <c r="J75" t="s">
        <v>36</v>
      </c>
      <c r="K75" t="s">
        <v>29</v>
      </c>
      <c r="L75" t="str">
        <f t="array" ref="L75">_xlfn.IFS(HR_Data[[#This Row],[Experience]]&lt;2,"0-2 Years",HR_Data[[#This Row],[Experience]]&lt;5,"2-5 Years",HR_Data[[#This Row],[Experience]]&lt;10,"5-10 Years",TRUE(),"10+ Years")</f>
        <v>10+ Years</v>
      </c>
      <c r="M75" t="str">
        <f t="array" ref="M75">_xlfn.IFS(HR_Data[[#This Row],[Salary]]&lt;40000,"Low",HR_Data[[#This Row],[Salary]]&lt;70000,"Medium",HR_Data[[#This Row],[Salary]]&lt;100000,"High",TRUE(),"Very High")</f>
        <v>Medium</v>
      </c>
      <c r="N75" t="str">
        <f t="array" ref="N75">_xlfn.IFS(HR_Data[[#This Row],[Age]]&lt;25,"18-24",HR_Data[[#This Row],[Age]]&lt;35,"25-34",HR_Data[[#This Row],[Age]]&lt;45,"35-44",TRUE(),"45+")</f>
        <v>35-44</v>
      </c>
      <c r="O75">
        <f>YEAR(HR_Data[[#This Row],[Joining Date]])</f>
        <v>2020</v>
      </c>
      <c r="P75" t="str">
        <f>TEXT(HR_Data[[#This Row],[Joining Date]],"mmmm")</f>
        <v>January</v>
      </c>
      <c r="Q75">
        <f t="array" ref="Q7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5">
        <f>HR_Data[[#This Row],[Salary]]*HR_Data[[#This Row],[Bonus %]]</f>
        <v>5916</v>
      </c>
      <c r="S75">
        <f>HR_Data[[#This Row],[Salary]]+HR_Data[[#This Row],[Bonus Amount]]</f>
        <v>65076</v>
      </c>
      <c r="T75" t="str">
        <f>IF(HR_Data[[#This Row],[Attrition]]="Yes","Inactive","Active")</f>
        <v>Active</v>
      </c>
      <c r="U75" t="str">
        <f t="array" ref="U75">_xlfn.IFS(HR_Data[[#This Row],[Salary]]&gt;=100000,"A",HR_Data[[#This Row],[Salary]]&gt;=70000,"B",HR_Data[[#This Row],[Salary]]&gt;=50000,"C",TRUE(),"D")</f>
        <v>C</v>
      </c>
      <c r="V75" t="str">
        <f t="array" ref="V75">_xlfn.IFS(HR_Data[[#This Row],[Experience]]&gt;=15,"Expert",HR_Data[[#This Row],[Experience]]&gt;=8,"Senior",HR_Data[[#This Row],[Experience]]&gt;=3,"Mid-Level",TRUE(),"Junior")</f>
        <v>Senior</v>
      </c>
    </row>
    <row r="76" spans="1:22" ht="14.25" customHeight="1" x14ac:dyDescent="0.3">
      <c r="A76" t="s">
        <v>259</v>
      </c>
      <c r="B76" t="s">
        <v>78</v>
      </c>
      <c r="C76" t="s">
        <v>75</v>
      </c>
      <c r="D76" t="s">
        <v>25</v>
      </c>
      <c r="E76">
        <v>44</v>
      </c>
      <c r="F76">
        <v>78674</v>
      </c>
      <c r="G76">
        <v>18</v>
      </c>
      <c r="H76" t="s">
        <v>260</v>
      </c>
      <c r="I76" t="s">
        <v>35</v>
      </c>
      <c r="J76" t="s">
        <v>36</v>
      </c>
      <c r="K76" t="s">
        <v>29</v>
      </c>
      <c r="L76" t="str">
        <f t="array" ref="L76">_xlfn.IFS(HR_Data[[#This Row],[Experience]]&lt;2,"0-2 Years",HR_Data[[#This Row],[Experience]]&lt;5,"2-5 Years",HR_Data[[#This Row],[Experience]]&lt;10,"5-10 Years",TRUE(),"10+ Years")</f>
        <v>10+ Years</v>
      </c>
      <c r="M76" t="str">
        <f t="array" ref="M76">_xlfn.IFS(HR_Data[[#This Row],[Salary]]&lt;40000,"Low",HR_Data[[#This Row],[Salary]]&lt;70000,"Medium",HR_Data[[#This Row],[Salary]]&lt;100000,"High",TRUE(),"Very High")</f>
        <v>High</v>
      </c>
      <c r="N76" t="str">
        <f t="array" ref="N76">_xlfn.IFS(HR_Data[[#This Row],[Age]]&lt;25,"18-24",HR_Data[[#This Row],[Age]]&lt;35,"25-34",HR_Data[[#This Row],[Age]]&lt;45,"35-44",TRUE(),"45+")</f>
        <v>35-44</v>
      </c>
      <c r="O76">
        <f>YEAR(HR_Data[[#This Row],[Joining Date]])</f>
        <v>2025</v>
      </c>
      <c r="P76" t="str">
        <f>TEXT(HR_Data[[#This Row],[Joining Date]],"mmmm")</f>
        <v>July</v>
      </c>
      <c r="Q76">
        <f t="array" ref="Q7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6">
        <f>HR_Data[[#This Row],[Salary]]*HR_Data[[#This Row],[Bonus %]]</f>
        <v>7867.4000000000005</v>
      </c>
      <c r="S76">
        <f>HR_Data[[#This Row],[Salary]]+HR_Data[[#This Row],[Bonus Amount]]</f>
        <v>86541.4</v>
      </c>
      <c r="T76" t="str">
        <f>IF(HR_Data[[#This Row],[Attrition]]="Yes","Inactive","Active")</f>
        <v>Active</v>
      </c>
      <c r="U76" t="str">
        <f t="array" ref="U76">_xlfn.IFS(HR_Data[[#This Row],[Salary]]&gt;=100000,"A",HR_Data[[#This Row],[Salary]]&gt;=70000,"B",HR_Data[[#This Row],[Salary]]&gt;=50000,"C",TRUE(),"D")</f>
        <v>B</v>
      </c>
      <c r="V76" t="str">
        <f t="array" ref="V76">_xlfn.IFS(HR_Data[[#This Row],[Experience]]&gt;=15,"Expert",HR_Data[[#This Row],[Experience]]&gt;=8,"Senior",HR_Data[[#This Row],[Experience]]&gt;=3,"Mid-Level",TRUE(),"Junior")</f>
        <v>Expert</v>
      </c>
    </row>
    <row r="77" spans="1:22" ht="14.25" customHeight="1" x14ac:dyDescent="0.3">
      <c r="A77" t="s">
        <v>261</v>
      </c>
      <c r="B77" t="s">
        <v>74</v>
      </c>
      <c r="C77" t="s">
        <v>60</v>
      </c>
      <c r="D77" t="s">
        <v>33</v>
      </c>
      <c r="E77">
        <v>33</v>
      </c>
      <c r="F77">
        <v>34306</v>
      </c>
      <c r="G77">
        <v>5</v>
      </c>
      <c r="H77" t="s">
        <v>262</v>
      </c>
      <c r="I77" t="s">
        <v>80</v>
      </c>
      <c r="J77" t="s">
        <v>36</v>
      </c>
      <c r="K77" t="s">
        <v>29</v>
      </c>
      <c r="L77" t="str">
        <f t="array" ref="L77">_xlfn.IFS(HR_Data[[#This Row],[Experience]]&lt;2,"0-2 Years",HR_Data[[#This Row],[Experience]]&lt;5,"2-5 Years",HR_Data[[#This Row],[Experience]]&lt;10,"5-10 Years",TRUE(),"10+ Years")</f>
        <v>5-10 Years</v>
      </c>
      <c r="M77" t="str">
        <f t="array" ref="M77">_xlfn.IFS(HR_Data[[#This Row],[Salary]]&lt;40000,"Low",HR_Data[[#This Row],[Salary]]&lt;70000,"Medium",HR_Data[[#This Row],[Salary]]&lt;100000,"High",TRUE(),"Very High")</f>
        <v>Low</v>
      </c>
      <c r="N77" t="str">
        <f t="array" ref="N77">_xlfn.IFS(HR_Data[[#This Row],[Age]]&lt;25,"18-24",HR_Data[[#This Row],[Age]]&lt;35,"25-34",HR_Data[[#This Row],[Age]]&lt;45,"35-44",TRUE(),"45+")</f>
        <v>25-34</v>
      </c>
      <c r="O77">
        <f>YEAR(HR_Data[[#This Row],[Joining Date]])</f>
        <v>2024</v>
      </c>
      <c r="P77" t="str">
        <f>TEXT(HR_Data[[#This Row],[Joining Date]],"mmmm")</f>
        <v>September</v>
      </c>
      <c r="Q77">
        <f t="array" ref="Q77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7">
        <f>HR_Data[[#This Row],[Salary]]*HR_Data[[#This Row],[Bonus %]]</f>
        <v>3430.6000000000004</v>
      </c>
      <c r="S77">
        <f>HR_Data[[#This Row],[Salary]]+HR_Data[[#This Row],[Bonus Amount]]</f>
        <v>37736.6</v>
      </c>
      <c r="T77" t="str">
        <f>IF(HR_Data[[#This Row],[Attrition]]="Yes","Inactive","Active")</f>
        <v>Active</v>
      </c>
      <c r="U77" t="str">
        <f t="array" ref="U77">_xlfn.IFS(HR_Data[[#This Row],[Salary]]&gt;=100000,"A",HR_Data[[#This Row],[Salary]]&gt;=70000,"B",HR_Data[[#This Row],[Salary]]&gt;=50000,"C",TRUE(),"D")</f>
        <v>D</v>
      </c>
      <c r="V77" t="str">
        <f t="array" ref="V77">_xlfn.IFS(HR_Data[[#This Row],[Experience]]&gt;=15,"Expert",HR_Data[[#This Row],[Experience]]&gt;=8,"Senior",HR_Data[[#This Row],[Experience]]&gt;=3,"Mid-Level",TRUE(),"Junior")</f>
        <v>Mid-Level</v>
      </c>
    </row>
    <row r="78" spans="1:22" ht="14.25" customHeight="1" x14ac:dyDescent="0.3">
      <c r="A78" t="s">
        <v>263</v>
      </c>
      <c r="B78" t="s">
        <v>264</v>
      </c>
      <c r="C78" t="s">
        <v>93</v>
      </c>
      <c r="D78" t="s">
        <v>33</v>
      </c>
      <c r="E78">
        <v>23</v>
      </c>
      <c r="F78">
        <v>38817</v>
      </c>
      <c r="G78">
        <v>2</v>
      </c>
      <c r="H78" t="s">
        <v>265</v>
      </c>
      <c r="I78" t="s">
        <v>35</v>
      </c>
      <c r="J78" t="s">
        <v>46</v>
      </c>
      <c r="K78" t="s">
        <v>29</v>
      </c>
      <c r="L78" t="str">
        <f t="array" ref="L78">_xlfn.IFS(HR_Data[[#This Row],[Experience]]&lt;2,"0-2 Years",HR_Data[[#This Row],[Experience]]&lt;5,"2-5 Years",HR_Data[[#This Row],[Experience]]&lt;10,"5-10 Years",TRUE(),"10+ Years")</f>
        <v>2-5 Years</v>
      </c>
      <c r="M78" t="str">
        <f t="array" ref="M78">_xlfn.IFS(HR_Data[[#This Row],[Salary]]&lt;40000,"Low",HR_Data[[#This Row],[Salary]]&lt;70000,"Medium",HR_Data[[#This Row],[Salary]]&lt;100000,"High",TRUE(),"Very High")</f>
        <v>Low</v>
      </c>
      <c r="N78" t="str">
        <f t="array" ref="N78">_xlfn.IFS(HR_Data[[#This Row],[Age]]&lt;25,"18-24",HR_Data[[#This Row],[Age]]&lt;35,"25-34",HR_Data[[#This Row],[Age]]&lt;45,"35-44",TRUE(),"45+")</f>
        <v>18-24</v>
      </c>
      <c r="O78">
        <f>YEAR(HR_Data[[#This Row],[Joining Date]])</f>
        <v>2024</v>
      </c>
      <c r="P78" t="str">
        <f>TEXT(HR_Data[[#This Row],[Joining Date]],"mmmm")</f>
        <v>December</v>
      </c>
      <c r="Q78">
        <f t="array" ref="Q78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78">
        <f>HR_Data[[#This Row],[Salary]]*HR_Data[[#This Row],[Bonus %]]</f>
        <v>1940.8500000000001</v>
      </c>
      <c r="S78">
        <f>HR_Data[[#This Row],[Salary]]+HR_Data[[#This Row],[Bonus Amount]]</f>
        <v>40757.85</v>
      </c>
      <c r="T78" t="str">
        <f>IF(HR_Data[[#This Row],[Attrition]]="Yes","Inactive","Active")</f>
        <v>Active</v>
      </c>
      <c r="U78" t="str">
        <f t="array" ref="U78">_xlfn.IFS(HR_Data[[#This Row],[Salary]]&gt;=100000,"A",HR_Data[[#This Row],[Salary]]&gt;=70000,"B",HR_Data[[#This Row],[Salary]]&gt;=50000,"C",TRUE(),"D")</f>
        <v>D</v>
      </c>
      <c r="V78" t="str">
        <f t="array" ref="V78">_xlfn.IFS(HR_Data[[#This Row],[Experience]]&gt;=15,"Expert",HR_Data[[#This Row],[Experience]]&gt;=8,"Senior",HR_Data[[#This Row],[Experience]]&gt;=3,"Mid-Level",TRUE(),"Junior")</f>
        <v>Junior</v>
      </c>
    </row>
    <row r="79" spans="1:22" ht="14.25" customHeight="1" x14ac:dyDescent="0.3">
      <c r="A79" t="s">
        <v>266</v>
      </c>
      <c r="B79" t="s">
        <v>267</v>
      </c>
      <c r="C79" t="s">
        <v>93</v>
      </c>
      <c r="D79" t="s">
        <v>25</v>
      </c>
      <c r="E79">
        <v>47</v>
      </c>
      <c r="F79">
        <v>98321</v>
      </c>
      <c r="G79">
        <v>22</v>
      </c>
      <c r="H79" t="s">
        <v>268</v>
      </c>
      <c r="I79" t="s">
        <v>62</v>
      </c>
      <c r="J79" t="s">
        <v>36</v>
      </c>
      <c r="K79" t="s">
        <v>29</v>
      </c>
      <c r="L79" t="str">
        <f t="array" ref="L79">_xlfn.IFS(HR_Data[[#This Row],[Experience]]&lt;2,"0-2 Years",HR_Data[[#This Row],[Experience]]&lt;5,"2-5 Years",HR_Data[[#This Row],[Experience]]&lt;10,"5-10 Years",TRUE(),"10+ Years")</f>
        <v>10+ Years</v>
      </c>
      <c r="M79" t="str">
        <f t="array" ref="M79">_xlfn.IFS(HR_Data[[#This Row],[Salary]]&lt;40000,"Low",HR_Data[[#This Row],[Salary]]&lt;70000,"Medium",HR_Data[[#This Row],[Salary]]&lt;100000,"High",TRUE(),"Very High")</f>
        <v>High</v>
      </c>
      <c r="N79" t="str">
        <f t="array" ref="N79">_xlfn.IFS(HR_Data[[#This Row],[Age]]&lt;25,"18-24",HR_Data[[#This Row],[Age]]&lt;35,"25-34",HR_Data[[#This Row],[Age]]&lt;45,"35-44",TRUE(),"45+")</f>
        <v>45+</v>
      </c>
      <c r="O79">
        <f>YEAR(HR_Data[[#This Row],[Joining Date]])</f>
        <v>2022</v>
      </c>
      <c r="P79" t="str">
        <f>TEXT(HR_Data[[#This Row],[Joining Date]],"mmmm")</f>
        <v>March</v>
      </c>
      <c r="Q79">
        <f t="array" ref="Q7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9">
        <f>HR_Data[[#This Row],[Salary]]*HR_Data[[#This Row],[Bonus %]]</f>
        <v>9832.1</v>
      </c>
      <c r="S79">
        <f>HR_Data[[#This Row],[Salary]]+HR_Data[[#This Row],[Bonus Amount]]</f>
        <v>108153.1</v>
      </c>
      <c r="T79" t="str">
        <f>IF(HR_Data[[#This Row],[Attrition]]="Yes","Inactive","Active")</f>
        <v>Active</v>
      </c>
      <c r="U79" t="str">
        <f t="array" ref="U79">_xlfn.IFS(HR_Data[[#This Row],[Salary]]&gt;=100000,"A",HR_Data[[#This Row],[Salary]]&gt;=70000,"B",HR_Data[[#This Row],[Salary]]&gt;=50000,"C",TRUE(),"D")</f>
        <v>B</v>
      </c>
      <c r="V79" t="str">
        <f t="array" ref="V79">_xlfn.IFS(HR_Data[[#This Row],[Experience]]&gt;=15,"Expert",HR_Data[[#This Row],[Experience]]&gt;=8,"Senior",HR_Data[[#This Row],[Experience]]&gt;=3,"Mid-Level",TRUE(),"Junior")</f>
        <v>Expert</v>
      </c>
    </row>
    <row r="80" spans="1:22" ht="14.25" customHeight="1" x14ac:dyDescent="0.3">
      <c r="A80" t="s">
        <v>269</v>
      </c>
      <c r="B80" t="s">
        <v>270</v>
      </c>
      <c r="C80" t="s">
        <v>112</v>
      </c>
      <c r="D80" t="s">
        <v>25</v>
      </c>
      <c r="E80">
        <v>54</v>
      </c>
      <c r="F80">
        <v>143903</v>
      </c>
      <c r="G80">
        <v>35</v>
      </c>
      <c r="H80" t="s">
        <v>271</v>
      </c>
      <c r="I80" t="s">
        <v>62</v>
      </c>
      <c r="J80" t="s">
        <v>28</v>
      </c>
      <c r="K80" t="s">
        <v>29</v>
      </c>
      <c r="L80" t="str">
        <f t="array" ref="L80">_xlfn.IFS(HR_Data[[#This Row],[Experience]]&lt;2,"0-2 Years",HR_Data[[#This Row],[Experience]]&lt;5,"2-5 Years",HR_Data[[#This Row],[Experience]]&lt;10,"5-10 Years",TRUE(),"10+ Years")</f>
        <v>10+ Years</v>
      </c>
      <c r="M80" t="str">
        <f t="array" ref="M80">_xlfn.IFS(HR_Data[[#This Row],[Salary]]&lt;40000,"Low",HR_Data[[#This Row],[Salary]]&lt;70000,"Medium",HR_Data[[#This Row],[Salary]]&lt;100000,"High",TRUE(),"Very High")</f>
        <v>Very High</v>
      </c>
      <c r="N80" t="str">
        <f t="array" ref="N80">_xlfn.IFS(HR_Data[[#This Row],[Age]]&lt;25,"18-24",HR_Data[[#This Row],[Age]]&lt;35,"25-34",HR_Data[[#This Row],[Age]]&lt;45,"35-44",TRUE(),"45+")</f>
        <v>45+</v>
      </c>
      <c r="O80">
        <f>YEAR(HR_Data[[#This Row],[Joining Date]])</f>
        <v>2016</v>
      </c>
      <c r="P80" t="str">
        <f>TEXT(HR_Data[[#This Row],[Joining Date]],"mmmm")</f>
        <v>December</v>
      </c>
      <c r="Q80">
        <f t="array" ref="Q80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0">
        <f>HR_Data[[#This Row],[Salary]]*HR_Data[[#This Row],[Bonus %]]</f>
        <v>21585.45</v>
      </c>
      <c r="S80">
        <f>HR_Data[[#This Row],[Salary]]+HR_Data[[#This Row],[Bonus Amount]]</f>
        <v>165488.45000000001</v>
      </c>
      <c r="T80" t="str">
        <f>IF(HR_Data[[#This Row],[Attrition]]="Yes","Inactive","Active")</f>
        <v>Active</v>
      </c>
      <c r="U80" t="str">
        <f t="array" ref="U80">_xlfn.IFS(HR_Data[[#This Row],[Salary]]&gt;=100000,"A",HR_Data[[#This Row],[Salary]]&gt;=70000,"B",HR_Data[[#This Row],[Salary]]&gt;=50000,"C",TRUE(),"D")</f>
        <v>A</v>
      </c>
      <c r="V80" t="str">
        <f t="array" ref="V80">_xlfn.IFS(HR_Data[[#This Row],[Experience]]&gt;=15,"Expert",HR_Data[[#This Row],[Experience]]&gt;=8,"Senior",HR_Data[[#This Row],[Experience]]&gt;=3,"Mid-Level",TRUE(),"Junior")</f>
        <v>Expert</v>
      </c>
    </row>
    <row r="81" spans="1:22" ht="14.25" customHeight="1" x14ac:dyDescent="0.3">
      <c r="A81" t="s">
        <v>272</v>
      </c>
      <c r="B81" t="s">
        <v>273</v>
      </c>
      <c r="C81" t="s">
        <v>60</v>
      </c>
      <c r="D81" t="s">
        <v>25</v>
      </c>
      <c r="E81">
        <v>25</v>
      </c>
      <c r="F81">
        <v>43588</v>
      </c>
      <c r="G81">
        <v>3</v>
      </c>
      <c r="H81" t="s">
        <v>274</v>
      </c>
      <c r="I81" t="s">
        <v>45</v>
      </c>
      <c r="J81" t="s">
        <v>36</v>
      </c>
      <c r="K81" t="s">
        <v>29</v>
      </c>
      <c r="L81" t="str">
        <f t="array" ref="L81">_xlfn.IFS(HR_Data[[#This Row],[Experience]]&lt;2,"0-2 Years",HR_Data[[#This Row],[Experience]]&lt;5,"2-5 Years",HR_Data[[#This Row],[Experience]]&lt;10,"5-10 Years",TRUE(),"10+ Years")</f>
        <v>2-5 Years</v>
      </c>
      <c r="M81" t="str">
        <f t="array" ref="M81">_xlfn.IFS(HR_Data[[#This Row],[Salary]]&lt;40000,"Low",HR_Data[[#This Row],[Salary]]&lt;70000,"Medium",HR_Data[[#This Row],[Salary]]&lt;100000,"High",TRUE(),"Very High")</f>
        <v>Medium</v>
      </c>
      <c r="N81" t="str">
        <f t="array" ref="N81">_xlfn.IFS(HR_Data[[#This Row],[Age]]&lt;25,"18-24",HR_Data[[#This Row],[Age]]&lt;35,"25-34",HR_Data[[#This Row],[Age]]&lt;45,"35-44",TRUE(),"45+")</f>
        <v>25-34</v>
      </c>
      <c r="O81">
        <f>YEAR(HR_Data[[#This Row],[Joining Date]])</f>
        <v>2023</v>
      </c>
      <c r="P81" t="str">
        <f>TEXT(HR_Data[[#This Row],[Joining Date]],"mmmm")</f>
        <v>February</v>
      </c>
      <c r="Q81">
        <f t="array" ref="Q8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1">
        <f>HR_Data[[#This Row],[Salary]]*HR_Data[[#This Row],[Bonus %]]</f>
        <v>4358.8</v>
      </c>
      <c r="S81">
        <f>HR_Data[[#This Row],[Salary]]+HR_Data[[#This Row],[Bonus Amount]]</f>
        <v>47946.8</v>
      </c>
      <c r="T81" t="str">
        <f>IF(HR_Data[[#This Row],[Attrition]]="Yes","Inactive","Active")</f>
        <v>Active</v>
      </c>
      <c r="U81" t="str">
        <f t="array" ref="U81">_xlfn.IFS(HR_Data[[#This Row],[Salary]]&gt;=100000,"A",HR_Data[[#This Row],[Salary]]&gt;=70000,"B",HR_Data[[#This Row],[Salary]]&gt;=50000,"C",TRUE(),"D")</f>
        <v>D</v>
      </c>
      <c r="V81" t="str">
        <f t="array" ref="V81">_xlfn.IFS(HR_Data[[#This Row],[Experience]]&gt;=15,"Expert",HR_Data[[#This Row],[Experience]]&gt;=8,"Senior",HR_Data[[#This Row],[Experience]]&gt;=3,"Mid-Level",TRUE(),"Junior")</f>
        <v>Mid-Level</v>
      </c>
    </row>
    <row r="82" spans="1:22" ht="14.25" customHeight="1" x14ac:dyDescent="0.3">
      <c r="A82" t="s">
        <v>275</v>
      </c>
      <c r="B82" t="s">
        <v>276</v>
      </c>
      <c r="C82" t="s">
        <v>70</v>
      </c>
      <c r="D82" t="s">
        <v>25</v>
      </c>
      <c r="E82">
        <v>31</v>
      </c>
      <c r="F82">
        <v>56956</v>
      </c>
      <c r="G82">
        <v>8</v>
      </c>
      <c r="H82" t="s">
        <v>277</v>
      </c>
      <c r="I82" t="s">
        <v>45</v>
      </c>
      <c r="J82" t="s">
        <v>63</v>
      </c>
      <c r="K82" t="s">
        <v>29</v>
      </c>
      <c r="L82" t="str">
        <f t="array" ref="L82">_xlfn.IFS(HR_Data[[#This Row],[Experience]]&lt;2,"0-2 Years",HR_Data[[#This Row],[Experience]]&lt;5,"2-5 Years",HR_Data[[#This Row],[Experience]]&lt;10,"5-10 Years",TRUE(),"10+ Years")</f>
        <v>5-10 Years</v>
      </c>
      <c r="M82" t="str">
        <f t="array" ref="M82">_xlfn.IFS(HR_Data[[#This Row],[Salary]]&lt;40000,"Low",HR_Data[[#This Row],[Salary]]&lt;70000,"Medium",HR_Data[[#This Row],[Salary]]&lt;100000,"High",TRUE(),"Very High")</f>
        <v>Medium</v>
      </c>
      <c r="N82" t="str">
        <f t="array" ref="N82">_xlfn.IFS(HR_Data[[#This Row],[Age]]&lt;25,"18-24",HR_Data[[#This Row],[Age]]&lt;35,"25-34",HR_Data[[#This Row],[Age]]&lt;45,"35-44",TRUE(),"45+")</f>
        <v>25-34</v>
      </c>
      <c r="O82">
        <f>YEAR(HR_Data[[#This Row],[Joining Date]])</f>
        <v>2025</v>
      </c>
      <c r="P82" t="str">
        <f>TEXT(HR_Data[[#This Row],[Joining Date]],"mmmm")</f>
        <v>November</v>
      </c>
      <c r="Q82">
        <f t="array" ref="Q82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82">
        <f>HR_Data[[#This Row],[Salary]]*HR_Data[[#This Row],[Bonus %]]</f>
        <v>11391.2</v>
      </c>
      <c r="S82">
        <f>HR_Data[[#This Row],[Salary]]+HR_Data[[#This Row],[Bonus Amount]]</f>
        <v>68347.199999999997</v>
      </c>
      <c r="T82" t="str">
        <f>IF(HR_Data[[#This Row],[Attrition]]="Yes","Inactive","Active")</f>
        <v>Active</v>
      </c>
      <c r="U82" t="str">
        <f t="array" ref="U82">_xlfn.IFS(HR_Data[[#This Row],[Salary]]&gt;=100000,"A",HR_Data[[#This Row],[Salary]]&gt;=70000,"B",HR_Data[[#This Row],[Salary]]&gt;=50000,"C",TRUE(),"D")</f>
        <v>C</v>
      </c>
      <c r="V82" t="str">
        <f t="array" ref="V82">_xlfn.IFS(HR_Data[[#This Row],[Experience]]&gt;=15,"Expert",HR_Data[[#This Row],[Experience]]&gt;=8,"Senior",HR_Data[[#This Row],[Experience]]&gt;=3,"Mid-Level",TRUE(),"Junior")</f>
        <v>Senior</v>
      </c>
    </row>
    <row r="83" spans="1:22" ht="14.25" customHeight="1" x14ac:dyDescent="0.3">
      <c r="A83" t="s">
        <v>278</v>
      </c>
      <c r="B83" t="s">
        <v>279</v>
      </c>
      <c r="C83" t="s">
        <v>40</v>
      </c>
      <c r="D83" t="s">
        <v>33</v>
      </c>
      <c r="E83">
        <v>27</v>
      </c>
      <c r="F83">
        <v>30369</v>
      </c>
      <c r="G83">
        <v>0</v>
      </c>
      <c r="H83" t="s">
        <v>280</v>
      </c>
      <c r="I83" t="s">
        <v>35</v>
      </c>
      <c r="J83" t="s">
        <v>28</v>
      </c>
      <c r="K83" t="s">
        <v>29</v>
      </c>
      <c r="L83" t="str">
        <f t="array" ref="L83">_xlfn.IFS(HR_Data[[#This Row],[Experience]]&lt;2,"0-2 Years",HR_Data[[#This Row],[Experience]]&lt;5,"2-5 Years",HR_Data[[#This Row],[Experience]]&lt;10,"5-10 Years",TRUE(),"10+ Years")</f>
        <v>0-2 Years</v>
      </c>
      <c r="M83" t="str">
        <f t="array" ref="M83">_xlfn.IFS(HR_Data[[#This Row],[Salary]]&lt;40000,"Low",HR_Data[[#This Row],[Salary]]&lt;70000,"Medium",HR_Data[[#This Row],[Salary]]&lt;100000,"High",TRUE(),"Very High")</f>
        <v>Low</v>
      </c>
      <c r="N83" t="str">
        <f t="array" ref="N83">_xlfn.IFS(HR_Data[[#This Row],[Age]]&lt;25,"18-24",HR_Data[[#This Row],[Age]]&lt;35,"25-34",HR_Data[[#This Row],[Age]]&lt;45,"35-44",TRUE(),"45+")</f>
        <v>25-34</v>
      </c>
      <c r="O83">
        <f>YEAR(HR_Data[[#This Row],[Joining Date]])</f>
        <v>2017</v>
      </c>
      <c r="P83" t="str">
        <f>TEXT(HR_Data[[#This Row],[Joining Date]],"mmmm")</f>
        <v>February</v>
      </c>
      <c r="Q83">
        <f t="array" ref="Q8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3">
        <f>HR_Data[[#This Row],[Salary]]*HR_Data[[#This Row],[Bonus %]]</f>
        <v>4555.3499999999995</v>
      </c>
      <c r="S83">
        <f>HR_Data[[#This Row],[Salary]]+HR_Data[[#This Row],[Bonus Amount]]</f>
        <v>34924.35</v>
      </c>
      <c r="T83" t="str">
        <f>IF(HR_Data[[#This Row],[Attrition]]="Yes","Inactive","Active")</f>
        <v>Active</v>
      </c>
      <c r="U83" t="str">
        <f t="array" ref="U83">_xlfn.IFS(HR_Data[[#This Row],[Salary]]&gt;=100000,"A",HR_Data[[#This Row],[Salary]]&gt;=70000,"B",HR_Data[[#This Row],[Salary]]&gt;=50000,"C",TRUE(),"D")</f>
        <v>D</v>
      </c>
      <c r="V83" t="str">
        <f t="array" ref="V83">_xlfn.IFS(HR_Data[[#This Row],[Experience]]&gt;=15,"Expert",HR_Data[[#This Row],[Experience]]&gt;=8,"Senior",HR_Data[[#This Row],[Experience]]&gt;=3,"Mid-Level",TRUE(),"Junior")</f>
        <v>Junior</v>
      </c>
    </row>
    <row r="84" spans="1:22" ht="14.25" customHeight="1" x14ac:dyDescent="0.3">
      <c r="A84" t="s">
        <v>281</v>
      </c>
      <c r="B84" t="s">
        <v>282</v>
      </c>
      <c r="C84" t="s">
        <v>75</v>
      </c>
      <c r="D84" t="s">
        <v>33</v>
      </c>
      <c r="E84">
        <v>45</v>
      </c>
      <c r="F84">
        <v>83559</v>
      </c>
      <c r="G84">
        <v>18</v>
      </c>
      <c r="H84" t="s">
        <v>283</v>
      </c>
      <c r="I84" t="s">
        <v>62</v>
      </c>
      <c r="J84" t="s">
        <v>46</v>
      </c>
      <c r="K84" t="s">
        <v>29</v>
      </c>
      <c r="L84" t="str">
        <f t="array" ref="L84">_xlfn.IFS(HR_Data[[#This Row],[Experience]]&lt;2,"0-2 Years",HR_Data[[#This Row],[Experience]]&lt;5,"2-5 Years",HR_Data[[#This Row],[Experience]]&lt;10,"5-10 Years",TRUE(),"10+ Years")</f>
        <v>10+ Years</v>
      </c>
      <c r="M84" t="str">
        <f t="array" ref="M84">_xlfn.IFS(HR_Data[[#This Row],[Salary]]&lt;40000,"Low",HR_Data[[#This Row],[Salary]]&lt;70000,"Medium",HR_Data[[#This Row],[Salary]]&lt;100000,"High",TRUE(),"Very High")</f>
        <v>High</v>
      </c>
      <c r="N84" t="str">
        <f t="array" ref="N84">_xlfn.IFS(HR_Data[[#This Row],[Age]]&lt;25,"18-24",HR_Data[[#This Row],[Age]]&lt;35,"25-34",HR_Data[[#This Row],[Age]]&lt;45,"35-44",TRUE(),"45+")</f>
        <v>45+</v>
      </c>
      <c r="O84">
        <f>YEAR(HR_Data[[#This Row],[Joining Date]])</f>
        <v>2024</v>
      </c>
      <c r="P84" t="str">
        <f>TEXT(HR_Data[[#This Row],[Joining Date]],"mmmm")</f>
        <v>April</v>
      </c>
      <c r="Q84">
        <f t="array" ref="Q84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84">
        <f>HR_Data[[#This Row],[Salary]]*HR_Data[[#This Row],[Bonus %]]</f>
        <v>4177.95</v>
      </c>
      <c r="S84">
        <f>HR_Data[[#This Row],[Salary]]+HR_Data[[#This Row],[Bonus Amount]]</f>
        <v>87736.95</v>
      </c>
      <c r="T84" t="str">
        <f>IF(HR_Data[[#This Row],[Attrition]]="Yes","Inactive","Active")</f>
        <v>Active</v>
      </c>
      <c r="U84" t="str">
        <f t="array" ref="U84">_xlfn.IFS(HR_Data[[#This Row],[Salary]]&gt;=100000,"A",HR_Data[[#This Row],[Salary]]&gt;=70000,"B",HR_Data[[#This Row],[Salary]]&gt;=50000,"C",TRUE(),"D")</f>
        <v>B</v>
      </c>
      <c r="V84" t="str">
        <f t="array" ref="V84">_xlfn.IFS(HR_Data[[#This Row],[Experience]]&gt;=15,"Expert",HR_Data[[#This Row],[Experience]]&gt;=8,"Senior",HR_Data[[#This Row],[Experience]]&gt;=3,"Mid-Level",TRUE(),"Junior")</f>
        <v>Expert</v>
      </c>
    </row>
    <row r="85" spans="1:22" ht="14.25" customHeight="1" x14ac:dyDescent="0.3">
      <c r="A85" t="s">
        <v>284</v>
      </c>
      <c r="B85" t="s">
        <v>102</v>
      </c>
      <c r="C85" t="s">
        <v>75</v>
      </c>
      <c r="D85" t="s">
        <v>25</v>
      </c>
      <c r="E85">
        <v>40</v>
      </c>
      <c r="F85">
        <v>72054</v>
      </c>
      <c r="G85">
        <v>12</v>
      </c>
      <c r="H85" t="s">
        <v>285</v>
      </c>
      <c r="I85" t="s">
        <v>27</v>
      </c>
      <c r="J85" t="s">
        <v>46</v>
      </c>
      <c r="K85" t="s">
        <v>29</v>
      </c>
      <c r="L85" t="str">
        <f t="array" ref="L85">_xlfn.IFS(HR_Data[[#This Row],[Experience]]&lt;2,"0-2 Years",HR_Data[[#This Row],[Experience]]&lt;5,"2-5 Years",HR_Data[[#This Row],[Experience]]&lt;10,"5-10 Years",TRUE(),"10+ Years")</f>
        <v>10+ Years</v>
      </c>
      <c r="M85" t="str">
        <f t="array" ref="M85">_xlfn.IFS(HR_Data[[#This Row],[Salary]]&lt;40000,"Low",HR_Data[[#This Row],[Salary]]&lt;70000,"Medium",HR_Data[[#This Row],[Salary]]&lt;100000,"High",TRUE(),"Very High")</f>
        <v>High</v>
      </c>
      <c r="N85" t="str">
        <f t="array" ref="N85">_xlfn.IFS(HR_Data[[#This Row],[Age]]&lt;25,"18-24",HR_Data[[#This Row],[Age]]&lt;35,"25-34",HR_Data[[#This Row],[Age]]&lt;45,"35-44",TRUE(),"45+")</f>
        <v>35-44</v>
      </c>
      <c r="O85">
        <f>YEAR(HR_Data[[#This Row],[Joining Date]])</f>
        <v>2018</v>
      </c>
      <c r="P85" t="str">
        <f>TEXT(HR_Data[[#This Row],[Joining Date]],"mmmm")</f>
        <v>January</v>
      </c>
      <c r="Q85">
        <f t="array" ref="Q85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85">
        <f>HR_Data[[#This Row],[Salary]]*HR_Data[[#This Row],[Bonus %]]</f>
        <v>3602.7000000000003</v>
      </c>
      <c r="S85">
        <f>HR_Data[[#This Row],[Salary]]+HR_Data[[#This Row],[Bonus Amount]]</f>
        <v>75656.7</v>
      </c>
      <c r="T85" t="str">
        <f>IF(HR_Data[[#This Row],[Attrition]]="Yes","Inactive","Active")</f>
        <v>Active</v>
      </c>
      <c r="U85" t="str">
        <f t="array" ref="U85">_xlfn.IFS(HR_Data[[#This Row],[Salary]]&gt;=100000,"A",HR_Data[[#This Row],[Salary]]&gt;=70000,"B",HR_Data[[#This Row],[Salary]]&gt;=50000,"C",TRUE(),"D")</f>
        <v>B</v>
      </c>
      <c r="V85" t="str">
        <f t="array" ref="V85">_xlfn.IFS(HR_Data[[#This Row],[Experience]]&gt;=15,"Expert",HR_Data[[#This Row],[Experience]]&gt;=8,"Senior",HR_Data[[#This Row],[Experience]]&gt;=3,"Mid-Level",TRUE(),"Junior")</f>
        <v>Senior</v>
      </c>
    </row>
    <row r="86" spans="1:22" ht="14.25" customHeight="1" x14ac:dyDescent="0.3">
      <c r="A86" t="s">
        <v>286</v>
      </c>
      <c r="B86" t="s">
        <v>287</v>
      </c>
      <c r="C86" t="s">
        <v>55</v>
      </c>
      <c r="D86" t="s">
        <v>25</v>
      </c>
      <c r="E86">
        <v>48</v>
      </c>
      <c r="F86">
        <v>84383</v>
      </c>
      <c r="G86">
        <v>18</v>
      </c>
      <c r="H86" t="s">
        <v>288</v>
      </c>
      <c r="I86" t="s">
        <v>35</v>
      </c>
      <c r="J86" t="s">
        <v>46</v>
      </c>
      <c r="K86" t="s">
        <v>29</v>
      </c>
      <c r="L86" t="str">
        <f t="array" ref="L86">_xlfn.IFS(HR_Data[[#This Row],[Experience]]&lt;2,"0-2 Years",HR_Data[[#This Row],[Experience]]&lt;5,"2-5 Years",HR_Data[[#This Row],[Experience]]&lt;10,"5-10 Years",TRUE(),"10+ Years")</f>
        <v>10+ Years</v>
      </c>
      <c r="M86" t="str">
        <f t="array" ref="M86">_xlfn.IFS(HR_Data[[#This Row],[Salary]]&lt;40000,"Low",HR_Data[[#This Row],[Salary]]&lt;70000,"Medium",HR_Data[[#This Row],[Salary]]&lt;100000,"High",TRUE(),"Very High")</f>
        <v>High</v>
      </c>
      <c r="N86" t="str">
        <f t="array" ref="N86">_xlfn.IFS(HR_Data[[#This Row],[Age]]&lt;25,"18-24",HR_Data[[#This Row],[Age]]&lt;35,"25-34",HR_Data[[#This Row],[Age]]&lt;45,"35-44",TRUE(),"45+")</f>
        <v>45+</v>
      </c>
      <c r="O86">
        <f>YEAR(HR_Data[[#This Row],[Joining Date]])</f>
        <v>2025</v>
      </c>
      <c r="P86" t="str">
        <f>TEXT(HR_Data[[#This Row],[Joining Date]],"mmmm")</f>
        <v>December</v>
      </c>
      <c r="Q86">
        <f t="array" ref="Q86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86">
        <f>HR_Data[[#This Row],[Salary]]*HR_Data[[#This Row],[Bonus %]]</f>
        <v>4219.1500000000005</v>
      </c>
      <c r="S86">
        <f>HR_Data[[#This Row],[Salary]]+HR_Data[[#This Row],[Bonus Amount]]</f>
        <v>88602.15</v>
      </c>
      <c r="T86" t="str">
        <f>IF(HR_Data[[#This Row],[Attrition]]="Yes","Inactive","Active")</f>
        <v>Active</v>
      </c>
      <c r="U86" t="str">
        <f t="array" ref="U86">_xlfn.IFS(HR_Data[[#This Row],[Salary]]&gt;=100000,"A",HR_Data[[#This Row],[Salary]]&gt;=70000,"B",HR_Data[[#This Row],[Salary]]&gt;=50000,"C",TRUE(),"D")</f>
        <v>B</v>
      </c>
      <c r="V86" t="str">
        <f t="array" ref="V86">_xlfn.IFS(HR_Data[[#This Row],[Experience]]&gt;=15,"Expert",HR_Data[[#This Row],[Experience]]&gt;=8,"Senior",HR_Data[[#This Row],[Experience]]&gt;=3,"Mid-Level",TRUE(),"Junior")</f>
        <v>Expert</v>
      </c>
    </row>
    <row r="87" spans="1:22" ht="14.25" customHeight="1" x14ac:dyDescent="0.3">
      <c r="A87" t="s">
        <v>289</v>
      </c>
      <c r="B87" t="s">
        <v>146</v>
      </c>
      <c r="C87" t="s">
        <v>93</v>
      </c>
      <c r="D87" t="s">
        <v>25</v>
      </c>
      <c r="E87">
        <v>42</v>
      </c>
      <c r="F87">
        <v>88825</v>
      </c>
      <c r="G87">
        <v>20</v>
      </c>
      <c r="H87" t="s">
        <v>290</v>
      </c>
      <c r="I87" t="s">
        <v>62</v>
      </c>
      <c r="J87" t="s">
        <v>28</v>
      </c>
      <c r="K87" t="s">
        <v>29</v>
      </c>
      <c r="L87" t="str">
        <f t="array" ref="L87">_xlfn.IFS(HR_Data[[#This Row],[Experience]]&lt;2,"0-2 Years",HR_Data[[#This Row],[Experience]]&lt;5,"2-5 Years",HR_Data[[#This Row],[Experience]]&lt;10,"5-10 Years",TRUE(),"10+ Years")</f>
        <v>10+ Years</v>
      </c>
      <c r="M87" t="str">
        <f t="array" ref="M87">_xlfn.IFS(HR_Data[[#This Row],[Salary]]&lt;40000,"Low",HR_Data[[#This Row],[Salary]]&lt;70000,"Medium",HR_Data[[#This Row],[Salary]]&lt;100000,"High",TRUE(),"Very High")</f>
        <v>High</v>
      </c>
      <c r="N87" t="str">
        <f t="array" ref="N87">_xlfn.IFS(HR_Data[[#This Row],[Age]]&lt;25,"18-24",HR_Data[[#This Row],[Age]]&lt;35,"25-34",HR_Data[[#This Row],[Age]]&lt;45,"35-44",TRUE(),"45+")</f>
        <v>35-44</v>
      </c>
      <c r="O87">
        <f>YEAR(HR_Data[[#This Row],[Joining Date]])</f>
        <v>2023</v>
      </c>
      <c r="P87" t="str">
        <f>TEXT(HR_Data[[#This Row],[Joining Date]],"mmmm")</f>
        <v>August</v>
      </c>
      <c r="Q87">
        <f t="array" ref="Q8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7">
        <f>HR_Data[[#This Row],[Salary]]*HR_Data[[#This Row],[Bonus %]]</f>
        <v>13323.75</v>
      </c>
      <c r="S87">
        <f>HR_Data[[#This Row],[Salary]]+HR_Data[[#This Row],[Bonus Amount]]</f>
        <v>102148.75</v>
      </c>
      <c r="T87" t="str">
        <f>IF(HR_Data[[#This Row],[Attrition]]="Yes","Inactive","Active")</f>
        <v>Active</v>
      </c>
      <c r="U87" t="str">
        <f t="array" ref="U87">_xlfn.IFS(HR_Data[[#This Row],[Salary]]&gt;=100000,"A",HR_Data[[#This Row],[Salary]]&gt;=70000,"B",HR_Data[[#This Row],[Salary]]&gt;=50000,"C",TRUE(),"D")</f>
        <v>B</v>
      </c>
      <c r="V87" t="str">
        <f t="array" ref="V87">_xlfn.IFS(HR_Data[[#This Row],[Experience]]&gt;=15,"Expert",HR_Data[[#This Row],[Experience]]&gt;=8,"Senior",HR_Data[[#This Row],[Experience]]&gt;=3,"Mid-Level",TRUE(),"Junior")</f>
        <v>Expert</v>
      </c>
    </row>
    <row r="88" spans="1:22" ht="14.25" customHeight="1" x14ac:dyDescent="0.3">
      <c r="A88" t="s">
        <v>291</v>
      </c>
      <c r="B88" t="s">
        <v>279</v>
      </c>
      <c r="C88" t="s">
        <v>40</v>
      </c>
      <c r="D88" t="s">
        <v>25</v>
      </c>
      <c r="E88">
        <v>35</v>
      </c>
      <c r="F88">
        <v>47013</v>
      </c>
      <c r="G88">
        <v>9</v>
      </c>
      <c r="H88" t="s">
        <v>292</v>
      </c>
      <c r="I88" t="s">
        <v>27</v>
      </c>
      <c r="J88" t="s">
        <v>36</v>
      </c>
      <c r="K88" t="s">
        <v>29</v>
      </c>
      <c r="L88" t="str">
        <f t="array" ref="L88">_xlfn.IFS(HR_Data[[#This Row],[Experience]]&lt;2,"0-2 Years",HR_Data[[#This Row],[Experience]]&lt;5,"2-5 Years",HR_Data[[#This Row],[Experience]]&lt;10,"5-10 Years",TRUE(),"10+ Years")</f>
        <v>5-10 Years</v>
      </c>
      <c r="M88" t="str">
        <f t="array" ref="M88">_xlfn.IFS(HR_Data[[#This Row],[Salary]]&lt;40000,"Low",HR_Data[[#This Row],[Salary]]&lt;70000,"Medium",HR_Data[[#This Row],[Salary]]&lt;100000,"High",TRUE(),"Very High")</f>
        <v>Medium</v>
      </c>
      <c r="N88" t="str">
        <f t="array" ref="N88">_xlfn.IFS(HR_Data[[#This Row],[Age]]&lt;25,"18-24",HR_Data[[#This Row],[Age]]&lt;35,"25-34",HR_Data[[#This Row],[Age]]&lt;45,"35-44",TRUE(),"45+")</f>
        <v>35-44</v>
      </c>
      <c r="O88">
        <f>YEAR(HR_Data[[#This Row],[Joining Date]])</f>
        <v>2017</v>
      </c>
      <c r="P88" t="str">
        <f>TEXT(HR_Data[[#This Row],[Joining Date]],"mmmm")</f>
        <v>October</v>
      </c>
      <c r="Q88">
        <f t="array" ref="Q8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8">
        <f>HR_Data[[#This Row],[Salary]]*HR_Data[[#This Row],[Bonus %]]</f>
        <v>4701.3</v>
      </c>
      <c r="S88">
        <f>HR_Data[[#This Row],[Salary]]+HR_Data[[#This Row],[Bonus Amount]]</f>
        <v>51714.3</v>
      </c>
      <c r="T88" t="str">
        <f>IF(HR_Data[[#This Row],[Attrition]]="Yes","Inactive","Active")</f>
        <v>Active</v>
      </c>
      <c r="U88" t="str">
        <f t="array" ref="U88">_xlfn.IFS(HR_Data[[#This Row],[Salary]]&gt;=100000,"A",HR_Data[[#This Row],[Salary]]&gt;=70000,"B",HR_Data[[#This Row],[Salary]]&gt;=50000,"C",TRUE(),"D")</f>
        <v>D</v>
      </c>
      <c r="V88" t="str">
        <f t="array" ref="V88">_xlfn.IFS(HR_Data[[#This Row],[Experience]]&gt;=15,"Expert",HR_Data[[#This Row],[Experience]]&gt;=8,"Senior",HR_Data[[#This Row],[Experience]]&gt;=3,"Mid-Level",TRUE(),"Junior")</f>
        <v>Senior</v>
      </c>
    </row>
    <row r="89" spans="1:22" ht="14.25" customHeight="1" x14ac:dyDescent="0.3">
      <c r="A89" t="s">
        <v>293</v>
      </c>
      <c r="B89" t="s">
        <v>294</v>
      </c>
      <c r="C89" t="s">
        <v>32</v>
      </c>
      <c r="D89" t="s">
        <v>33</v>
      </c>
      <c r="E89">
        <v>34</v>
      </c>
      <c r="F89">
        <v>50858</v>
      </c>
      <c r="G89">
        <v>9</v>
      </c>
      <c r="H89" t="s">
        <v>295</v>
      </c>
      <c r="I89" t="s">
        <v>67</v>
      </c>
      <c r="J89" t="s">
        <v>36</v>
      </c>
      <c r="K89" t="s">
        <v>29</v>
      </c>
      <c r="L89" t="str">
        <f t="array" ref="L89">_xlfn.IFS(HR_Data[[#This Row],[Experience]]&lt;2,"0-2 Years",HR_Data[[#This Row],[Experience]]&lt;5,"2-5 Years",HR_Data[[#This Row],[Experience]]&lt;10,"5-10 Years",TRUE(),"10+ Years")</f>
        <v>5-10 Years</v>
      </c>
      <c r="M89" t="str">
        <f t="array" ref="M89">_xlfn.IFS(HR_Data[[#This Row],[Salary]]&lt;40000,"Low",HR_Data[[#This Row],[Salary]]&lt;70000,"Medium",HR_Data[[#This Row],[Salary]]&lt;100000,"High",TRUE(),"Very High")</f>
        <v>Medium</v>
      </c>
      <c r="N89" t="str">
        <f t="array" ref="N89">_xlfn.IFS(HR_Data[[#This Row],[Age]]&lt;25,"18-24",HR_Data[[#This Row],[Age]]&lt;35,"25-34",HR_Data[[#This Row],[Age]]&lt;45,"35-44",TRUE(),"45+")</f>
        <v>25-34</v>
      </c>
      <c r="O89">
        <f>YEAR(HR_Data[[#This Row],[Joining Date]])</f>
        <v>2016</v>
      </c>
      <c r="P89" t="str">
        <f>TEXT(HR_Data[[#This Row],[Joining Date]],"mmmm")</f>
        <v>September</v>
      </c>
      <c r="Q89">
        <f t="array" ref="Q8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9">
        <f>HR_Data[[#This Row],[Salary]]*HR_Data[[#This Row],[Bonus %]]</f>
        <v>5085.8</v>
      </c>
      <c r="S89">
        <f>HR_Data[[#This Row],[Salary]]+HR_Data[[#This Row],[Bonus Amount]]</f>
        <v>55943.8</v>
      </c>
      <c r="T89" t="str">
        <f>IF(HR_Data[[#This Row],[Attrition]]="Yes","Inactive","Active")</f>
        <v>Active</v>
      </c>
      <c r="U89" t="str">
        <f t="array" ref="U89">_xlfn.IFS(HR_Data[[#This Row],[Salary]]&gt;=100000,"A",HR_Data[[#This Row],[Salary]]&gt;=70000,"B",HR_Data[[#This Row],[Salary]]&gt;=50000,"C",TRUE(),"D")</f>
        <v>C</v>
      </c>
      <c r="V89" t="str">
        <f t="array" ref="V89">_xlfn.IFS(HR_Data[[#This Row],[Experience]]&gt;=15,"Expert",HR_Data[[#This Row],[Experience]]&gt;=8,"Senior",HR_Data[[#This Row],[Experience]]&gt;=3,"Mid-Level",TRUE(),"Junior")</f>
        <v>Senior</v>
      </c>
    </row>
    <row r="90" spans="1:22" ht="14.25" customHeight="1" x14ac:dyDescent="0.3">
      <c r="A90" t="s">
        <v>296</v>
      </c>
      <c r="B90" t="s">
        <v>130</v>
      </c>
      <c r="C90" t="s">
        <v>134</v>
      </c>
      <c r="D90" t="s">
        <v>33</v>
      </c>
      <c r="E90">
        <v>59</v>
      </c>
      <c r="F90">
        <v>136176</v>
      </c>
      <c r="G90">
        <v>34</v>
      </c>
      <c r="H90" t="s">
        <v>297</v>
      </c>
      <c r="I90" t="s">
        <v>42</v>
      </c>
      <c r="J90" t="s">
        <v>46</v>
      </c>
      <c r="K90" t="s">
        <v>37</v>
      </c>
      <c r="L90" t="str">
        <f t="array" ref="L90">_xlfn.IFS(HR_Data[[#This Row],[Experience]]&lt;2,"0-2 Years",HR_Data[[#This Row],[Experience]]&lt;5,"2-5 Years",HR_Data[[#This Row],[Experience]]&lt;10,"5-10 Years",TRUE(),"10+ Years")</f>
        <v>10+ Years</v>
      </c>
      <c r="M90" t="str">
        <f t="array" ref="M90">_xlfn.IFS(HR_Data[[#This Row],[Salary]]&lt;40000,"Low",HR_Data[[#This Row],[Salary]]&lt;70000,"Medium",HR_Data[[#This Row],[Salary]]&lt;100000,"High",TRUE(),"Very High")</f>
        <v>Very High</v>
      </c>
      <c r="N90" t="str">
        <f t="array" ref="N90">_xlfn.IFS(HR_Data[[#This Row],[Age]]&lt;25,"18-24",HR_Data[[#This Row],[Age]]&lt;35,"25-34",HR_Data[[#This Row],[Age]]&lt;45,"35-44",TRUE(),"45+")</f>
        <v>45+</v>
      </c>
      <c r="O90">
        <f>YEAR(HR_Data[[#This Row],[Joining Date]])</f>
        <v>2025</v>
      </c>
      <c r="P90" t="str">
        <f>TEXT(HR_Data[[#This Row],[Joining Date]],"mmmm")</f>
        <v>December</v>
      </c>
      <c r="Q90">
        <f t="array" ref="Q90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90">
        <f>HR_Data[[#This Row],[Salary]]*HR_Data[[#This Row],[Bonus %]]</f>
        <v>6808.8</v>
      </c>
      <c r="S90">
        <f>HR_Data[[#This Row],[Salary]]+HR_Data[[#This Row],[Bonus Amount]]</f>
        <v>142984.79999999999</v>
      </c>
      <c r="T90" t="str">
        <f>IF(HR_Data[[#This Row],[Attrition]]="Yes","Inactive","Active")</f>
        <v>Inactive</v>
      </c>
      <c r="U90" t="str">
        <f t="array" ref="U90">_xlfn.IFS(HR_Data[[#This Row],[Salary]]&gt;=100000,"A",HR_Data[[#This Row],[Salary]]&gt;=70000,"B",HR_Data[[#This Row],[Salary]]&gt;=50000,"C",TRUE(),"D")</f>
        <v>A</v>
      </c>
      <c r="V90" t="str">
        <f t="array" ref="V90">_xlfn.IFS(HR_Data[[#This Row],[Experience]]&gt;=15,"Expert",HR_Data[[#This Row],[Experience]]&gt;=8,"Senior",HR_Data[[#This Row],[Experience]]&gt;=3,"Mid-Level",TRUE(),"Junior")</f>
        <v>Expert</v>
      </c>
    </row>
    <row r="91" spans="1:22" ht="14.25" customHeight="1" x14ac:dyDescent="0.3">
      <c r="A91" t="s">
        <v>298</v>
      </c>
      <c r="B91" t="s">
        <v>299</v>
      </c>
      <c r="C91" t="s">
        <v>55</v>
      </c>
      <c r="D91" t="s">
        <v>33</v>
      </c>
      <c r="E91">
        <v>47</v>
      </c>
      <c r="F91">
        <v>106693</v>
      </c>
      <c r="G91">
        <v>27</v>
      </c>
      <c r="H91" t="s">
        <v>300</v>
      </c>
      <c r="I91" t="s">
        <v>80</v>
      </c>
      <c r="J91" t="s">
        <v>28</v>
      </c>
      <c r="K91" t="s">
        <v>29</v>
      </c>
      <c r="L91" t="str">
        <f t="array" ref="L91">_xlfn.IFS(HR_Data[[#This Row],[Experience]]&lt;2,"0-2 Years",HR_Data[[#This Row],[Experience]]&lt;5,"2-5 Years",HR_Data[[#This Row],[Experience]]&lt;10,"5-10 Years",TRUE(),"10+ Years")</f>
        <v>10+ Years</v>
      </c>
      <c r="M91" t="str">
        <f t="array" ref="M91">_xlfn.IFS(HR_Data[[#This Row],[Salary]]&lt;40000,"Low",HR_Data[[#This Row],[Salary]]&lt;70000,"Medium",HR_Data[[#This Row],[Salary]]&lt;100000,"High",TRUE(),"Very High")</f>
        <v>Very High</v>
      </c>
      <c r="N91" t="str">
        <f t="array" ref="N91">_xlfn.IFS(HR_Data[[#This Row],[Age]]&lt;25,"18-24",HR_Data[[#This Row],[Age]]&lt;35,"25-34",HR_Data[[#This Row],[Age]]&lt;45,"35-44",TRUE(),"45+")</f>
        <v>45+</v>
      </c>
      <c r="O91">
        <f>YEAR(HR_Data[[#This Row],[Joining Date]])</f>
        <v>2024</v>
      </c>
      <c r="P91" t="str">
        <f>TEXT(HR_Data[[#This Row],[Joining Date]],"mmmm")</f>
        <v>December</v>
      </c>
      <c r="Q91">
        <f t="array" ref="Q91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1">
        <f>HR_Data[[#This Row],[Salary]]*HR_Data[[#This Row],[Bonus %]]</f>
        <v>16003.949999999999</v>
      </c>
      <c r="S91">
        <f>HR_Data[[#This Row],[Salary]]+HR_Data[[#This Row],[Bonus Amount]]</f>
        <v>122696.95</v>
      </c>
      <c r="T91" t="str">
        <f>IF(HR_Data[[#This Row],[Attrition]]="Yes","Inactive","Active")</f>
        <v>Active</v>
      </c>
      <c r="U91" t="str">
        <f t="array" ref="U91">_xlfn.IFS(HR_Data[[#This Row],[Salary]]&gt;=100000,"A",HR_Data[[#This Row],[Salary]]&gt;=70000,"B",HR_Data[[#This Row],[Salary]]&gt;=50000,"C",TRUE(),"D")</f>
        <v>A</v>
      </c>
      <c r="V91" t="str">
        <f t="array" ref="V91">_xlfn.IFS(HR_Data[[#This Row],[Experience]]&gt;=15,"Expert",HR_Data[[#This Row],[Experience]]&gt;=8,"Senior",HR_Data[[#This Row],[Experience]]&gt;=3,"Mid-Level",TRUE(),"Junior")</f>
        <v>Expert</v>
      </c>
    </row>
    <row r="92" spans="1:22" ht="14.25" customHeight="1" x14ac:dyDescent="0.3">
      <c r="A92" t="s">
        <v>301</v>
      </c>
      <c r="B92" t="s">
        <v>149</v>
      </c>
      <c r="C92" t="s">
        <v>70</v>
      </c>
      <c r="D92" t="s">
        <v>33</v>
      </c>
      <c r="E92">
        <v>46</v>
      </c>
      <c r="F92">
        <v>101512</v>
      </c>
      <c r="G92">
        <v>22</v>
      </c>
      <c r="H92" t="s">
        <v>302</v>
      </c>
      <c r="I92" t="s">
        <v>72</v>
      </c>
      <c r="J92" t="s">
        <v>28</v>
      </c>
      <c r="K92" t="s">
        <v>29</v>
      </c>
      <c r="L92" t="str">
        <f t="array" ref="L92">_xlfn.IFS(HR_Data[[#This Row],[Experience]]&lt;2,"0-2 Years",HR_Data[[#This Row],[Experience]]&lt;5,"2-5 Years",HR_Data[[#This Row],[Experience]]&lt;10,"5-10 Years",TRUE(),"10+ Years")</f>
        <v>10+ Years</v>
      </c>
      <c r="M92" t="str">
        <f t="array" ref="M92">_xlfn.IFS(HR_Data[[#This Row],[Salary]]&lt;40000,"Low",HR_Data[[#This Row],[Salary]]&lt;70000,"Medium",HR_Data[[#This Row],[Salary]]&lt;100000,"High",TRUE(),"Very High")</f>
        <v>Very High</v>
      </c>
      <c r="N92" t="str">
        <f t="array" ref="N92">_xlfn.IFS(HR_Data[[#This Row],[Age]]&lt;25,"18-24",HR_Data[[#This Row],[Age]]&lt;35,"25-34",HR_Data[[#This Row],[Age]]&lt;45,"35-44",TRUE(),"45+")</f>
        <v>45+</v>
      </c>
      <c r="O92">
        <f>YEAR(HR_Data[[#This Row],[Joining Date]])</f>
        <v>2018</v>
      </c>
      <c r="P92" t="str">
        <f>TEXT(HR_Data[[#This Row],[Joining Date]],"mmmm")</f>
        <v>April</v>
      </c>
      <c r="Q92">
        <f t="array" ref="Q92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2">
        <f>HR_Data[[#This Row],[Salary]]*HR_Data[[#This Row],[Bonus %]]</f>
        <v>15226.8</v>
      </c>
      <c r="S92">
        <f>HR_Data[[#This Row],[Salary]]+HR_Data[[#This Row],[Bonus Amount]]</f>
        <v>116738.8</v>
      </c>
      <c r="T92" t="str">
        <f>IF(HR_Data[[#This Row],[Attrition]]="Yes","Inactive","Active")</f>
        <v>Active</v>
      </c>
      <c r="U92" t="str">
        <f t="array" ref="U92">_xlfn.IFS(HR_Data[[#This Row],[Salary]]&gt;=100000,"A",HR_Data[[#This Row],[Salary]]&gt;=70000,"B",HR_Data[[#This Row],[Salary]]&gt;=50000,"C",TRUE(),"D")</f>
        <v>A</v>
      </c>
      <c r="V92" t="str">
        <f t="array" ref="V92">_xlfn.IFS(HR_Data[[#This Row],[Experience]]&gt;=15,"Expert",HR_Data[[#This Row],[Experience]]&gt;=8,"Senior",HR_Data[[#This Row],[Experience]]&gt;=3,"Mid-Level",TRUE(),"Junior")</f>
        <v>Expert</v>
      </c>
    </row>
    <row r="93" spans="1:22" ht="14.25" customHeight="1" x14ac:dyDescent="0.3">
      <c r="A93" t="s">
        <v>303</v>
      </c>
      <c r="B93" t="s">
        <v>304</v>
      </c>
      <c r="C93" t="s">
        <v>93</v>
      </c>
      <c r="D93" t="s">
        <v>25</v>
      </c>
      <c r="E93">
        <v>52</v>
      </c>
      <c r="F93">
        <v>101691</v>
      </c>
      <c r="G93">
        <v>24</v>
      </c>
      <c r="H93" t="s">
        <v>305</v>
      </c>
      <c r="I93" t="s">
        <v>27</v>
      </c>
      <c r="J93" t="s">
        <v>46</v>
      </c>
      <c r="K93" t="s">
        <v>29</v>
      </c>
      <c r="L93" t="str">
        <f t="array" ref="L93">_xlfn.IFS(HR_Data[[#This Row],[Experience]]&lt;2,"0-2 Years",HR_Data[[#This Row],[Experience]]&lt;5,"2-5 Years",HR_Data[[#This Row],[Experience]]&lt;10,"5-10 Years",TRUE(),"10+ Years")</f>
        <v>10+ Years</v>
      </c>
      <c r="M93" t="str">
        <f t="array" ref="M93">_xlfn.IFS(HR_Data[[#This Row],[Salary]]&lt;40000,"Low",HR_Data[[#This Row],[Salary]]&lt;70000,"Medium",HR_Data[[#This Row],[Salary]]&lt;100000,"High",TRUE(),"Very High")</f>
        <v>Very High</v>
      </c>
      <c r="N93" t="str">
        <f t="array" ref="N93">_xlfn.IFS(HR_Data[[#This Row],[Age]]&lt;25,"18-24",HR_Data[[#This Row],[Age]]&lt;35,"25-34",HR_Data[[#This Row],[Age]]&lt;45,"35-44",TRUE(),"45+")</f>
        <v>45+</v>
      </c>
      <c r="O93">
        <f>YEAR(HR_Data[[#This Row],[Joining Date]])</f>
        <v>2026</v>
      </c>
      <c r="P93" t="str">
        <f>TEXT(HR_Data[[#This Row],[Joining Date]],"mmmm")</f>
        <v>February</v>
      </c>
      <c r="Q93">
        <f t="array" ref="Q93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93">
        <f>HR_Data[[#This Row],[Salary]]*HR_Data[[#This Row],[Bonus %]]</f>
        <v>5084.55</v>
      </c>
      <c r="S93">
        <f>HR_Data[[#This Row],[Salary]]+HR_Data[[#This Row],[Bonus Amount]]</f>
        <v>106775.55</v>
      </c>
      <c r="T93" t="str">
        <f>IF(HR_Data[[#This Row],[Attrition]]="Yes","Inactive","Active")</f>
        <v>Active</v>
      </c>
      <c r="U93" t="str">
        <f t="array" ref="U93">_xlfn.IFS(HR_Data[[#This Row],[Salary]]&gt;=100000,"A",HR_Data[[#This Row],[Salary]]&gt;=70000,"B",HR_Data[[#This Row],[Salary]]&gt;=50000,"C",TRUE(),"D")</f>
        <v>A</v>
      </c>
      <c r="V93" t="str">
        <f t="array" ref="V93">_xlfn.IFS(HR_Data[[#This Row],[Experience]]&gt;=15,"Expert",HR_Data[[#This Row],[Experience]]&gt;=8,"Senior",HR_Data[[#This Row],[Experience]]&gt;=3,"Mid-Level",TRUE(),"Junior")</f>
        <v>Expert</v>
      </c>
    </row>
    <row r="94" spans="1:22" ht="14.25" customHeight="1" x14ac:dyDescent="0.3">
      <c r="A94" t="s">
        <v>306</v>
      </c>
      <c r="B94" t="s">
        <v>307</v>
      </c>
      <c r="C94" t="s">
        <v>32</v>
      </c>
      <c r="D94" t="s">
        <v>25</v>
      </c>
      <c r="E94">
        <v>52</v>
      </c>
      <c r="F94">
        <v>127710</v>
      </c>
      <c r="G94">
        <v>29</v>
      </c>
      <c r="H94" t="s">
        <v>308</v>
      </c>
      <c r="I94" t="s">
        <v>35</v>
      </c>
      <c r="J94" t="s">
        <v>63</v>
      </c>
      <c r="K94" t="s">
        <v>29</v>
      </c>
      <c r="L94" t="str">
        <f t="array" ref="L94">_xlfn.IFS(HR_Data[[#This Row],[Experience]]&lt;2,"0-2 Years",HR_Data[[#This Row],[Experience]]&lt;5,"2-5 Years",HR_Data[[#This Row],[Experience]]&lt;10,"5-10 Years",TRUE(),"10+ Years")</f>
        <v>10+ Years</v>
      </c>
      <c r="M94" t="str">
        <f t="array" ref="M94">_xlfn.IFS(HR_Data[[#This Row],[Salary]]&lt;40000,"Low",HR_Data[[#This Row],[Salary]]&lt;70000,"Medium",HR_Data[[#This Row],[Salary]]&lt;100000,"High",TRUE(),"Very High")</f>
        <v>Very High</v>
      </c>
      <c r="N94" t="str">
        <f t="array" ref="N94">_xlfn.IFS(HR_Data[[#This Row],[Age]]&lt;25,"18-24",HR_Data[[#This Row],[Age]]&lt;35,"25-34",HR_Data[[#This Row],[Age]]&lt;45,"35-44",TRUE(),"45+")</f>
        <v>45+</v>
      </c>
      <c r="O94">
        <f>YEAR(HR_Data[[#This Row],[Joining Date]])</f>
        <v>2018</v>
      </c>
      <c r="P94" t="str">
        <f>TEXT(HR_Data[[#This Row],[Joining Date]],"mmmm")</f>
        <v>July</v>
      </c>
      <c r="Q94">
        <f t="array" ref="Q94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94">
        <f>HR_Data[[#This Row],[Salary]]*HR_Data[[#This Row],[Bonus %]]</f>
        <v>25542</v>
      </c>
      <c r="S94">
        <f>HR_Data[[#This Row],[Salary]]+HR_Data[[#This Row],[Bonus Amount]]</f>
        <v>153252</v>
      </c>
      <c r="T94" t="str">
        <f>IF(HR_Data[[#This Row],[Attrition]]="Yes","Inactive","Active")</f>
        <v>Active</v>
      </c>
      <c r="U94" t="str">
        <f t="array" ref="U94">_xlfn.IFS(HR_Data[[#This Row],[Salary]]&gt;=100000,"A",HR_Data[[#This Row],[Salary]]&gt;=70000,"B",HR_Data[[#This Row],[Salary]]&gt;=50000,"C",TRUE(),"D")</f>
        <v>A</v>
      </c>
      <c r="V94" t="str">
        <f t="array" ref="V94">_xlfn.IFS(HR_Data[[#This Row],[Experience]]&gt;=15,"Expert",HR_Data[[#This Row],[Experience]]&gt;=8,"Senior",HR_Data[[#This Row],[Experience]]&gt;=3,"Mid-Level",TRUE(),"Junior")</f>
        <v>Expert</v>
      </c>
    </row>
    <row r="95" spans="1:22" ht="14.25" customHeight="1" x14ac:dyDescent="0.3">
      <c r="A95" t="s">
        <v>309</v>
      </c>
      <c r="B95" t="s">
        <v>310</v>
      </c>
      <c r="C95" t="s">
        <v>134</v>
      </c>
      <c r="D95" t="s">
        <v>25</v>
      </c>
      <c r="E95">
        <v>41</v>
      </c>
      <c r="F95">
        <v>90405</v>
      </c>
      <c r="G95">
        <v>19</v>
      </c>
      <c r="H95" t="s">
        <v>311</v>
      </c>
      <c r="I95" t="s">
        <v>27</v>
      </c>
      <c r="J95" t="s">
        <v>63</v>
      </c>
      <c r="K95" t="s">
        <v>29</v>
      </c>
      <c r="L95" t="str">
        <f t="array" ref="L95">_xlfn.IFS(HR_Data[[#This Row],[Experience]]&lt;2,"0-2 Years",HR_Data[[#This Row],[Experience]]&lt;5,"2-5 Years",HR_Data[[#This Row],[Experience]]&lt;10,"5-10 Years",TRUE(),"10+ Years")</f>
        <v>10+ Years</v>
      </c>
      <c r="M95" t="str">
        <f t="array" ref="M95">_xlfn.IFS(HR_Data[[#This Row],[Salary]]&lt;40000,"Low",HR_Data[[#This Row],[Salary]]&lt;70000,"Medium",HR_Data[[#This Row],[Salary]]&lt;100000,"High",TRUE(),"Very High")</f>
        <v>High</v>
      </c>
      <c r="N95" t="str">
        <f t="array" ref="N95">_xlfn.IFS(HR_Data[[#This Row],[Age]]&lt;25,"18-24",HR_Data[[#This Row],[Age]]&lt;35,"25-34",HR_Data[[#This Row],[Age]]&lt;45,"35-44",TRUE(),"45+")</f>
        <v>35-44</v>
      </c>
      <c r="O95">
        <f>YEAR(HR_Data[[#This Row],[Joining Date]])</f>
        <v>2025</v>
      </c>
      <c r="P95" t="str">
        <f>TEXT(HR_Data[[#This Row],[Joining Date]],"mmmm")</f>
        <v>November</v>
      </c>
      <c r="Q95">
        <f t="array" ref="Q95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95">
        <f>HR_Data[[#This Row],[Salary]]*HR_Data[[#This Row],[Bonus %]]</f>
        <v>18081</v>
      </c>
      <c r="S95">
        <f>HR_Data[[#This Row],[Salary]]+HR_Data[[#This Row],[Bonus Amount]]</f>
        <v>108486</v>
      </c>
      <c r="T95" t="str">
        <f>IF(HR_Data[[#This Row],[Attrition]]="Yes","Inactive","Active")</f>
        <v>Active</v>
      </c>
      <c r="U95" t="str">
        <f t="array" ref="U95">_xlfn.IFS(HR_Data[[#This Row],[Salary]]&gt;=100000,"A",HR_Data[[#This Row],[Salary]]&gt;=70000,"B",HR_Data[[#This Row],[Salary]]&gt;=50000,"C",TRUE(),"D")</f>
        <v>B</v>
      </c>
      <c r="V95" t="str">
        <f t="array" ref="V95">_xlfn.IFS(HR_Data[[#This Row],[Experience]]&gt;=15,"Expert",HR_Data[[#This Row],[Experience]]&gt;=8,"Senior",HR_Data[[#This Row],[Experience]]&gt;=3,"Mid-Level",TRUE(),"Junior")</f>
        <v>Expert</v>
      </c>
    </row>
    <row r="96" spans="1:22" ht="14.25" customHeight="1" x14ac:dyDescent="0.3">
      <c r="A96" t="s">
        <v>312</v>
      </c>
      <c r="B96" t="s">
        <v>313</v>
      </c>
      <c r="C96" t="s">
        <v>24</v>
      </c>
      <c r="D96" t="s">
        <v>25</v>
      </c>
      <c r="E96">
        <v>48</v>
      </c>
      <c r="F96">
        <v>97265</v>
      </c>
      <c r="G96">
        <v>25</v>
      </c>
      <c r="H96" t="s">
        <v>314</v>
      </c>
      <c r="I96" t="s">
        <v>57</v>
      </c>
      <c r="J96" t="s">
        <v>46</v>
      </c>
      <c r="K96" t="s">
        <v>29</v>
      </c>
      <c r="L96" t="str">
        <f t="array" ref="L96">_xlfn.IFS(HR_Data[[#This Row],[Experience]]&lt;2,"0-2 Years",HR_Data[[#This Row],[Experience]]&lt;5,"2-5 Years",HR_Data[[#This Row],[Experience]]&lt;10,"5-10 Years",TRUE(),"10+ Years")</f>
        <v>10+ Years</v>
      </c>
      <c r="M96" t="str">
        <f t="array" ref="M96">_xlfn.IFS(HR_Data[[#This Row],[Salary]]&lt;40000,"Low",HR_Data[[#This Row],[Salary]]&lt;70000,"Medium",HR_Data[[#This Row],[Salary]]&lt;100000,"High",TRUE(),"Very High")</f>
        <v>High</v>
      </c>
      <c r="N96" t="str">
        <f t="array" ref="N96">_xlfn.IFS(HR_Data[[#This Row],[Age]]&lt;25,"18-24",HR_Data[[#This Row],[Age]]&lt;35,"25-34",HR_Data[[#This Row],[Age]]&lt;45,"35-44",TRUE(),"45+")</f>
        <v>45+</v>
      </c>
      <c r="O96">
        <f>YEAR(HR_Data[[#This Row],[Joining Date]])</f>
        <v>2016</v>
      </c>
      <c r="P96" t="str">
        <f>TEXT(HR_Data[[#This Row],[Joining Date]],"mmmm")</f>
        <v>February</v>
      </c>
      <c r="Q96">
        <f t="array" ref="Q96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96">
        <f>HR_Data[[#This Row],[Salary]]*HR_Data[[#This Row],[Bonus %]]</f>
        <v>4863.25</v>
      </c>
      <c r="S96">
        <f>HR_Data[[#This Row],[Salary]]+HR_Data[[#This Row],[Bonus Amount]]</f>
        <v>102128.25</v>
      </c>
      <c r="T96" t="str">
        <f>IF(HR_Data[[#This Row],[Attrition]]="Yes","Inactive","Active")</f>
        <v>Active</v>
      </c>
      <c r="U96" t="str">
        <f t="array" ref="U96">_xlfn.IFS(HR_Data[[#This Row],[Salary]]&gt;=100000,"A",HR_Data[[#This Row],[Salary]]&gt;=70000,"B",HR_Data[[#This Row],[Salary]]&gt;=50000,"C",TRUE(),"D")</f>
        <v>B</v>
      </c>
      <c r="V96" t="str">
        <f t="array" ref="V96">_xlfn.IFS(HR_Data[[#This Row],[Experience]]&gt;=15,"Expert",HR_Data[[#This Row],[Experience]]&gt;=8,"Senior",HR_Data[[#This Row],[Experience]]&gt;=3,"Mid-Level",TRUE(),"Junior")</f>
        <v>Expert</v>
      </c>
    </row>
    <row r="97" spans="1:22" ht="14.25" customHeight="1" x14ac:dyDescent="0.3">
      <c r="A97" t="s">
        <v>315</v>
      </c>
      <c r="B97" t="s">
        <v>316</v>
      </c>
      <c r="C97" t="s">
        <v>93</v>
      </c>
      <c r="D97" t="s">
        <v>33</v>
      </c>
      <c r="E97">
        <v>40</v>
      </c>
      <c r="F97">
        <v>63612</v>
      </c>
      <c r="G97">
        <v>12</v>
      </c>
      <c r="H97" t="s">
        <v>317</v>
      </c>
      <c r="I97" t="s">
        <v>72</v>
      </c>
      <c r="J97" t="s">
        <v>36</v>
      </c>
      <c r="K97" t="s">
        <v>29</v>
      </c>
      <c r="L97" t="str">
        <f t="array" ref="L97">_xlfn.IFS(HR_Data[[#This Row],[Experience]]&lt;2,"0-2 Years",HR_Data[[#This Row],[Experience]]&lt;5,"2-5 Years",HR_Data[[#This Row],[Experience]]&lt;10,"5-10 Years",TRUE(),"10+ Years")</f>
        <v>10+ Years</v>
      </c>
      <c r="M97" t="str">
        <f t="array" ref="M97">_xlfn.IFS(HR_Data[[#This Row],[Salary]]&lt;40000,"Low",HR_Data[[#This Row],[Salary]]&lt;70000,"Medium",HR_Data[[#This Row],[Salary]]&lt;100000,"High",TRUE(),"Very High")</f>
        <v>Medium</v>
      </c>
      <c r="N97" t="str">
        <f t="array" ref="N97">_xlfn.IFS(HR_Data[[#This Row],[Age]]&lt;25,"18-24",HR_Data[[#This Row],[Age]]&lt;35,"25-34",HR_Data[[#This Row],[Age]]&lt;45,"35-44",TRUE(),"45+")</f>
        <v>35-44</v>
      </c>
      <c r="O97">
        <f>YEAR(HR_Data[[#This Row],[Joining Date]])</f>
        <v>2018</v>
      </c>
      <c r="P97" t="str">
        <f>TEXT(HR_Data[[#This Row],[Joining Date]],"mmmm")</f>
        <v>January</v>
      </c>
      <c r="Q97">
        <f t="array" ref="Q97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7">
        <f>HR_Data[[#This Row],[Salary]]*HR_Data[[#This Row],[Bonus %]]</f>
        <v>6361.2000000000007</v>
      </c>
      <c r="S97">
        <f>HR_Data[[#This Row],[Salary]]+HR_Data[[#This Row],[Bonus Amount]]</f>
        <v>69973.2</v>
      </c>
      <c r="T97" t="str">
        <f>IF(HR_Data[[#This Row],[Attrition]]="Yes","Inactive","Active")</f>
        <v>Active</v>
      </c>
      <c r="U97" t="str">
        <f t="array" ref="U97">_xlfn.IFS(HR_Data[[#This Row],[Salary]]&gt;=100000,"A",HR_Data[[#This Row],[Salary]]&gt;=70000,"B",HR_Data[[#This Row],[Salary]]&gt;=50000,"C",TRUE(),"D")</f>
        <v>C</v>
      </c>
      <c r="V97" t="str">
        <f t="array" ref="V97">_xlfn.IFS(HR_Data[[#This Row],[Experience]]&gt;=15,"Expert",HR_Data[[#This Row],[Experience]]&gt;=8,"Senior",HR_Data[[#This Row],[Experience]]&gt;=3,"Mid-Level",TRUE(),"Junior")</f>
        <v>Senior</v>
      </c>
    </row>
    <row r="98" spans="1:22" ht="14.25" customHeight="1" x14ac:dyDescent="0.3">
      <c r="A98" t="s">
        <v>318</v>
      </c>
      <c r="B98" t="s">
        <v>319</v>
      </c>
      <c r="C98" t="s">
        <v>60</v>
      </c>
      <c r="D98" t="s">
        <v>33</v>
      </c>
      <c r="E98">
        <v>53</v>
      </c>
      <c r="F98">
        <v>94906</v>
      </c>
      <c r="G98">
        <v>23</v>
      </c>
      <c r="H98" t="s">
        <v>320</v>
      </c>
      <c r="I98" t="s">
        <v>45</v>
      </c>
      <c r="J98" t="s">
        <v>46</v>
      </c>
      <c r="K98" t="s">
        <v>29</v>
      </c>
      <c r="L98" t="str">
        <f t="array" ref="L98">_xlfn.IFS(HR_Data[[#This Row],[Experience]]&lt;2,"0-2 Years",HR_Data[[#This Row],[Experience]]&lt;5,"2-5 Years",HR_Data[[#This Row],[Experience]]&lt;10,"5-10 Years",TRUE(),"10+ Years")</f>
        <v>10+ Years</v>
      </c>
      <c r="M98" t="str">
        <f t="array" ref="M98">_xlfn.IFS(HR_Data[[#This Row],[Salary]]&lt;40000,"Low",HR_Data[[#This Row],[Salary]]&lt;70000,"Medium",HR_Data[[#This Row],[Salary]]&lt;100000,"High",TRUE(),"Very High")</f>
        <v>High</v>
      </c>
      <c r="N98" t="str">
        <f t="array" ref="N98">_xlfn.IFS(HR_Data[[#This Row],[Age]]&lt;25,"18-24",HR_Data[[#This Row],[Age]]&lt;35,"25-34",HR_Data[[#This Row],[Age]]&lt;45,"35-44",TRUE(),"45+")</f>
        <v>45+</v>
      </c>
      <c r="O98">
        <f>YEAR(HR_Data[[#This Row],[Joining Date]])</f>
        <v>2017</v>
      </c>
      <c r="P98" t="str">
        <f>TEXT(HR_Data[[#This Row],[Joining Date]],"mmmm")</f>
        <v>January</v>
      </c>
      <c r="Q98">
        <f t="array" ref="Q98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98">
        <f>HR_Data[[#This Row],[Salary]]*HR_Data[[#This Row],[Bonus %]]</f>
        <v>4745.3</v>
      </c>
      <c r="S98">
        <f>HR_Data[[#This Row],[Salary]]+HR_Data[[#This Row],[Bonus Amount]]</f>
        <v>99651.3</v>
      </c>
      <c r="T98" t="str">
        <f>IF(HR_Data[[#This Row],[Attrition]]="Yes","Inactive","Active")</f>
        <v>Active</v>
      </c>
      <c r="U98" t="str">
        <f t="array" ref="U98">_xlfn.IFS(HR_Data[[#This Row],[Salary]]&gt;=100000,"A",HR_Data[[#This Row],[Salary]]&gt;=70000,"B",HR_Data[[#This Row],[Salary]]&gt;=50000,"C",TRUE(),"D")</f>
        <v>B</v>
      </c>
      <c r="V98" t="str">
        <f t="array" ref="V98">_xlfn.IFS(HR_Data[[#This Row],[Experience]]&gt;=15,"Expert",HR_Data[[#This Row],[Experience]]&gt;=8,"Senior",HR_Data[[#This Row],[Experience]]&gt;=3,"Mid-Level",TRUE(),"Junior")</f>
        <v>Expert</v>
      </c>
    </row>
    <row r="99" spans="1:22" ht="14.25" customHeight="1" x14ac:dyDescent="0.3">
      <c r="A99" t="s">
        <v>321</v>
      </c>
      <c r="B99" t="s">
        <v>322</v>
      </c>
      <c r="C99" t="s">
        <v>55</v>
      </c>
      <c r="D99" t="s">
        <v>33</v>
      </c>
      <c r="E99">
        <v>50</v>
      </c>
      <c r="F99">
        <v>107042</v>
      </c>
      <c r="G99">
        <v>23</v>
      </c>
      <c r="H99" t="s">
        <v>323</v>
      </c>
      <c r="I99" t="s">
        <v>35</v>
      </c>
      <c r="J99" t="s">
        <v>46</v>
      </c>
      <c r="K99" t="s">
        <v>29</v>
      </c>
      <c r="L99" t="str">
        <f t="array" ref="L99">_xlfn.IFS(HR_Data[[#This Row],[Experience]]&lt;2,"0-2 Years",HR_Data[[#This Row],[Experience]]&lt;5,"2-5 Years",HR_Data[[#This Row],[Experience]]&lt;10,"5-10 Years",TRUE(),"10+ Years")</f>
        <v>10+ Years</v>
      </c>
      <c r="M99" t="str">
        <f t="array" ref="M99">_xlfn.IFS(HR_Data[[#This Row],[Salary]]&lt;40000,"Low",HR_Data[[#This Row],[Salary]]&lt;70000,"Medium",HR_Data[[#This Row],[Salary]]&lt;100000,"High",TRUE(),"Very High")</f>
        <v>Very High</v>
      </c>
      <c r="N99" t="str">
        <f t="array" ref="N99">_xlfn.IFS(HR_Data[[#This Row],[Age]]&lt;25,"18-24",HR_Data[[#This Row],[Age]]&lt;35,"25-34",HR_Data[[#This Row],[Age]]&lt;45,"35-44",TRUE(),"45+")</f>
        <v>45+</v>
      </c>
      <c r="O99">
        <f>YEAR(HR_Data[[#This Row],[Joining Date]])</f>
        <v>2021</v>
      </c>
      <c r="P99" t="str">
        <f>TEXT(HR_Data[[#This Row],[Joining Date]],"mmmm")</f>
        <v>February</v>
      </c>
      <c r="Q99">
        <f t="array" ref="Q99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99">
        <f>HR_Data[[#This Row],[Salary]]*HR_Data[[#This Row],[Bonus %]]</f>
        <v>5352.1</v>
      </c>
      <c r="S99">
        <f>HR_Data[[#This Row],[Salary]]+HR_Data[[#This Row],[Bonus Amount]]</f>
        <v>112394.1</v>
      </c>
      <c r="T99" t="str">
        <f>IF(HR_Data[[#This Row],[Attrition]]="Yes","Inactive","Active")</f>
        <v>Active</v>
      </c>
      <c r="U99" t="str">
        <f t="array" ref="U99">_xlfn.IFS(HR_Data[[#This Row],[Salary]]&gt;=100000,"A",HR_Data[[#This Row],[Salary]]&gt;=70000,"B",HR_Data[[#This Row],[Salary]]&gt;=50000,"C",TRUE(),"D")</f>
        <v>A</v>
      </c>
      <c r="V99" t="str">
        <f t="array" ref="V99">_xlfn.IFS(HR_Data[[#This Row],[Experience]]&gt;=15,"Expert",HR_Data[[#This Row],[Experience]]&gt;=8,"Senior",HR_Data[[#This Row],[Experience]]&gt;=3,"Mid-Level",TRUE(),"Junior")</f>
        <v>Expert</v>
      </c>
    </row>
    <row r="100" spans="1:22" ht="14.25" customHeight="1" x14ac:dyDescent="0.3">
      <c r="A100" t="s">
        <v>324</v>
      </c>
      <c r="B100" t="s">
        <v>325</v>
      </c>
      <c r="C100" t="s">
        <v>32</v>
      </c>
      <c r="D100" t="s">
        <v>33</v>
      </c>
      <c r="E100">
        <v>25</v>
      </c>
      <c r="F100">
        <v>37192</v>
      </c>
      <c r="G100">
        <v>4</v>
      </c>
      <c r="H100" t="s">
        <v>326</v>
      </c>
      <c r="I100" t="s">
        <v>80</v>
      </c>
      <c r="J100" t="s">
        <v>90</v>
      </c>
      <c r="K100" t="s">
        <v>29</v>
      </c>
      <c r="L100" t="str">
        <f t="array" ref="L100">_xlfn.IFS(HR_Data[[#This Row],[Experience]]&lt;2,"0-2 Years",HR_Data[[#This Row],[Experience]]&lt;5,"2-5 Years",HR_Data[[#This Row],[Experience]]&lt;10,"5-10 Years",TRUE(),"10+ Years")</f>
        <v>2-5 Years</v>
      </c>
      <c r="M100" t="str">
        <f t="array" ref="M100">_xlfn.IFS(HR_Data[[#This Row],[Salary]]&lt;40000,"Low",HR_Data[[#This Row],[Salary]]&lt;70000,"Medium",HR_Data[[#This Row],[Salary]]&lt;100000,"High",TRUE(),"Very High")</f>
        <v>Low</v>
      </c>
      <c r="N100" t="str">
        <f t="array" ref="N100">_xlfn.IFS(HR_Data[[#This Row],[Age]]&lt;25,"18-24",HR_Data[[#This Row],[Age]]&lt;35,"25-34",HR_Data[[#This Row],[Age]]&lt;45,"35-44",TRUE(),"45+")</f>
        <v>25-34</v>
      </c>
      <c r="O100">
        <f>YEAR(HR_Data[[#This Row],[Joining Date]])</f>
        <v>2023</v>
      </c>
      <c r="P100" t="str">
        <f>TEXT(HR_Data[[#This Row],[Joining Date]],"mmmm")</f>
        <v>November</v>
      </c>
      <c r="Q100">
        <f t="array" ref="Q100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100">
        <f>HR_Data[[#This Row],[Salary]]*HR_Data[[#This Row],[Bonus %]]</f>
        <v>0</v>
      </c>
      <c r="S100">
        <f>HR_Data[[#This Row],[Salary]]+HR_Data[[#This Row],[Bonus Amount]]</f>
        <v>37192</v>
      </c>
      <c r="T100" t="str">
        <f>IF(HR_Data[[#This Row],[Attrition]]="Yes","Inactive","Active")</f>
        <v>Active</v>
      </c>
      <c r="U100" t="str">
        <f t="array" ref="U100">_xlfn.IFS(HR_Data[[#This Row],[Salary]]&gt;=100000,"A",HR_Data[[#This Row],[Salary]]&gt;=70000,"B",HR_Data[[#This Row],[Salary]]&gt;=50000,"C",TRUE(),"D")</f>
        <v>D</v>
      </c>
      <c r="V100" t="str">
        <f t="array" ref="V100">_xlfn.IFS(HR_Data[[#This Row],[Experience]]&gt;=15,"Expert",HR_Data[[#This Row],[Experience]]&gt;=8,"Senior",HR_Data[[#This Row],[Experience]]&gt;=3,"Mid-Level",TRUE(),"Junior")</f>
        <v>Mid-Level</v>
      </c>
    </row>
    <row r="101" spans="1:22" ht="14.25" customHeight="1" x14ac:dyDescent="0.3">
      <c r="A101" t="s">
        <v>327</v>
      </c>
      <c r="B101" t="s">
        <v>264</v>
      </c>
      <c r="C101" t="s">
        <v>55</v>
      </c>
      <c r="D101" t="s">
        <v>33</v>
      </c>
      <c r="E101">
        <v>54</v>
      </c>
      <c r="F101">
        <v>140702</v>
      </c>
      <c r="G101">
        <v>34</v>
      </c>
      <c r="H101" t="s">
        <v>328</v>
      </c>
      <c r="I101" t="s">
        <v>57</v>
      </c>
      <c r="J101" t="s">
        <v>36</v>
      </c>
      <c r="K101" t="s">
        <v>29</v>
      </c>
      <c r="L101" t="str">
        <f t="array" ref="L101">_xlfn.IFS(HR_Data[[#This Row],[Experience]]&lt;2,"0-2 Years",HR_Data[[#This Row],[Experience]]&lt;5,"2-5 Years",HR_Data[[#This Row],[Experience]]&lt;10,"5-10 Years",TRUE(),"10+ Years")</f>
        <v>10+ Years</v>
      </c>
      <c r="M101" t="str">
        <f t="array" ref="M101">_xlfn.IFS(HR_Data[[#This Row],[Salary]]&lt;40000,"Low",HR_Data[[#This Row],[Salary]]&lt;70000,"Medium",HR_Data[[#This Row],[Salary]]&lt;100000,"High",TRUE(),"Very High")</f>
        <v>Very High</v>
      </c>
      <c r="N101" t="str">
        <f t="array" ref="N101">_xlfn.IFS(HR_Data[[#This Row],[Age]]&lt;25,"18-24",HR_Data[[#This Row],[Age]]&lt;35,"25-34",HR_Data[[#This Row],[Age]]&lt;45,"35-44",TRUE(),"45+")</f>
        <v>45+</v>
      </c>
      <c r="O101">
        <f>YEAR(HR_Data[[#This Row],[Joining Date]])</f>
        <v>2023</v>
      </c>
      <c r="P101" t="str">
        <f>TEXT(HR_Data[[#This Row],[Joining Date]],"mmmm")</f>
        <v>April</v>
      </c>
      <c r="Q101">
        <f t="array" ref="Q10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01">
        <f>HR_Data[[#This Row],[Salary]]*HR_Data[[#This Row],[Bonus %]]</f>
        <v>14070.2</v>
      </c>
      <c r="S101">
        <f>HR_Data[[#This Row],[Salary]]+HR_Data[[#This Row],[Bonus Amount]]</f>
        <v>154772.20000000001</v>
      </c>
      <c r="T101" t="str">
        <f>IF(HR_Data[[#This Row],[Attrition]]="Yes","Inactive","Active")</f>
        <v>Active</v>
      </c>
      <c r="U101" t="str">
        <f t="array" ref="U101">_xlfn.IFS(HR_Data[[#This Row],[Salary]]&gt;=100000,"A",HR_Data[[#This Row],[Salary]]&gt;=70000,"B",HR_Data[[#This Row],[Salary]]&gt;=50000,"C",TRUE(),"D")</f>
        <v>A</v>
      </c>
      <c r="V101" t="str">
        <f t="array" ref="V101">_xlfn.IFS(HR_Data[[#This Row],[Experience]]&gt;=15,"Expert",HR_Data[[#This Row],[Experience]]&gt;=8,"Senior",HR_Data[[#This Row],[Experience]]&gt;=3,"Mid-Level",TRUE(),"Junior")</f>
        <v>Expert</v>
      </c>
    </row>
    <row r="102" spans="1:22" ht="14.25" customHeight="1" x14ac:dyDescent="0.3">
      <c r="A102" t="s">
        <v>329</v>
      </c>
      <c r="B102" t="s">
        <v>108</v>
      </c>
      <c r="C102" t="s">
        <v>134</v>
      </c>
      <c r="D102" t="s">
        <v>25</v>
      </c>
      <c r="E102">
        <v>49</v>
      </c>
      <c r="F102">
        <v>131396</v>
      </c>
      <c r="G102">
        <v>30</v>
      </c>
      <c r="H102" t="s">
        <v>330</v>
      </c>
      <c r="I102" t="s">
        <v>42</v>
      </c>
      <c r="J102" t="s">
        <v>46</v>
      </c>
      <c r="K102" t="s">
        <v>29</v>
      </c>
      <c r="L102" t="str">
        <f t="array" ref="L102">_xlfn.IFS(HR_Data[[#This Row],[Experience]]&lt;2,"0-2 Years",HR_Data[[#This Row],[Experience]]&lt;5,"2-5 Years",HR_Data[[#This Row],[Experience]]&lt;10,"5-10 Years",TRUE(),"10+ Years")</f>
        <v>10+ Years</v>
      </c>
      <c r="M102" t="str">
        <f t="array" ref="M102">_xlfn.IFS(HR_Data[[#This Row],[Salary]]&lt;40000,"Low",HR_Data[[#This Row],[Salary]]&lt;70000,"Medium",HR_Data[[#This Row],[Salary]]&lt;100000,"High",TRUE(),"Very High")</f>
        <v>Very High</v>
      </c>
      <c r="N102" t="str">
        <f t="array" ref="N102">_xlfn.IFS(HR_Data[[#This Row],[Age]]&lt;25,"18-24",HR_Data[[#This Row],[Age]]&lt;35,"25-34",HR_Data[[#This Row],[Age]]&lt;45,"35-44",TRUE(),"45+")</f>
        <v>45+</v>
      </c>
      <c r="O102">
        <f>YEAR(HR_Data[[#This Row],[Joining Date]])</f>
        <v>2022</v>
      </c>
      <c r="P102" t="str">
        <f>TEXT(HR_Data[[#This Row],[Joining Date]],"mmmm")</f>
        <v>May</v>
      </c>
      <c r="Q102">
        <f t="array" ref="Q102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102">
        <f>HR_Data[[#This Row],[Salary]]*HR_Data[[#This Row],[Bonus %]]</f>
        <v>6569.8</v>
      </c>
      <c r="S102">
        <f>HR_Data[[#This Row],[Salary]]+HR_Data[[#This Row],[Bonus Amount]]</f>
        <v>137965.79999999999</v>
      </c>
      <c r="T102" t="str">
        <f>IF(HR_Data[[#This Row],[Attrition]]="Yes","Inactive","Active")</f>
        <v>Active</v>
      </c>
      <c r="U102" t="str">
        <f t="array" ref="U102">_xlfn.IFS(HR_Data[[#This Row],[Salary]]&gt;=100000,"A",HR_Data[[#This Row],[Salary]]&gt;=70000,"B",HR_Data[[#This Row],[Salary]]&gt;=50000,"C",TRUE(),"D")</f>
        <v>A</v>
      </c>
      <c r="V102" t="str">
        <f t="array" ref="V102">_xlfn.IFS(HR_Data[[#This Row],[Experience]]&gt;=15,"Expert",HR_Data[[#This Row],[Experience]]&gt;=8,"Senior",HR_Data[[#This Row],[Experience]]&gt;=3,"Mid-Level",TRUE(),"Junior")</f>
        <v>Expert</v>
      </c>
    </row>
    <row r="103" spans="1:22" ht="14.25" customHeight="1" x14ac:dyDescent="0.3">
      <c r="A103" t="s">
        <v>331</v>
      </c>
      <c r="B103" t="s">
        <v>332</v>
      </c>
      <c r="C103" t="s">
        <v>70</v>
      </c>
      <c r="D103" t="s">
        <v>25</v>
      </c>
      <c r="E103">
        <v>27</v>
      </c>
      <c r="F103">
        <v>43819</v>
      </c>
      <c r="G103">
        <v>8</v>
      </c>
      <c r="H103" t="s">
        <v>333</v>
      </c>
      <c r="I103" t="s">
        <v>35</v>
      </c>
      <c r="J103" t="s">
        <v>90</v>
      </c>
      <c r="K103" t="s">
        <v>37</v>
      </c>
      <c r="L103" t="str">
        <f t="array" ref="L103">_xlfn.IFS(HR_Data[[#This Row],[Experience]]&lt;2,"0-2 Years",HR_Data[[#This Row],[Experience]]&lt;5,"2-5 Years",HR_Data[[#This Row],[Experience]]&lt;10,"5-10 Years",TRUE(),"10+ Years")</f>
        <v>5-10 Years</v>
      </c>
      <c r="M103" t="str">
        <f t="array" ref="M103">_xlfn.IFS(HR_Data[[#This Row],[Salary]]&lt;40000,"Low",HR_Data[[#This Row],[Salary]]&lt;70000,"Medium",HR_Data[[#This Row],[Salary]]&lt;100000,"High",TRUE(),"Very High")</f>
        <v>Medium</v>
      </c>
      <c r="N103" t="str">
        <f t="array" ref="N103">_xlfn.IFS(HR_Data[[#This Row],[Age]]&lt;25,"18-24",HR_Data[[#This Row],[Age]]&lt;35,"25-34",HR_Data[[#This Row],[Age]]&lt;45,"35-44",TRUE(),"45+")</f>
        <v>25-34</v>
      </c>
      <c r="O103">
        <f>YEAR(HR_Data[[#This Row],[Joining Date]])</f>
        <v>2021</v>
      </c>
      <c r="P103" t="str">
        <f>TEXT(HR_Data[[#This Row],[Joining Date]],"mmmm")</f>
        <v>October</v>
      </c>
      <c r="Q103">
        <f t="array" ref="Q103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103">
        <f>HR_Data[[#This Row],[Salary]]*HR_Data[[#This Row],[Bonus %]]</f>
        <v>0</v>
      </c>
      <c r="S103">
        <f>HR_Data[[#This Row],[Salary]]+HR_Data[[#This Row],[Bonus Amount]]</f>
        <v>43819</v>
      </c>
      <c r="T103" t="str">
        <f>IF(HR_Data[[#This Row],[Attrition]]="Yes","Inactive","Active")</f>
        <v>Inactive</v>
      </c>
      <c r="U103" t="str">
        <f t="array" ref="U103">_xlfn.IFS(HR_Data[[#This Row],[Salary]]&gt;=100000,"A",HR_Data[[#This Row],[Salary]]&gt;=70000,"B",HR_Data[[#This Row],[Salary]]&gt;=50000,"C",TRUE(),"D")</f>
        <v>D</v>
      </c>
      <c r="V103" t="str">
        <f t="array" ref="V103">_xlfn.IFS(HR_Data[[#This Row],[Experience]]&gt;=15,"Expert",HR_Data[[#This Row],[Experience]]&gt;=8,"Senior",HR_Data[[#This Row],[Experience]]&gt;=3,"Mid-Level",TRUE(),"Junior")</f>
        <v>Senior</v>
      </c>
    </row>
    <row r="104" spans="1:22" ht="14.25" customHeight="1" x14ac:dyDescent="0.3">
      <c r="A104" t="s">
        <v>334</v>
      </c>
      <c r="B104" t="s">
        <v>335</v>
      </c>
      <c r="C104" t="s">
        <v>93</v>
      </c>
      <c r="D104" t="s">
        <v>25</v>
      </c>
      <c r="E104">
        <v>52</v>
      </c>
      <c r="F104">
        <v>108301</v>
      </c>
      <c r="G104">
        <v>23</v>
      </c>
      <c r="H104" t="s">
        <v>336</v>
      </c>
      <c r="I104" t="s">
        <v>80</v>
      </c>
      <c r="J104" t="s">
        <v>36</v>
      </c>
      <c r="K104" t="s">
        <v>29</v>
      </c>
      <c r="L104" t="str">
        <f t="array" ref="L104">_xlfn.IFS(HR_Data[[#This Row],[Experience]]&lt;2,"0-2 Years",HR_Data[[#This Row],[Experience]]&lt;5,"2-5 Years",HR_Data[[#This Row],[Experience]]&lt;10,"5-10 Years",TRUE(),"10+ Years")</f>
        <v>10+ Years</v>
      </c>
      <c r="M104" t="str">
        <f t="array" ref="M104">_xlfn.IFS(HR_Data[[#This Row],[Salary]]&lt;40000,"Low",HR_Data[[#This Row],[Salary]]&lt;70000,"Medium",HR_Data[[#This Row],[Salary]]&lt;100000,"High",TRUE(),"Very High")</f>
        <v>Very High</v>
      </c>
      <c r="N104" t="str">
        <f t="array" ref="N104">_xlfn.IFS(HR_Data[[#This Row],[Age]]&lt;25,"18-24",HR_Data[[#This Row],[Age]]&lt;35,"25-34",HR_Data[[#This Row],[Age]]&lt;45,"35-44",TRUE(),"45+")</f>
        <v>45+</v>
      </c>
      <c r="O104">
        <f>YEAR(HR_Data[[#This Row],[Joining Date]])</f>
        <v>2024</v>
      </c>
      <c r="P104" t="str">
        <f>TEXT(HR_Data[[#This Row],[Joining Date]],"mmmm")</f>
        <v>May</v>
      </c>
      <c r="Q104">
        <f t="array" ref="Q104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04">
        <f>HR_Data[[#This Row],[Salary]]*HR_Data[[#This Row],[Bonus %]]</f>
        <v>10830.1</v>
      </c>
      <c r="S104">
        <f>HR_Data[[#This Row],[Salary]]+HR_Data[[#This Row],[Bonus Amount]]</f>
        <v>119131.1</v>
      </c>
      <c r="T104" t="str">
        <f>IF(HR_Data[[#This Row],[Attrition]]="Yes","Inactive","Active")</f>
        <v>Active</v>
      </c>
      <c r="U104" t="str">
        <f t="array" ref="U104">_xlfn.IFS(HR_Data[[#This Row],[Salary]]&gt;=100000,"A",HR_Data[[#This Row],[Salary]]&gt;=70000,"B",HR_Data[[#This Row],[Salary]]&gt;=50000,"C",TRUE(),"D")</f>
        <v>A</v>
      </c>
      <c r="V104" t="str">
        <f t="array" ref="V104">_xlfn.IFS(HR_Data[[#This Row],[Experience]]&gt;=15,"Expert",HR_Data[[#This Row],[Experience]]&gt;=8,"Senior",HR_Data[[#This Row],[Experience]]&gt;=3,"Mid-Level",TRUE(),"Junior")</f>
        <v>Expert</v>
      </c>
    </row>
    <row r="105" spans="1:22" ht="14.25" customHeight="1" x14ac:dyDescent="0.3">
      <c r="A105" t="s">
        <v>337</v>
      </c>
      <c r="B105" t="s">
        <v>325</v>
      </c>
      <c r="C105" t="s">
        <v>55</v>
      </c>
      <c r="D105" t="s">
        <v>25</v>
      </c>
      <c r="E105">
        <v>32</v>
      </c>
      <c r="F105">
        <v>35541</v>
      </c>
      <c r="G105">
        <v>2</v>
      </c>
      <c r="H105" t="s">
        <v>338</v>
      </c>
      <c r="I105" t="s">
        <v>27</v>
      </c>
      <c r="J105" t="s">
        <v>36</v>
      </c>
      <c r="K105" t="s">
        <v>29</v>
      </c>
      <c r="L105" t="str">
        <f t="array" ref="L105">_xlfn.IFS(HR_Data[[#This Row],[Experience]]&lt;2,"0-2 Years",HR_Data[[#This Row],[Experience]]&lt;5,"2-5 Years",HR_Data[[#This Row],[Experience]]&lt;10,"5-10 Years",TRUE(),"10+ Years")</f>
        <v>2-5 Years</v>
      </c>
      <c r="M105" t="str">
        <f t="array" ref="M105">_xlfn.IFS(HR_Data[[#This Row],[Salary]]&lt;40000,"Low",HR_Data[[#This Row],[Salary]]&lt;70000,"Medium",HR_Data[[#This Row],[Salary]]&lt;100000,"High",TRUE(),"Very High")</f>
        <v>Low</v>
      </c>
      <c r="N105" t="str">
        <f t="array" ref="N105">_xlfn.IFS(HR_Data[[#This Row],[Age]]&lt;25,"18-24",HR_Data[[#This Row],[Age]]&lt;35,"25-34",HR_Data[[#This Row],[Age]]&lt;45,"35-44",TRUE(),"45+")</f>
        <v>25-34</v>
      </c>
      <c r="O105">
        <f>YEAR(HR_Data[[#This Row],[Joining Date]])</f>
        <v>2019</v>
      </c>
      <c r="P105" t="str">
        <f>TEXT(HR_Data[[#This Row],[Joining Date]],"mmmm")</f>
        <v>November</v>
      </c>
      <c r="Q105">
        <f t="array" ref="Q10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05">
        <f>HR_Data[[#This Row],[Salary]]*HR_Data[[#This Row],[Bonus %]]</f>
        <v>3554.1000000000004</v>
      </c>
      <c r="S105">
        <f>HR_Data[[#This Row],[Salary]]+HR_Data[[#This Row],[Bonus Amount]]</f>
        <v>39095.1</v>
      </c>
      <c r="T105" t="str">
        <f>IF(HR_Data[[#This Row],[Attrition]]="Yes","Inactive","Active")</f>
        <v>Active</v>
      </c>
      <c r="U105" t="str">
        <f t="array" ref="U105">_xlfn.IFS(HR_Data[[#This Row],[Salary]]&gt;=100000,"A",HR_Data[[#This Row],[Salary]]&gt;=70000,"B",HR_Data[[#This Row],[Salary]]&gt;=50000,"C",TRUE(),"D")</f>
        <v>D</v>
      </c>
      <c r="V105" t="str">
        <f t="array" ref="V105">_xlfn.IFS(HR_Data[[#This Row],[Experience]]&gt;=15,"Expert",HR_Data[[#This Row],[Experience]]&gt;=8,"Senior",HR_Data[[#This Row],[Experience]]&gt;=3,"Mid-Level",TRUE(),"Junior")</f>
        <v>Junior</v>
      </c>
    </row>
    <row r="106" spans="1:22" ht="14.25" customHeight="1" x14ac:dyDescent="0.3">
      <c r="A106" t="s">
        <v>339</v>
      </c>
      <c r="B106" t="s">
        <v>130</v>
      </c>
      <c r="C106" t="s">
        <v>24</v>
      </c>
      <c r="D106" t="s">
        <v>33</v>
      </c>
      <c r="E106">
        <v>48</v>
      </c>
      <c r="F106">
        <v>103219</v>
      </c>
      <c r="G106">
        <v>25</v>
      </c>
      <c r="H106" t="s">
        <v>340</v>
      </c>
      <c r="I106" t="s">
        <v>27</v>
      </c>
      <c r="J106" t="s">
        <v>90</v>
      </c>
      <c r="K106" t="s">
        <v>29</v>
      </c>
      <c r="L106" t="str">
        <f t="array" ref="L106">_xlfn.IFS(HR_Data[[#This Row],[Experience]]&lt;2,"0-2 Years",HR_Data[[#This Row],[Experience]]&lt;5,"2-5 Years",HR_Data[[#This Row],[Experience]]&lt;10,"5-10 Years",TRUE(),"10+ Years")</f>
        <v>10+ Years</v>
      </c>
      <c r="M106" t="str">
        <f t="array" ref="M106">_xlfn.IFS(HR_Data[[#This Row],[Salary]]&lt;40000,"Low",HR_Data[[#This Row],[Salary]]&lt;70000,"Medium",HR_Data[[#This Row],[Salary]]&lt;100000,"High",TRUE(),"Very High")</f>
        <v>Very High</v>
      </c>
      <c r="N106" t="str">
        <f t="array" ref="N106">_xlfn.IFS(HR_Data[[#This Row],[Age]]&lt;25,"18-24",HR_Data[[#This Row],[Age]]&lt;35,"25-34",HR_Data[[#This Row],[Age]]&lt;45,"35-44",TRUE(),"45+")</f>
        <v>45+</v>
      </c>
      <c r="O106">
        <f>YEAR(HR_Data[[#This Row],[Joining Date]])</f>
        <v>2017</v>
      </c>
      <c r="P106" t="str">
        <f>TEXT(HR_Data[[#This Row],[Joining Date]],"mmmm")</f>
        <v>September</v>
      </c>
      <c r="Q106">
        <f t="array" ref="Q106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106">
        <f>HR_Data[[#This Row],[Salary]]*HR_Data[[#This Row],[Bonus %]]</f>
        <v>0</v>
      </c>
      <c r="S106">
        <f>HR_Data[[#This Row],[Salary]]+HR_Data[[#This Row],[Bonus Amount]]</f>
        <v>103219</v>
      </c>
      <c r="T106" t="str">
        <f>IF(HR_Data[[#This Row],[Attrition]]="Yes","Inactive","Active")</f>
        <v>Active</v>
      </c>
      <c r="U106" t="str">
        <f t="array" ref="U106">_xlfn.IFS(HR_Data[[#This Row],[Salary]]&gt;=100000,"A",HR_Data[[#This Row],[Salary]]&gt;=70000,"B",HR_Data[[#This Row],[Salary]]&gt;=50000,"C",TRUE(),"D")</f>
        <v>A</v>
      </c>
      <c r="V106" t="str">
        <f t="array" ref="V106">_xlfn.IFS(HR_Data[[#This Row],[Experience]]&gt;=15,"Expert",HR_Data[[#This Row],[Experience]]&gt;=8,"Senior",HR_Data[[#This Row],[Experience]]&gt;=3,"Mid-Level",TRUE(),"Junior")</f>
        <v>Expert</v>
      </c>
    </row>
    <row r="107" spans="1:22" ht="14.25" customHeight="1" x14ac:dyDescent="0.3">
      <c r="A107" t="s">
        <v>341</v>
      </c>
      <c r="B107" t="s">
        <v>342</v>
      </c>
      <c r="C107" t="s">
        <v>60</v>
      </c>
      <c r="D107" t="s">
        <v>33</v>
      </c>
      <c r="E107">
        <v>43</v>
      </c>
      <c r="F107">
        <v>88326</v>
      </c>
      <c r="G107">
        <v>21</v>
      </c>
      <c r="H107" t="s">
        <v>343</v>
      </c>
      <c r="I107" t="s">
        <v>67</v>
      </c>
      <c r="J107" t="s">
        <v>63</v>
      </c>
      <c r="K107" t="s">
        <v>29</v>
      </c>
      <c r="L107" t="str">
        <f t="array" ref="L107">_xlfn.IFS(HR_Data[[#This Row],[Experience]]&lt;2,"0-2 Years",HR_Data[[#This Row],[Experience]]&lt;5,"2-5 Years",HR_Data[[#This Row],[Experience]]&lt;10,"5-10 Years",TRUE(),"10+ Years")</f>
        <v>10+ Years</v>
      </c>
      <c r="M107" t="str">
        <f t="array" ref="M107">_xlfn.IFS(HR_Data[[#This Row],[Salary]]&lt;40000,"Low",HR_Data[[#This Row],[Salary]]&lt;70000,"Medium",HR_Data[[#This Row],[Salary]]&lt;100000,"High",TRUE(),"Very High")</f>
        <v>High</v>
      </c>
      <c r="N107" t="str">
        <f t="array" ref="N107">_xlfn.IFS(HR_Data[[#This Row],[Age]]&lt;25,"18-24",HR_Data[[#This Row],[Age]]&lt;35,"25-34",HR_Data[[#This Row],[Age]]&lt;45,"35-44",TRUE(),"45+")</f>
        <v>35-44</v>
      </c>
      <c r="O107">
        <f>YEAR(HR_Data[[#This Row],[Joining Date]])</f>
        <v>2019</v>
      </c>
      <c r="P107" t="str">
        <f>TEXT(HR_Data[[#This Row],[Joining Date]],"mmmm")</f>
        <v>August</v>
      </c>
      <c r="Q107">
        <f t="array" ref="Q107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107">
        <f>HR_Data[[#This Row],[Salary]]*HR_Data[[#This Row],[Bonus %]]</f>
        <v>17665.2</v>
      </c>
      <c r="S107">
        <f>HR_Data[[#This Row],[Salary]]+HR_Data[[#This Row],[Bonus Amount]]</f>
        <v>105991.2</v>
      </c>
      <c r="T107" t="str">
        <f>IF(HR_Data[[#This Row],[Attrition]]="Yes","Inactive","Active")</f>
        <v>Active</v>
      </c>
      <c r="U107" t="str">
        <f t="array" ref="U107">_xlfn.IFS(HR_Data[[#This Row],[Salary]]&gt;=100000,"A",HR_Data[[#This Row],[Salary]]&gt;=70000,"B",HR_Data[[#This Row],[Salary]]&gt;=50000,"C",TRUE(),"D")</f>
        <v>B</v>
      </c>
      <c r="V107" t="str">
        <f t="array" ref="V107">_xlfn.IFS(HR_Data[[#This Row],[Experience]]&gt;=15,"Expert",HR_Data[[#This Row],[Experience]]&gt;=8,"Senior",HR_Data[[#This Row],[Experience]]&gt;=3,"Mid-Level",TRUE(),"Junior")</f>
        <v>Expert</v>
      </c>
    </row>
    <row r="108" spans="1:22" ht="14.25" customHeight="1" x14ac:dyDescent="0.3">
      <c r="A108" t="s">
        <v>344</v>
      </c>
      <c r="B108" t="s">
        <v>143</v>
      </c>
      <c r="C108" t="s">
        <v>134</v>
      </c>
      <c r="D108" t="s">
        <v>33</v>
      </c>
      <c r="E108">
        <v>37</v>
      </c>
      <c r="F108">
        <v>45892</v>
      </c>
      <c r="G108">
        <v>9</v>
      </c>
      <c r="H108" t="s">
        <v>345</v>
      </c>
      <c r="I108" t="s">
        <v>42</v>
      </c>
      <c r="J108" t="s">
        <v>46</v>
      </c>
      <c r="K108" t="s">
        <v>29</v>
      </c>
      <c r="L108" t="str">
        <f t="array" ref="L108">_xlfn.IFS(HR_Data[[#This Row],[Experience]]&lt;2,"0-2 Years",HR_Data[[#This Row],[Experience]]&lt;5,"2-5 Years",HR_Data[[#This Row],[Experience]]&lt;10,"5-10 Years",TRUE(),"10+ Years")</f>
        <v>5-10 Years</v>
      </c>
      <c r="M108" t="str">
        <f t="array" ref="M108">_xlfn.IFS(HR_Data[[#This Row],[Salary]]&lt;40000,"Low",HR_Data[[#This Row],[Salary]]&lt;70000,"Medium",HR_Data[[#This Row],[Salary]]&lt;100000,"High",TRUE(),"Very High")</f>
        <v>Medium</v>
      </c>
      <c r="N108" t="str">
        <f t="array" ref="N108">_xlfn.IFS(HR_Data[[#This Row],[Age]]&lt;25,"18-24",HR_Data[[#This Row],[Age]]&lt;35,"25-34",HR_Data[[#This Row],[Age]]&lt;45,"35-44",TRUE(),"45+")</f>
        <v>35-44</v>
      </c>
      <c r="O108">
        <f>YEAR(HR_Data[[#This Row],[Joining Date]])</f>
        <v>2021</v>
      </c>
      <c r="P108" t="str">
        <f>TEXT(HR_Data[[#This Row],[Joining Date]],"mmmm")</f>
        <v>March</v>
      </c>
      <c r="Q108">
        <f t="array" ref="Q108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108">
        <f>HR_Data[[#This Row],[Salary]]*HR_Data[[#This Row],[Bonus %]]</f>
        <v>2294.6</v>
      </c>
      <c r="S108">
        <f>HR_Data[[#This Row],[Salary]]+HR_Data[[#This Row],[Bonus Amount]]</f>
        <v>48186.6</v>
      </c>
      <c r="T108" t="str">
        <f>IF(HR_Data[[#This Row],[Attrition]]="Yes","Inactive","Active")</f>
        <v>Active</v>
      </c>
      <c r="U108" t="str">
        <f t="array" ref="U108">_xlfn.IFS(HR_Data[[#This Row],[Salary]]&gt;=100000,"A",HR_Data[[#This Row],[Salary]]&gt;=70000,"B",HR_Data[[#This Row],[Salary]]&gt;=50000,"C",TRUE(),"D")</f>
        <v>D</v>
      </c>
      <c r="V108" t="str">
        <f t="array" ref="V108">_xlfn.IFS(HR_Data[[#This Row],[Experience]]&gt;=15,"Expert",HR_Data[[#This Row],[Experience]]&gt;=8,"Senior",HR_Data[[#This Row],[Experience]]&gt;=3,"Mid-Level",TRUE(),"Junior")</f>
        <v>Senior</v>
      </c>
    </row>
    <row r="109" spans="1:22" ht="14.25" customHeight="1" x14ac:dyDescent="0.3">
      <c r="A109" t="s">
        <v>346</v>
      </c>
      <c r="B109" t="s">
        <v>158</v>
      </c>
      <c r="C109" t="s">
        <v>70</v>
      </c>
      <c r="D109" t="s">
        <v>25</v>
      </c>
      <c r="E109">
        <v>22</v>
      </c>
      <c r="F109">
        <v>25000</v>
      </c>
      <c r="G109">
        <v>1</v>
      </c>
      <c r="H109" t="s">
        <v>347</v>
      </c>
      <c r="I109" t="s">
        <v>27</v>
      </c>
      <c r="J109" t="s">
        <v>46</v>
      </c>
      <c r="K109" t="s">
        <v>29</v>
      </c>
      <c r="L109" t="str">
        <f t="array" ref="L109">_xlfn.IFS(HR_Data[[#This Row],[Experience]]&lt;2,"0-2 Years",HR_Data[[#This Row],[Experience]]&lt;5,"2-5 Years",HR_Data[[#This Row],[Experience]]&lt;10,"5-10 Years",TRUE(),"10+ Years")</f>
        <v>0-2 Years</v>
      </c>
      <c r="M109" t="str">
        <f t="array" ref="M109">_xlfn.IFS(HR_Data[[#This Row],[Salary]]&lt;40000,"Low",HR_Data[[#This Row],[Salary]]&lt;70000,"Medium",HR_Data[[#This Row],[Salary]]&lt;100000,"High",TRUE(),"Very High")</f>
        <v>Low</v>
      </c>
      <c r="N109" t="str">
        <f t="array" ref="N109">_xlfn.IFS(HR_Data[[#This Row],[Age]]&lt;25,"18-24",HR_Data[[#This Row],[Age]]&lt;35,"25-34",HR_Data[[#This Row],[Age]]&lt;45,"35-44",TRUE(),"45+")</f>
        <v>18-24</v>
      </c>
      <c r="O109">
        <f>YEAR(HR_Data[[#This Row],[Joining Date]])</f>
        <v>2023</v>
      </c>
      <c r="P109" t="str">
        <f>TEXT(HR_Data[[#This Row],[Joining Date]],"mmmm")</f>
        <v>January</v>
      </c>
      <c r="Q109">
        <f t="array" ref="Q109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109">
        <f>HR_Data[[#This Row],[Salary]]*HR_Data[[#This Row],[Bonus %]]</f>
        <v>1250</v>
      </c>
      <c r="S109">
        <f>HR_Data[[#This Row],[Salary]]+HR_Data[[#This Row],[Bonus Amount]]</f>
        <v>26250</v>
      </c>
      <c r="T109" t="str">
        <f>IF(HR_Data[[#This Row],[Attrition]]="Yes","Inactive","Active")</f>
        <v>Active</v>
      </c>
      <c r="U109" t="str">
        <f t="array" ref="U109">_xlfn.IFS(HR_Data[[#This Row],[Salary]]&gt;=100000,"A",HR_Data[[#This Row],[Salary]]&gt;=70000,"B",HR_Data[[#This Row],[Salary]]&gt;=50000,"C",TRUE(),"D")</f>
        <v>D</v>
      </c>
      <c r="V109" t="str">
        <f t="array" ref="V109">_xlfn.IFS(HR_Data[[#This Row],[Experience]]&gt;=15,"Expert",HR_Data[[#This Row],[Experience]]&gt;=8,"Senior",HR_Data[[#This Row],[Experience]]&gt;=3,"Mid-Level",TRUE(),"Junior")</f>
        <v>Junior</v>
      </c>
    </row>
    <row r="110" spans="1:22" ht="14.25" customHeight="1" x14ac:dyDescent="0.3">
      <c r="A110" t="s">
        <v>348</v>
      </c>
      <c r="B110" t="s">
        <v>349</v>
      </c>
      <c r="C110" t="s">
        <v>24</v>
      </c>
      <c r="D110" t="s">
        <v>33</v>
      </c>
      <c r="E110">
        <v>38</v>
      </c>
      <c r="F110">
        <v>56394</v>
      </c>
      <c r="G110">
        <v>8</v>
      </c>
      <c r="H110" t="s">
        <v>350</v>
      </c>
      <c r="I110" t="s">
        <v>35</v>
      </c>
      <c r="J110" t="s">
        <v>36</v>
      </c>
      <c r="K110" t="s">
        <v>29</v>
      </c>
      <c r="L110" t="str">
        <f t="array" ref="L110">_xlfn.IFS(HR_Data[[#This Row],[Experience]]&lt;2,"0-2 Years",HR_Data[[#This Row],[Experience]]&lt;5,"2-5 Years",HR_Data[[#This Row],[Experience]]&lt;10,"5-10 Years",TRUE(),"10+ Years")</f>
        <v>5-10 Years</v>
      </c>
      <c r="M110" t="str">
        <f t="array" ref="M110">_xlfn.IFS(HR_Data[[#This Row],[Salary]]&lt;40000,"Low",HR_Data[[#This Row],[Salary]]&lt;70000,"Medium",HR_Data[[#This Row],[Salary]]&lt;100000,"High",TRUE(),"Very High")</f>
        <v>Medium</v>
      </c>
      <c r="N110" t="str">
        <f t="array" ref="N110">_xlfn.IFS(HR_Data[[#This Row],[Age]]&lt;25,"18-24",HR_Data[[#This Row],[Age]]&lt;35,"25-34",HR_Data[[#This Row],[Age]]&lt;45,"35-44",TRUE(),"45+")</f>
        <v>35-44</v>
      </c>
      <c r="O110">
        <f>YEAR(HR_Data[[#This Row],[Joining Date]])</f>
        <v>2017</v>
      </c>
      <c r="P110" t="str">
        <f>TEXT(HR_Data[[#This Row],[Joining Date]],"mmmm")</f>
        <v>July</v>
      </c>
      <c r="Q110">
        <f t="array" ref="Q11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10">
        <f>HR_Data[[#This Row],[Salary]]*HR_Data[[#This Row],[Bonus %]]</f>
        <v>5639.4000000000005</v>
      </c>
      <c r="S110">
        <f>HR_Data[[#This Row],[Salary]]+HR_Data[[#This Row],[Bonus Amount]]</f>
        <v>62033.4</v>
      </c>
      <c r="T110" t="str">
        <f>IF(HR_Data[[#This Row],[Attrition]]="Yes","Inactive","Active")</f>
        <v>Active</v>
      </c>
      <c r="U110" t="str">
        <f t="array" ref="U110">_xlfn.IFS(HR_Data[[#This Row],[Salary]]&gt;=100000,"A",HR_Data[[#This Row],[Salary]]&gt;=70000,"B",HR_Data[[#This Row],[Salary]]&gt;=50000,"C",TRUE(),"D")</f>
        <v>C</v>
      </c>
      <c r="V110" t="str">
        <f t="array" ref="V110">_xlfn.IFS(HR_Data[[#This Row],[Experience]]&gt;=15,"Expert",HR_Data[[#This Row],[Experience]]&gt;=8,"Senior",HR_Data[[#This Row],[Experience]]&gt;=3,"Mid-Level",TRUE(),"Junior")</f>
        <v>Senior</v>
      </c>
    </row>
    <row r="111" spans="1:22" ht="14.25" customHeight="1" x14ac:dyDescent="0.3">
      <c r="A111" t="s">
        <v>351</v>
      </c>
      <c r="B111" t="s">
        <v>352</v>
      </c>
      <c r="C111" t="s">
        <v>32</v>
      </c>
      <c r="D111" t="s">
        <v>25</v>
      </c>
      <c r="E111">
        <v>54</v>
      </c>
      <c r="F111">
        <v>120820</v>
      </c>
      <c r="G111">
        <v>32</v>
      </c>
      <c r="H111" t="s">
        <v>353</v>
      </c>
      <c r="I111" t="s">
        <v>42</v>
      </c>
      <c r="J111" t="s">
        <v>36</v>
      </c>
      <c r="K111" t="s">
        <v>29</v>
      </c>
      <c r="L111" t="str">
        <f t="array" ref="L111">_xlfn.IFS(HR_Data[[#This Row],[Experience]]&lt;2,"0-2 Years",HR_Data[[#This Row],[Experience]]&lt;5,"2-5 Years",HR_Data[[#This Row],[Experience]]&lt;10,"5-10 Years",TRUE(),"10+ Years")</f>
        <v>10+ Years</v>
      </c>
      <c r="M111" t="str">
        <f t="array" ref="M111">_xlfn.IFS(HR_Data[[#This Row],[Salary]]&lt;40000,"Low",HR_Data[[#This Row],[Salary]]&lt;70000,"Medium",HR_Data[[#This Row],[Salary]]&lt;100000,"High",TRUE(),"Very High")</f>
        <v>Very High</v>
      </c>
      <c r="N111" t="str">
        <f t="array" ref="N111">_xlfn.IFS(HR_Data[[#This Row],[Age]]&lt;25,"18-24",HR_Data[[#This Row],[Age]]&lt;35,"25-34",HR_Data[[#This Row],[Age]]&lt;45,"35-44",TRUE(),"45+")</f>
        <v>45+</v>
      </c>
      <c r="O111">
        <f>YEAR(HR_Data[[#This Row],[Joining Date]])</f>
        <v>2021</v>
      </c>
      <c r="P111" t="str">
        <f>TEXT(HR_Data[[#This Row],[Joining Date]],"mmmm")</f>
        <v>October</v>
      </c>
      <c r="Q111">
        <f t="array" ref="Q11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11">
        <f>HR_Data[[#This Row],[Salary]]*HR_Data[[#This Row],[Bonus %]]</f>
        <v>12082</v>
      </c>
      <c r="S111">
        <f>HR_Data[[#This Row],[Salary]]+HR_Data[[#This Row],[Bonus Amount]]</f>
        <v>132902</v>
      </c>
      <c r="T111" t="str">
        <f>IF(HR_Data[[#This Row],[Attrition]]="Yes","Inactive","Active")</f>
        <v>Active</v>
      </c>
      <c r="U111" t="str">
        <f t="array" ref="U111">_xlfn.IFS(HR_Data[[#This Row],[Salary]]&gt;=100000,"A",HR_Data[[#This Row],[Salary]]&gt;=70000,"B",HR_Data[[#This Row],[Salary]]&gt;=50000,"C",TRUE(),"D")</f>
        <v>A</v>
      </c>
      <c r="V111" t="str">
        <f t="array" ref="V111">_xlfn.IFS(HR_Data[[#This Row],[Experience]]&gt;=15,"Expert",HR_Data[[#This Row],[Experience]]&gt;=8,"Senior",HR_Data[[#This Row],[Experience]]&gt;=3,"Mid-Level",TRUE(),"Junior")</f>
        <v>Expert</v>
      </c>
    </row>
    <row r="112" spans="1:22" ht="14.25" customHeight="1" x14ac:dyDescent="0.3">
      <c r="A112" t="s">
        <v>354</v>
      </c>
      <c r="B112" t="s">
        <v>257</v>
      </c>
      <c r="C112" t="s">
        <v>70</v>
      </c>
      <c r="D112" t="s">
        <v>25</v>
      </c>
      <c r="E112">
        <v>60</v>
      </c>
      <c r="F112">
        <v>130734</v>
      </c>
      <c r="G112">
        <v>31</v>
      </c>
      <c r="H112" t="s">
        <v>355</v>
      </c>
      <c r="I112" t="s">
        <v>72</v>
      </c>
      <c r="J112" t="s">
        <v>46</v>
      </c>
      <c r="K112" t="s">
        <v>29</v>
      </c>
      <c r="L112" t="str">
        <f t="array" ref="L112">_xlfn.IFS(HR_Data[[#This Row],[Experience]]&lt;2,"0-2 Years",HR_Data[[#This Row],[Experience]]&lt;5,"2-5 Years",HR_Data[[#This Row],[Experience]]&lt;10,"5-10 Years",TRUE(),"10+ Years")</f>
        <v>10+ Years</v>
      </c>
      <c r="M112" t="str">
        <f t="array" ref="M112">_xlfn.IFS(HR_Data[[#This Row],[Salary]]&lt;40000,"Low",HR_Data[[#This Row],[Salary]]&lt;70000,"Medium",HR_Data[[#This Row],[Salary]]&lt;100000,"High",TRUE(),"Very High")</f>
        <v>Very High</v>
      </c>
      <c r="N112" t="str">
        <f t="array" ref="N112">_xlfn.IFS(HR_Data[[#This Row],[Age]]&lt;25,"18-24",HR_Data[[#This Row],[Age]]&lt;35,"25-34",HR_Data[[#This Row],[Age]]&lt;45,"35-44",TRUE(),"45+")</f>
        <v>45+</v>
      </c>
      <c r="O112">
        <f>YEAR(HR_Data[[#This Row],[Joining Date]])</f>
        <v>2016</v>
      </c>
      <c r="P112" t="str">
        <f>TEXT(HR_Data[[#This Row],[Joining Date]],"mmmm")</f>
        <v>August</v>
      </c>
      <c r="Q112">
        <f t="array" ref="Q112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112">
        <f>HR_Data[[#This Row],[Salary]]*HR_Data[[#This Row],[Bonus %]]</f>
        <v>6536.7000000000007</v>
      </c>
      <c r="S112">
        <f>HR_Data[[#This Row],[Salary]]+HR_Data[[#This Row],[Bonus Amount]]</f>
        <v>137270.70000000001</v>
      </c>
      <c r="T112" t="str">
        <f>IF(HR_Data[[#This Row],[Attrition]]="Yes","Inactive","Active")</f>
        <v>Active</v>
      </c>
      <c r="U112" t="str">
        <f t="array" ref="U112">_xlfn.IFS(HR_Data[[#This Row],[Salary]]&gt;=100000,"A",HR_Data[[#This Row],[Salary]]&gt;=70000,"B",HR_Data[[#This Row],[Salary]]&gt;=50000,"C",TRUE(),"D")</f>
        <v>A</v>
      </c>
      <c r="V112" t="str">
        <f t="array" ref="V112">_xlfn.IFS(HR_Data[[#This Row],[Experience]]&gt;=15,"Expert",HR_Data[[#This Row],[Experience]]&gt;=8,"Senior",HR_Data[[#This Row],[Experience]]&gt;=3,"Mid-Level",TRUE(),"Junior")</f>
        <v>Expert</v>
      </c>
    </row>
    <row r="113" spans="1:22" ht="14.25" customHeight="1" x14ac:dyDescent="0.3">
      <c r="A113" t="s">
        <v>356</v>
      </c>
      <c r="B113" t="s">
        <v>92</v>
      </c>
      <c r="C113" t="s">
        <v>24</v>
      </c>
      <c r="D113" t="s">
        <v>25</v>
      </c>
      <c r="E113">
        <v>60</v>
      </c>
      <c r="F113">
        <v>139655</v>
      </c>
      <c r="G113">
        <v>35</v>
      </c>
      <c r="H113" t="s">
        <v>357</v>
      </c>
      <c r="I113" t="s">
        <v>42</v>
      </c>
      <c r="J113" t="s">
        <v>90</v>
      </c>
      <c r="K113" t="s">
        <v>29</v>
      </c>
      <c r="L113" t="str">
        <f t="array" ref="L113">_xlfn.IFS(HR_Data[[#This Row],[Experience]]&lt;2,"0-2 Years",HR_Data[[#This Row],[Experience]]&lt;5,"2-5 Years",HR_Data[[#This Row],[Experience]]&lt;10,"5-10 Years",TRUE(),"10+ Years")</f>
        <v>10+ Years</v>
      </c>
      <c r="M113" t="str">
        <f t="array" ref="M113">_xlfn.IFS(HR_Data[[#This Row],[Salary]]&lt;40000,"Low",HR_Data[[#This Row],[Salary]]&lt;70000,"Medium",HR_Data[[#This Row],[Salary]]&lt;100000,"High",TRUE(),"Very High")</f>
        <v>Very High</v>
      </c>
      <c r="N113" t="str">
        <f t="array" ref="N113">_xlfn.IFS(HR_Data[[#This Row],[Age]]&lt;25,"18-24",HR_Data[[#This Row],[Age]]&lt;35,"25-34",HR_Data[[#This Row],[Age]]&lt;45,"35-44",TRUE(),"45+")</f>
        <v>45+</v>
      </c>
      <c r="O113">
        <f>YEAR(HR_Data[[#This Row],[Joining Date]])</f>
        <v>2023</v>
      </c>
      <c r="P113" t="str">
        <f>TEXT(HR_Data[[#This Row],[Joining Date]],"mmmm")</f>
        <v>July</v>
      </c>
      <c r="Q113">
        <f t="array" ref="Q113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113">
        <f>HR_Data[[#This Row],[Salary]]*HR_Data[[#This Row],[Bonus %]]</f>
        <v>0</v>
      </c>
      <c r="S113">
        <f>HR_Data[[#This Row],[Salary]]+HR_Data[[#This Row],[Bonus Amount]]</f>
        <v>139655</v>
      </c>
      <c r="T113" t="str">
        <f>IF(HR_Data[[#This Row],[Attrition]]="Yes","Inactive","Active")</f>
        <v>Active</v>
      </c>
      <c r="U113" t="str">
        <f t="array" ref="U113">_xlfn.IFS(HR_Data[[#This Row],[Salary]]&gt;=100000,"A",HR_Data[[#This Row],[Salary]]&gt;=70000,"B",HR_Data[[#This Row],[Salary]]&gt;=50000,"C",TRUE(),"D")</f>
        <v>A</v>
      </c>
      <c r="V113" t="str">
        <f t="array" ref="V113">_xlfn.IFS(HR_Data[[#This Row],[Experience]]&gt;=15,"Expert",HR_Data[[#This Row],[Experience]]&gt;=8,"Senior",HR_Data[[#This Row],[Experience]]&gt;=3,"Mid-Level",TRUE(),"Junior")</f>
        <v>Expert</v>
      </c>
    </row>
    <row r="114" spans="1:22" ht="14.25" customHeight="1" x14ac:dyDescent="0.3">
      <c r="A114" t="s">
        <v>358</v>
      </c>
      <c r="B114" t="s">
        <v>102</v>
      </c>
      <c r="C114" t="s">
        <v>93</v>
      </c>
      <c r="D114" t="s">
        <v>25</v>
      </c>
      <c r="E114">
        <v>36</v>
      </c>
      <c r="F114">
        <v>57466</v>
      </c>
      <c r="G114">
        <v>7</v>
      </c>
      <c r="H114" t="s">
        <v>359</v>
      </c>
      <c r="I114" t="s">
        <v>62</v>
      </c>
      <c r="J114" t="s">
        <v>36</v>
      </c>
      <c r="K114" t="s">
        <v>29</v>
      </c>
      <c r="L114" t="str">
        <f t="array" ref="L114">_xlfn.IFS(HR_Data[[#This Row],[Experience]]&lt;2,"0-2 Years",HR_Data[[#This Row],[Experience]]&lt;5,"2-5 Years",HR_Data[[#This Row],[Experience]]&lt;10,"5-10 Years",TRUE(),"10+ Years")</f>
        <v>5-10 Years</v>
      </c>
      <c r="M114" t="str">
        <f t="array" ref="M114">_xlfn.IFS(HR_Data[[#This Row],[Salary]]&lt;40000,"Low",HR_Data[[#This Row],[Salary]]&lt;70000,"Medium",HR_Data[[#This Row],[Salary]]&lt;100000,"High",TRUE(),"Very High")</f>
        <v>Medium</v>
      </c>
      <c r="N114" t="str">
        <f t="array" ref="N114">_xlfn.IFS(HR_Data[[#This Row],[Age]]&lt;25,"18-24",HR_Data[[#This Row],[Age]]&lt;35,"25-34",HR_Data[[#This Row],[Age]]&lt;45,"35-44",TRUE(),"45+")</f>
        <v>35-44</v>
      </c>
      <c r="O114">
        <f>YEAR(HR_Data[[#This Row],[Joining Date]])</f>
        <v>2019</v>
      </c>
      <c r="P114" t="str">
        <f>TEXT(HR_Data[[#This Row],[Joining Date]],"mmmm")</f>
        <v>October</v>
      </c>
      <c r="Q114">
        <f t="array" ref="Q114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14">
        <f>HR_Data[[#This Row],[Salary]]*HR_Data[[#This Row],[Bonus %]]</f>
        <v>5746.6</v>
      </c>
      <c r="S114">
        <f>HR_Data[[#This Row],[Salary]]+HR_Data[[#This Row],[Bonus Amount]]</f>
        <v>63212.6</v>
      </c>
      <c r="T114" t="str">
        <f>IF(HR_Data[[#This Row],[Attrition]]="Yes","Inactive","Active")</f>
        <v>Active</v>
      </c>
      <c r="U114" t="str">
        <f t="array" ref="U114">_xlfn.IFS(HR_Data[[#This Row],[Salary]]&gt;=100000,"A",HR_Data[[#This Row],[Salary]]&gt;=70000,"B",HR_Data[[#This Row],[Salary]]&gt;=50000,"C",TRUE(),"D")</f>
        <v>C</v>
      </c>
      <c r="V114" t="str">
        <f t="array" ref="V114">_xlfn.IFS(HR_Data[[#This Row],[Experience]]&gt;=15,"Expert",HR_Data[[#This Row],[Experience]]&gt;=8,"Senior",HR_Data[[#This Row],[Experience]]&gt;=3,"Mid-Level",TRUE(),"Junior")</f>
        <v>Mid-Level</v>
      </c>
    </row>
    <row r="115" spans="1:22" ht="14.25" customHeight="1" x14ac:dyDescent="0.3">
      <c r="A115" t="s">
        <v>360</v>
      </c>
      <c r="B115" t="s">
        <v>182</v>
      </c>
      <c r="C115" t="s">
        <v>40</v>
      </c>
      <c r="D115" t="s">
        <v>33</v>
      </c>
      <c r="E115">
        <v>30</v>
      </c>
      <c r="F115">
        <v>50184</v>
      </c>
      <c r="G115">
        <v>6</v>
      </c>
      <c r="H115" t="s">
        <v>361</v>
      </c>
      <c r="I115" t="s">
        <v>42</v>
      </c>
      <c r="J115" t="s">
        <v>36</v>
      </c>
      <c r="K115" t="s">
        <v>29</v>
      </c>
      <c r="L115" t="str">
        <f t="array" ref="L115">_xlfn.IFS(HR_Data[[#This Row],[Experience]]&lt;2,"0-2 Years",HR_Data[[#This Row],[Experience]]&lt;5,"2-5 Years",HR_Data[[#This Row],[Experience]]&lt;10,"5-10 Years",TRUE(),"10+ Years")</f>
        <v>5-10 Years</v>
      </c>
      <c r="M115" t="str">
        <f t="array" ref="M115">_xlfn.IFS(HR_Data[[#This Row],[Salary]]&lt;40000,"Low",HR_Data[[#This Row],[Salary]]&lt;70000,"Medium",HR_Data[[#This Row],[Salary]]&lt;100000,"High",TRUE(),"Very High")</f>
        <v>Medium</v>
      </c>
      <c r="N115" t="str">
        <f t="array" ref="N115">_xlfn.IFS(HR_Data[[#This Row],[Age]]&lt;25,"18-24",HR_Data[[#This Row],[Age]]&lt;35,"25-34",HR_Data[[#This Row],[Age]]&lt;45,"35-44",TRUE(),"45+")</f>
        <v>25-34</v>
      </c>
      <c r="O115">
        <f>YEAR(HR_Data[[#This Row],[Joining Date]])</f>
        <v>2022</v>
      </c>
      <c r="P115" t="str">
        <f>TEXT(HR_Data[[#This Row],[Joining Date]],"mmmm")</f>
        <v>January</v>
      </c>
      <c r="Q115">
        <f t="array" ref="Q11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15">
        <f>HR_Data[[#This Row],[Salary]]*HR_Data[[#This Row],[Bonus %]]</f>
        <v>5018.4000000000005</v>
      </c>
      <c r="S115">
        <f>HR_Data[[#This Row],[Salary]]+HR_Data[[#This Row],[Bonus Amount]]</f>
        <v>55202.400000000001</v>
      </c>
      <c r="T115" t="str">
        <f>IF(HR_Data[[#This Row],[Attrition]]="Yes","Inactive","Active")</f>
        <v>Active</v>
      </c>
      <c r="U115" t="str">
        <f t="array" ref="U115">_xlfn.IFS(HR_Data[[#This Row],[Salary]]&gt;=100000,"A",HR_Data[[#This Row],[Salary]]&gt;=70000,"B",HR_Data[[#This Row],[Salary]]&gt;=50000,"C",TRUE(),"D")</f>
        <v>C</v>
      </c>
      <c r="V115" t="str">
        <f t="array" ref="V115">_xlfn.IFS(HR_Data[[#This Row],[Experience]]&gt;=15,"Expert",HR_Data[[#This Row],[Experience]]&gt;=8,"Senior",HR_Data[[#This Row],[Experience]]&gt;=3,"Mid-Level",TRUE(),"Junior")</f>
        <v>Mid-Level</v>
      </c>
    </row>
    <row r="116" spans="1:22" ht="14.25" customHeight="1" x14ac:dyDescent="0.3">
      <c r="A116" t="s">
        <v>362</v>
      </c>
      <c r="B116" t="s">
        <v>363</v>
      </c>
      <c r="C116" t="s">
        <v>75</v>
      </c>
      <c r="D116" t="s">
        <v>25</v>
      </c>
      <c r="E116">
        <v>30</v>
      </c>
      <c r="F116">
        <v>36164</v>
      </c>
      <c r="G116">
        <v>5</v>
      </c>
      <c r="H116" t="s">
        <v>364</v>
      </c>
      <c r="I116" t="s">
        <v>42</v>
      </c>
      <c r="J116" t="s">
        <v>46</v>
      </c>
      <c r="K116" t="s">
        <v>29</v>
      </c>
      <c r="L116" t="str">
        <f t="array" ref="L116">_xlfn.IFS(HR_Data[[#This Row],[Experience]]&lt;2,"0-2 Years",HR_Data[[#This Row],[Experience]]&lt;5,"2-5 Years",HR_Data[[#This Row],[Experience]]&lt;10,"5-10 Years",TRUE(),"10+ Years")</f>
        <v>5-10 Years</v>
      </c>
      <c r="M116" t="str">
        <f t="array" ref="M116">_xlfn.IFS(HR_Data[[#This Row],[Salary]]&lt;40000,"Low",HR_Data[[#This Row],[Salary]]&lt;70000,"Medium",HR_Data[[#This Row],[Salary]]&lt;100000,"High",TRUE(),"Very High")</f>
        <v>Low</v>
      </c>
      <c r="N116" t="str">
        <f t="array" ref="N116">_xlfn.IFS(HR_Data[[#This Row],[Age]]&lt;25,"18-24",HR_Data[[#This Row],[Age]]&lt;35,"25-34",HR_Data[[#This Row],[Age]]&lt;45,"35-44",TRUE(),"45+")</f>
        <v>25-34</v>
      </c>
      <c r="O116">
        <f>YEAR(HR_Data[[#This Row],[Joining Date]])</f>
        <v>2023</v>
      </c>
      <c r="P116" t="str">
        <f>TEXT(HR_Data[[#This Row],[Joining Date]],"mmmm")</f>
        <v>May</v>
      </c>
      <c r="Q116">
        <f t="array" ref="Q116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116">
        <f>HR_Data[[#This Row],[Salary]]*HR_Data[[#This Row],[Bonus %]]</f>
        <v>1808.2</v>
      </c>
      <c r="S116">
        <f>HR_Data[[#This Row],[Salary]]+HR_Data[[#This Row],[Bonus Amount]]</f>
        <v>37972.199999999997</v>
      </c>
      <c r="T116" t="str">
        <f>IF(HR_Data[[#This Row],[Attrition]]="Yes","Inactive","Active")</f>
        <v>Active</v>
      </c>
      <c r="U116" t="str">
        <f t="array" ref="U116">_xlfn.IFS(HR_Data[[#This Row],[Salary]]&gt;=100000,"A",HR_Data[[#This Row],[Salary]]&gt;=70000,"B",HR_Data[[#This Row],[Salary]]&gt;=50000,"C",TRUE(),"D")</f>
        <v>D</v>
      </c>
      <c r="V116" t="str">
        <f t="array" ref="V116">_xlfn.IFS(HR_Data[[#This Row],[Experience]]&gt;=15,"Expert",HR_Data[[#This Row],[Experience]]&gt;=8,"Senior",HR_Data[[#This Row],[Experience]]&gt;=3,"Mid-Level",TRUE(),"Junior")</f>
        <v>Mid-Level</v>
      </c>
    </row>
    <row r="117" spans="1:22" ht="14.25" customHeight="1" x14ac:dyDescent="0.3">
      <c r="A117" t="s">
        <v>365</v>
      </c>
      <c r="B117" t="s">
        <v>325</v>
      </c>
      <c r="C117" t="s">
        <v>24</v>
      </c>
      <c r="D117" t="s">
        <v>33</v>
      </c>
      <c r="E117">
        <v>50</v>
      </c>
      <c r="F117">
        <v>114058</v>
      </c>
      <c r="G117">
        <v>26</v>
      </c>
      <c r="H117" t="s">
        <v>366</v>
      </c>
      <c r="I117" t="s">
        <v>132</v>
      </c>
      <c r="J117" t="s">
        <v>90</v>
      </c>
      <c r="K117" t="s">
        <v>29</v>
      </c>
      <c r="L117" t="str">
        <f t="array" ref="L117">_xlfn.IFS(HR_Data[[#This Row],[Experience]]&lt;2,"0-2 Years",HR_Data[[#This Row],[Experience]]&lt;5,"2-5 Years",HR_Data[[#This Row],[Experience]]&lt;10,"5-10 Years",TRUE(),"10+ Years")</f>
        <v>10+ Years</v>
      </c>
      <c r="M117" t="str">
        <f t="array" ref="M117">_xlfn.IFS(HR_Data[[#This Row],[Salary]]&lt;40000,"Low",HR_Data[[#This Row],[Salary]]&lt;70000,"Medium",HR_Data[[#This Row],[Salary]]&lt;100000,"High",TRUE(),"Very High")</f>
        <v>Very High</v>
      </c>
      <c r="N117" t="str">
        <f t="array" ref="N117">_xlfn.IFS(HR_Data[[#This Row],[Age]]&lt;25,"18-24",HR_Data[[#This Row],[Age]]&lt;35,"25-34",HR_Data[[#This Row],[Age]]&lt;45,"35-44",TRUE(),"45+")</f>
        <v>45+</v>
      </c>
      <c r="O117">
        <f>YEAR(HR_Data[[#This Row],[Joining Date]])</f>
        <v>2016</v>
      </c>
      <c r="P117" t="str">
        <f>TEXT(HR_Data[[#This Row],[Joining Date]],"mmmm")</f>
        <v>February</v>
      </c>
      <c r="Q117">
        <f t="array" ref="Q117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117">
        <f>HR_Data[[#This Row],[Salary]]*HR_Data[[#This Row],[Bonus %]]</f>
        <v>0</v>
      </c>
      <c r="S117">
        <f>HR_Data[[#This Row],[Salary]]+HR_Data[[#This Row],[Bonus Amount]]</f>
        <v>114058</v>
      </c>
      <c r="T117" t="str">
        <f>IF(HR_Data[[#This Row],[Attrition]]="Yes","Inactive","Active")</f>
        <v>Active</v>
      </c>
      <c r="U117" t="str">
        <f t="array" ref="U117">_xlfn.IFS(HR_Data[[#This Row],[Salary]]&gt;=100000,"A",HR_Data[[#This Row],[Salary]]&gt;=70000,"B",HR_Data[[#This Row],[Salary]]&gt;=50000,"C",TRUE(),"D")</f>
        <v>A</v>
      </c>
      <c r="V117" t="str">
        <f t="array" ref="V117">_xlfn.IFS(HR_Data[[#This Row],[Experience]]&gt;=15,"Expert",HR_Data[[#This Row],[Experience]]&gt;=8,"Senior",HR_Data[[#This Row],[Experience]]&gt;=3,"Mid-Level",TRUE(),"Junior")</f>
        <v>Expert</v>
      </c>
    </row>
    <row r="118" spans="1:22" ht="14.25" customHeight="1" x14ac:dyDescent="0.3">
      <c r="A118" t="s">
        <v>367</v>
      </c>
      <c r="B118" t="s">
        <v>65</v>
      </c>
      <c r="C118" t="s">
        <v>60</v>
      </c>
      <c r="D118" t="s">
        <v>25</v>
      </c>
      <c r="E118">
        <v>52</v>
      </c>
      <c r="F118">
        <v>116546</v>
      </c>
      <c r="G118">
        <v>30</v>
      </c>
      <c r="H118" t="s">
        <v>368</v>
      </c>
      <c r="I118" t="s">
        <v>45</v>
      </c>
      <c r="J118" t="s">
        <v>46</v>
      </c>
      <c r="K118" t="s">
        <v>29</v>
      </c>
      <c r="L118" t="str">
        <f t="array" ref="L118">_xlfn.IFS(HR_Data[[#This Row],[Experience]]&lt;2,"0-2 Years",HR_Data[[#This Row],[Experience]]&lt;5,"2-5 Years",HR_Data[[#This Row],[Experience]]&lt;10,"5-10 Years",TRUE(),"10+ Years")</f>
        <v>10+ Years</v>
      </c>
      <c r="M118" t="str">
        <f t="array" ref="M118">_xlfn.IFS(HR_Data[[#This Row],[Salary]]&lt;40000,"Low",HR_Data[[#This Row],[Salary]]&lt;70000,"Medium",HR_Data[[#This Row],[Salary]]&lt;100000,"High",TRUE(),"Very High")</f>
        <v>Very High</v>
      </c>
      <c r="N118" t="str">
        <f t="array" ref="N118">_xlfn.IFS(HR_Data[[#This Row],[Age]]&lt;25,"18-24",HR_Data[[#This Row],[Age]]&lt;35,"25-34",HR_Data[[#This Row],[Age]]&lt;45,"35-44",TRUE(),"45+")</f>
        <v>45+</v>
      </c>
      <c r="O118">
        <f>YEAR(HR_Data[[#This Row],[Joining Date]])</f>
        <v>2022</v>
      </c>
      <c r="P118" t="str">
        <f>TEXT(HR_Data[[#This Row],[Joining Date]],"mmmm")</f>
        <v>November</v>
      </c>
      <c r="Q118">
        <f t="array" ref="Q118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118">
        <f>HR_Data[[#This Row],[Salary]]*HR_Data[[#This Row],[Bonus %]]</f>
        <v>5827.3</v>
      </c>
      <c r="S118">
        <f>HR_Data[[#This Row],[Salary]]+HR_Data[[#This Row],[Bonus Amount]]</f>
        <v>122373.3</v>
      </c>
      <c r="T118" t="str">
        <f>IF(HR_Data[[#This Row],[Attrition]]="Yes","Inactive","Active")</f>
        <v>Active</v>
      </c>
      <c r="U118" t="str">
        <f t="array" ref="U118">_xlfn.IFS(HR_Data[[#This Row],[Salary]]&gt;=100000,"A",HR_Data[[#This Row],[Salary]]&gt;=70000,"B",HR_Data[[#This Row],[Salary]]&gt;=50000,"C",TRUE(),"D")</f>
        <v>A</v>
      </c>
      <c r="V118" t="str">
        <f t="array" ref="V118">_xlfn.IFS(HR_Data[[#This Row],[Experience]]&gt;=15,"Expert",HR_Data[[#This Row],[Experience]]&gt;=8,"Senior",HR_Data[[#This Row],[Experience]]&gt;=3,"Mid-Level",TRUE(),"Junior")</f>
        <v>Expert</v>
      </c>
    </row>
    <row r="119" spans="1:22" ht="14.25" customHeight="1" x14ac:dyDescent="0.3">
      <c r="A119" t="s">
        <v>369</v>
      </c>
      <c r="B119" t="s">
        <v>370</v>
      </c>
      <c r="C119" t="s">
        <v>55</v>
      </c>
      <c r="D119" t="s">
        <v>33</v>
      </c>
      <c r="E119">
        <v>54</v>
      </c>
      <c r="F119">
        <v>148955</v>
      </c>
      <c r="G119">
        <v>35</v>
      </c>
      <c r="H119" t="s">
        <v>371</v>
      </c>
      <c r="I119" t="s">
        <v>132</v>
      </c>
      <c r="J119" t="s">
        <v>63</v>
      </c>
      <c r="K119" t="s">
        <v>29</v>
      </c>
      <c r="L119" t="str">
        <f t="array" ref="L119">_xlfn.IFS(HR_Data[[#This Row],[Experience]]&lt;2,"0-2 Years",HR_Data[[#This Row],[Experience]]&lt;5,"2-5 Years",HR_Data[[#This Row],[Experience]]&lt;10,"5-10 Years",TRUE(),"10+ Years")</f>
        <v>10+ Years</v>
      </c>
      <c r="M119" t="str">
        <f t="array" ref="M119">_xlfn.IFS(HR_Data[[#This Row],[Salary]]&lt;40000,"Low",HR_Data[[#This Row],[Salary]]&lt;70000,"Medium",HR_Data[[#This Row],[Salary]]&lt;100000,"High",TRUE(),"Very High")</f>
        <v>Very High</v>
      </c>
      <c r="N119" t="str">
        <f t="array" ref="N119">_xlfn.IFS(HR_Data[[#This Row],[Age]]&lt;25,"18-24",HR_Data[[#This Row],[Age]]&lt;35,"25-34",HR_Data[[#This Row],[Age]]&lt;45,"35-44",TRUE(),"45+")</f>
        <v>45+</v>
      </c>
      <c r="O119">
        <f>YEAR(HR_Data[[#This Row],[Joining Date]])</f>
        <v>2020</v>
      </c>
      <c r="P119" t="str">
        <f>TEXT(HR_Data[[#This Row],[Joining Date]],"mmmm")</f>
        <v>December</v>
      </c>
      <c r="Q119">
        <f t="array" ref="Q119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119">
        <f>HR_Data[[#This Row],[Salary]]*HR_Data[[#This Row],[Bonus %]]</f>
        <v>29791</v>
      </c>
      <c r="S119">
        <f>HR_Data[[#This Row],[Salary]]+HR_Data[[#This Row],[Bonus Amount]]</f>
        <v>178746</v>
      </c>
      <c r="T119" t="str">
        <f>IF(HR_Data[[#This Row],[Attrition]]="Yes","Inactive","Active")</f>
        <v>Active</v>
      </c>
      <c r="U119" t="str">
        <f t="array" ref="U119">_xlfn.IFS(HR_Data[[#This Row],[Salary]]&gt;=100000,"A",HR_Data[[#This Row],[Salary]]&gt;=70000,"B",HR_Data[[#This Row],[Salary]]&gt;=50000,"C",TRUE(),"D")</f>
        <v>A</v>
      </c>
      <c r="V119" t="str">
        <f t="array" ref="V119">_xlfn.IFS(HR_Data[[#This Row],[Experience]]&gt;=15,"Expert",HR_Data[[#This Row],[Experience]]&gt;=8,"Senior",HR_Data[[#This Row],[Experience]]&gt;=3,"Mid-Level",TRUE(),"Junior")</f>
        <v>Expert</v>
      </c>
    </row>
    <row r="120" spans="1:22" ht="14.25" customHeight="1" x14ac:dyDescent="0.3">
      <c r="A120" t="s">
        <v>372</v>
      </c>
      <c r="B120" t="s">
        <v>74</v>
      </c>
      <c r="C120" t="s">
        <v>75</v>
      </c>
      <c r="D120" t="s">
        <v>33</v>
      </c>
      <c r="E120">
        <v>37</v>
      </c>
      <c r="F120">
        <v>58932</v>
      </c>
      <c r="G120">
        <v>9</v>
      </c>
      <c r="H120" t="s">
        <v>373</v>
      </c>
      <c r="I120" t="s">
        <v>62</v>
      </c>
      <c r="J120" t="s">
        <v>63</v>
      </c>
      <c r="K120" t="s">
        <v>29</v>
      </c>
      <c r="L120" t="str">
        <f t="array" ref="L120">_xlfn.IFS(HR_Data[[#This Row],[Experience]]&lt;2,"0-2 Years",HR_Data[[#This Row],[Experience]]&lt;5,"2-5 Years",HR_Data[[#This Row],[Experience]]&lt;10,"5-10 Years",TRUE(),"10+ Years")</f>
        <v>5-10 Years</v>
      </c>
      <c r="M120" t="str">
        <f t="array" ref="M120">_xlfn.IFS(HR_Data[[#This Row],[Salary]]&lt;40000,"Low",HR_Data[[#This Row],[Salary]]&lt;70000,"Medium",HR_Data[[#This Row],[Salary]]&lt;100000,"High",TRUE(),"Very High")</f>
        <v>Medium</v>
      </c>
      <c r="N120" t="str">
        <f t="array" ref="N120">_xlfn.IFS(HR_Data[[#This Row],[Age]]&lt;25,"18-24",HR_Data[[#This Row],[Age]]&lt;35,"25-34",HR_Data[[#This Row],[Age]]&lt;45,"35-44",TRUE(),"45+")</f>
        <v>35-44</v>
      </c>
      <c r="O120">
        <f>YEAR(HR_Data[[#This Row],[Joining Date]])</f>
        <v>2016</v>
      </c>
      <c r="P120" t="str">
        <f>TEXT(HR_Data[[#This Row],[Joining Date]],"mmmm")</f>
        <v>July</v>
      </c>
      <c r="Q120">
        <f t="array" ref="Q120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120">
        <f>HR_Data[[#This Row],[Salary]]*HR_Data[[#This Row],[Bonus %]]</f>
        <v>11786.400000000001</v>
      </c>
      <c r="S120">
        <f>HR_Data[[#This Row],[Salary]]+HR_Data[[#This Row],[Bonus Amount]]</f>
        <v>70718.399999999994</v>
      </c>
      <c r="T120" t="str">
        <f>IF(HR_Data[[#This Row],[Attrition]]="Yes","Inactive","Active")</f>
        <v>Active</v>
      </c>
      <c r="U120" t="str">
        <f t="array" ref="U120">_xlfn.IFS(HR_Data[[#This Row],[Salary]]&gt;=100000,"A",HR_Data[[#This Row],[Salary]]&gt;=70000,"B",HR_Data[[#This Row],[Salary]]&gt;=50000,"C",TRUE(),"D")</f>
        <v>C</v>
      </c>
      <c r="V120" t="str">
        <f t="array" ref="V120">_xlfn.IFS(HR_Data[[#This Row],[Experience]]&gt;=15,"Expert",HR_Data[[#This Row],[Experience]]&gt;=8,"Senior",HR_Data[[#This Row],[Experience]]&gt;=3,"Mid-Level",TRUE(),"Junior")</f>
        <v>Senior</v>
      </c>
    </row>
    <row r="121" spans="1:22" ht="14.25" customHeight="1" x14ac:dyDescent="0.3">
      <c r="A121" t="s">
        <v>374</v>
      </c>
      <c r="B121" t="s">
        <v>375</v>
      </c>
      <c r="C121" t="s">
        <v>40</v>
      </c>
      <c r="D121" t="s">
        <v>33</v>
      </c>
      <c r="E121">
        <v>52</v>
      </c>
      <c r="F121">
        <v>111370</v>
      </c>
      <c r="G121">
        <v>26</v>
      </c>
      <c r="H121" t="s">
        <v>376</v>
      </c>
      <c r="I121" t="s">
        <v>132</v>
      </c>
      <c r="J121" t="s">
        <v>28</v>
      </c>
      <c r="K121" t="s">
        <v>29</v>
      </c>
      <c r="L121" t="str">
        <f t="array" ref="L121">_xlfn.IFS(HR_Data[[#This Row],[Experience]]&lt;2,"0-2 Years",HR_Data[[#This Row],[Experience]]&lt;5,"2-5 Years",HR_Data[[#This Row],[Experience]]&lt;10,"5-10 Years",TRUE(),"10+ Years")</f>
        <v>10+ Years</v>
      </c>
      <c r="M121" t="str">
        <f t="array" ref="M121">_xlfn.IFS(HR_Data[[#This Row],[Salary]]&lt;40000,"Low",HR_Data[[#This Row],[Salary]]&lt;70000,"Medium",HR_Data[[#This Row],[Salary]]&lt;100000,"High",TRUE(),"Very High")</f>
        <v>Very High</v>
      </c>
      <c r="N121" t="str">
        <f t="array" ref="N121">_xlfn.IFS(HR_Data[[#This Row],[Age]]&lt;25,"18-24",HR_Data[[#This Row],[Age]]&lt;35,"25-34",HR_Data[[#This Row],[Age]]&lt;45,"35-44",TRUE(),"45+")</f>
        <v>45+</v>
      </c>
      <c r="O121">
        <f>YEAR(HR_Data[[#This Row],[Joining Date]])</f>
        <v>2018</v>
      </c>
      <c r="P121" t="str">
        <f>TEXT(HR_Data[[#This Row],[Joining Date]],"mmmm")</f>
        <v>July</v>
      </c>
      <c r="Q121">
        <f t="array" ref="Q121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121">
        <f>HR_Data[[#This Row],[Salary]]*HR_Data[[#This Row],[Bonus %]]</f>
        <v>16705.5</v>
      </c>
      <c r="S121">
        <f>HR_Data[[#This Row],[Salary]]+HR_Data[[#This Row],[Bonus Amount]]</f>
        <v>128075.5</v>
      </c>
      <c r="T121" t="str">
        <f>IF(HR_Data[[#This Row],[Attrition]]="Yes","Inactive","Active")</f>
        <v>Active</v>
      </c>
      <c r="U121" t="str">
        <f t="array" ref="U121">_xlfn.IFS(HR_Data[[#This Row],[Salary]]&gt;=100000,"A",HR_Data[[#This Row],[Salary]]&gt;=70000,"B",HR_Data[[#This Row],[Salary]]&gt;=50000,"C",TRUE(),"D")</f>
        <v>A</v>
      </c>
      <c r="V121" t="str">
        <f t="array" ref="V121">_xlfn.IFS(HR_Data[[#This Row],[Experience]]&gt;=15,"Expert",HR_Data[[#This Row],[Experience]]&gt;=8,"Senior",HR_Data[[#This Row],[Experience]]&gt;=3,"Mid-Level",TRUE(),"Junior")</f>
        <v>Expert</v>
      </c>
    </row>
    <row r="122" spans="1:22" ht="14.25" customHeight="1" x14ac:dyDescent="0.3">
      <c r="A122" t="s">
        <v>377</v>
      </c>
      <c r="B122" t="s">
        <v>378</v>
      </c>
      <c r="C122" t="s">
        <v>93</v>
      </c>
      <c r="D122" t="s">
        <v>25</v>
      </c>
      <c r="E122">
        <v>38</v>
      </c>
      <c r="F122">
        <v>50630</v>
      </c>
      <c r="G122">
        <v>10</v>
      </c>
      <c r="H122" t="s">
        <v>379</v>
      </c>
      <c r="I122" t="s">
        <v>80</v>
      </c>
      <c r="J122" t="s">
        <v>28</v>
      </c>
      <c r="K122" t="s">
        <v>29</v>
      </c>
      <c r="L122" t="str">
        <f t="array" ref="L122">_xlfn.IFS(HR_Data[[#This Row],[Experience]]&lt;2,"0-2 Years",HR_Data[[#This Row],[Experience]]&lt;5,"2-5 Years",HR_Data[[#This Row],[Experience]]&lt;10,"5-10 Years",TRUE(),"10+ Years")</f>
        <v>10+ Years</v>
      </c>
      <c r="M122" t="str">
        <f t="array" ref="M122">_xlfn.IFS(HR_Data[[#This Row],[Salary]]&lt;40000,"Low",HR_Data[[#This Row],[Salary]]&lt;70000,"Medium",HR_Data[[#This Row],[Salary]]&lt;100000,"High",TRUE(),"Very High")</f>
        <v>Medium</v>
      </c>
      <c r="N122" t="str">
        <f t="array" ref="N122">_xlfn.IFS(HR_Data[[#This Row],[Age]]&lt;25,"18-24",HR_Data[[#This Row],[Age]]&lt;35,"25-34",HR_Data[[#This Row],[Age]]&lt;45,"35-44",TRUE(),"45+")</f>
        <v>35-44</v>
      </c>
      <c r="O122">
        <f>YEAR(HR_Data[[#This Row],[Joining Date]])</f>
        <v>2016</v>
      </c>
      <c r="P122" t="str">
        <f>TEXT(HR_Data[[#This Row],[Joining Date]],"mmmm")</f>
        <v>October</v>
      </c>
      <c r="Q122">
        <f t="array" ref="Q122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122">
        <f>HR_Data[[#This Row],[Salary]]*HR_Data[[#This Row],[Bonus %]]</f>
        <v>7594.5</v>
      </c>
      <c r="S122">
        <f>HR_Data[[#This Row],[Salary]]+HR_Data[[#This Row],[Bonus Amount]]</f>
        <v>58224.5</v>
      </c>
      <c r="T122" t="str">
        <f>IF(HR_Data[[#This Row],[Attrition]]="Yes","Inactive","Active")</f>
        <v>Active</v>
      </c>
      <c r="U122" t="str">
        <f t="array" ref="U122">_xlfn.IFS(HR_Data[[#This Row],[Salary]]&gt;=100000,"A",HR_Data[[#This Row],[Salary]]&gt;=70000,"B",HR_Data[[#This Row],[Salary]]&gt;=50000,"C",TRUE(),"D")</f>
        <v>C</v>
      </c>
      <c r="V122" t="str">
        <f t="array" ref="V122">_xlfn.IFS(HR_Data[[#This Row],[Experience]]&gt;=15,"Expert",HR_Data[[#This Row],[Experience]]&gt;=8,"Senior",HR_Data[[#This Row],[Experience]]&gt;=3,"Mid-Level",TRUE(),"Junior")</f>
        <v>Senior</v>
      </c>
    </row>
    <row r="123" spans="1:22" ht="14.25" customHeight="1" x14ac:dyDescent="0.3">
      <c r="A123" t="s">
        <v>380</v>
      </c>
      <c r="B123" t="s">
        <v>118</v>
      </c>
      <c r="C123" t="s">
        <v>75</v>
      </c>
      <c r="D123" t="s">
        <v>25</v>
      </c>
      <c r="E123">
        <v>40</v>
      </c>
      <c r="F123">
        <v>62329</v>
      </c>
      <c r="G123">
        <v>13</v>
      </c>
      <c r="H123" t="s">
        <v>381</v>
      </c>
      <c r="I123" t="s">
        <v>27</v>
      </c>
      <c r="J123" t="s">
        <v>36</v>
      </c>
      <c r="K123" t="s">
        <v>29</v>
      </c>
      <c r="L123" t="str">
        <f t="array" ref="L123">_xlfn.IFS(HR_Data[[#This Row],[Experience]]&lt;2,"0-2 Years",HR_Data[[#This Row],[Experience]]&lt;5,"2-5 Years",HR_Data[[#This Row],[Experience]]&lt;10,"5-10 Years",TRUE(),"10+ Years")</f>
        <v>10+ Years</v>
      </c>
      <c r="M123" t="str">
        <f t="array" ref="M123">_xlfn.IFS(HR_Data[[#This Row],[Salary]]&lt;40000,"Low",HR_Data[[#This Row],[Salary]]&lt;70000,"Medium",HR_Data[[#This Row],[Salary]]&lt;100000,"High",TRUE(),"Very High")</f>
        <v>Medium</v>
      </c>
      <c r="N123" t="str">
        <f t="array" ref="N123">_xlfn.IFS(HR_Data[[#This Row],[Age]]&lt;25,"18-24",HR_Data[[#This Row],[Age]]&lt;35,"25-34",HR_Data[[#This Row],[Age]]&lt;45,"35-44",TRUE(),"45+")</f>
        <v>35-44</v>
      </c>
      <c r="O123">
        <f>YEAR(HR_Data[[#This Row],[Joining Date]])</f>
        <v>2022</v>
      </c>
      <c r="P123" t="str">
        <f>TEXT(HR_Data[[#This Row],[Joining Date]],"mmmm")</f>
        <v>September</v>
      </c>
      <c r="Q123">
        <f t="array" ref="Q123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23">
        <f>HR_Data[[#This Row],[Salary]]*HR_Data[[#This Row],[Bonus %]]</f>
        <v>6232.9000000000005</v>
      </c>
      <c r="S123">
        <f>HR_Data[[#This Row],[Salary]]+HR_Data[[#This Row],[Bonus Amount]]</f>
        <v>68561.899999999994</v>
      </c>
      <c r="T123" t="str">
        <f>IF(HR_Data[[#This Row],[Attrition]]="Yes","Inactive","Active")</f>
        <v>Active</v>
      </c>
      <c r="U123" t="str">
        <f t="array" ref="U123">_xlfn.IFS(HR_Data[[#This Row],[Salary]]&gt;=100000,"A",HR_Data[[#This Row],[Salary]]&gt;=70000,"B",HR_Data[[#This Row],[Salary]]&gt;=50000,"C",TRUE(),"D")</f>
        <v>C</v>
      </c>
      <c r="V123" t="str">
        <f t="array" ref="V123">_xlfn.IFS(HR_Data[[#This Row],[Experience]]&gt;=15,"Expert",HR_Data[[#This Row],[Experience]]&gt;=8,"Senior",HR_Data[[#This Row],[Experience]]&gt;=3,"Mid-Level",TRUE(),"Junior")</f>
        <v>Senior</v>
      </c>
    </row>
    <row r="124" spans="1:22" ht="14.25" customHeight="1" x14ac:dyDescent="0.3">
      <c r="A124" t="s">
        <v>382</v>
      </c>
      <c r="B124" t="s">
        <v>383</v>
      </c>
      <c r="C124" t="s">
        <v>134</v>
      </c>
      <c r="D124" t="s">
        <v>25</v>
      </c>
      <c r="E124">
        <v>39</v>
      </c>
      <c r="F124">
        <v>81438</v>
      </c>
      <c r="G124">
        <v>14</v>
      </c>
      <c r="H124" t="s">
        <v>384</v>
      </c>
      <c r="I124" t="s">
        <v>67</v>
      </c>
      <c r="J124" t="s">
        <v>63</v>
      </c>
      <c r="K124" t="s">
        <v>29</v>
      </c>
      <c r="L124" t="str">
        <f t="array" ref="L124">_xlfn.IFS(HR_Data[[#This Row],[Experience]]&lt;2,"0-2 Years",HR_Data[[#This Row],[Experience]]&lt;5,"2-5 Years",HR_Data[[#This Row],[Experience]]&lt;10,"5-10 Years",TRUE(),"10+ Years")</f>
        <v>10+ Years</v>
      </c>
      <c r="M124" t="str">
        <f t="array" ref="M124">_xlfn.IFS(HR_Data[[#This Row],[Salary]]&lt;40000,"Low",HR_Data[[#This Row],[Salary]]&lt;70000,"Medium",HR_Data[[#This Row],[Salary]]&lt;100000,"High",TRUE(),"Very High")</f>
        <v>High</v>
      </c>
      <c r="N124" t="str">
        <f t="array" ref="N124">_xlfn.IFS(HR_Data[[#This Row],[Age]]&lt;25,"18-24",HR_Data[[#This Row],[Age]]&lt;35,"25-34",HR_Data[[#This Row],[Age]]&lt;45,"35-44",TRUE(),"45+")</f>
        <v>35-44</v>
      </c>
      <c r="O124">
        <f>YEAR(HR_Data[[#This Row],[Joining Date]])</f>
        <v>2016</v>
      </c>
      <c r="P124" t="str">
        <f>TEXT(HR_Data[[#This Row],[Joining Date]],"mmmm")</f>
        <v>March</v>
      </c>
      <c r="Q124">
        <f t="array" ref="Q124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124">
        <f>HR_Data[[#This Row],[Salary]]*HR_Data[[#This Row],[Bonus %]]</f>
        <v>16287.6</v>
      </c>
      <c r="S124">
        <f>HR_Data[[#This Row],[Salary]]+HR_Data[[#This Row],[Bonus Amount]]</f>
        <v>97725.6</v>
      </c>
      <c r="T124" t="str">
        <f>IF(HR_Data[[#This Row],[Attrition]]="Yes","Inactive","Active")</f>
        <v>Active</v>
      </c>
      <c r="U124" t="str">
        <f t="array" ref="U124">_xlfn.IFS(HR_Data[[#This Row],[Salary]]&gt;=100000,"A",HR_Data[[#This Row],[Salary]]&gt;=70000,"B",HR_Data[[#This Row],[Salary]]&gt;=50000,"C",TRUE(),"D")</f>
        <v>B</v>
      </c>
      <c r="V124" t="str">
        <f t="array" ref="V124">_xlfn.IFS(HR_Data[[#This Row],[Experience]]&gt;=15,"Expert",HR_Data[[#This Row],[Experience]]&gt;=8,"Senior",HR_Data[[#This Row],[Experience]]&gt;=3,"Mid-Level",TRUE(),"Junior")</f>
        <v>Senior</v>
      </c>
    </row>
    <row r="125" spans="1:22" ht="14.25" customHeight="1" x14ac:dyDescent="0.3">
      <c r="A125" t="s">
        <v>385</v>
      </c>
      <c r="B125" t="s">
        <v>332</v>
      </c>
      <c r="C125" t="s">
        <v>75</v>
      </c>
      <c r="D125" t="s">
        <v>25</v>
      </c>
      <c r="E125">
        <v>26</v>
      </c>
      <c r="F125">
        <v>55698</v>
      </c>
      <c r="G125">
        <v>7</v>
      </c>
      <c r="H125" t="s">
        <v>386</v>
      </c>
      <c r="I125" t="s">
        <v>42</v>
      </c>
      <c r="J125" t="s">
        <v>28</v>
      </c>
      <c r="K125" t="s">
        <v>29</v>
      </c>
      <c r="L125" t="str">
        <f t="array" ref="L125">_xlfn.IFS(HR_Data[[#This Row],[Experience]]&lt;2,"0-2 Years",HR_Data[[#This Row],[Experience]]&lt;5,"2-5 Years",HR_Data[[#This Row],[Experience]]&lt;10,"5-10 Years",TRUE(),"10+ Years")</f>
        <v>5-10 Years</v>
      </c>
      <c r="M125" t="str">
        <f t="array" ref="M125">_xlfn.IFS(HR_Data[[#This Row],[Salary]]&lt;40000,"Low",HR_Data[[#This Row],[Salary]]&lt;70000,"Medium",HR_Data[[#This Row],[Salary]]&lt;100000,"High",TRUE(),"Very High")</f>
        <v>Medium</v>
      </c>
      <c r="N125" t="str">
        <f t="array" ref="N125">_xlfn.IFS(HR_Data[[#This Row],[Age]]&lt;25,"18-24",HR_Data[[#This Row],[Age]]&lt;35,"25-34",HR_Data[[#This Row],[Age]]&lt;45,"35-44",TRUE(),"45+")</f>
        <v>25-34</v>
      </c>
      <c r="O125">
        <f>YEAR(HR_Data[[#This Row],[Joining Date]])</f>
        <v>2024</v>
      </c>
      <c r="P125" t="str">
        <f>TEXT(HR_Data[[#This Row],[Joining Date]],"mmmm")</f>
        <v>August</v>
      </c>
      <c r="Q125">
        <f t="array" ref="Q125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125">
        <f>HR_Data[[#This Row],[Salary]]*HR_Data[[#This Row],[Bonus %]]</f>
        <v>8354.6999999999989</v>
      </c>
      <c r="S125">
        <f>HR_Data[[#This Row],[Salary]]+HR_Data[[#This Row],[Bonus Amount]]</f>
        <v>64052.7</v>
      </c>
      <c r="T125" t="str">
        <f>IF(HR_Data[[#This Row],[Attrition]]="Yes","Inactive","Active")</f>
        <v>Active</v>
      </c>
      <c r="U125" t="str">
        <f t="array" ref="U125">_xlfn.IFS(HR_Data[[#This Row],[Salary]]&gt;=100000,"A",HR_Data[[#This Row],[Salary]]&gt;=70000,"B",HR_Data[[#This Row],[Salary]]&gt;=50000,"C",TRUE(),"D")</f>
        <v>C</v>
      </c>
      <c r="V125" t="str">
        <f t="array" ref="V125">_xlfn.IFS(HR_Data[[#This Row],[Experience]]&gt;=15,"Expert",HR_Data[[#This Row],[Experience]]&gt;=8,"Senior",HR_Data[[#This Row],[Experience]]&gt;=3,"Mid-Level",TRUE(),"Junior")</f>
        <v>Mid-Level</v>
      </c>
    </row>
    <row r="126" spans="1:22" ht="14.25" customHeight="1" x14ac:dyDescent="0.3">
      <c r="A126" t="s">
        <v>387</v>
      </c>
      <c r="B126" t="s">
        <v>294</v>
      </c>
      <c r="C126" t="s">
        <v>32</v>
      </c>
      <c r="D126" t="s">
        <v>25</v>
      </c>
      <c r="E126">
        <v>55</v>
      </c>
      <c r="F126">
        <v>98386</v>
      </c>
      <c r="G126">
        <v>25</v>
      </c>
      <c r="H126" t="s">
        <v>388</v>
      </c>
      <c r="I126" t="s">
        <v>62</v>
      </c>
      <c r="J126" t="s">
        <v>63</v>
      </c>
      <c r="K126" t="s">
        <v>29</v>
      </c>
      <c r="L126" t="str">
        <f t="array" ref="L126">_xlfn.IFS(HR_Data[[#This Row],[Experience]]&lt;2,"0-2 Years",HR_Data[[#This Row],[Experience]]&lt;5,"2-5 Years",HR_Data[[#This Row],[Experience]]&lt;10,"5-10 Years",TRUE(),"10+ Years")</f>
        <v>10+ Years</v>
      </c>
      <c r="M126" t="str">
        <f t="array" ref="M126">_xlfn.IFS(HR_Data[[#This Row],[Salary]]&lt;40000,"Low",HR_Data[[#This Row],[Salary]]&lt;70000,"Medium",HR_Data[[#This Row],[Salary]]&lt;100000,"High",TRUE(),"Very High")</f>
        <v>High</v>
      </c>
      <c r="N126" t="str">
        <f t="array" ref="N126">_xlfn.IFS(HR_Data[[#This Row],[Age]]&lt;25,"18-24",HR_Data[[#This Row],[Age]]&lt;35,"25-34",HR_Data[[#This Row],[Age]]&lt;45,"35-44",TRUE(),"45+")</f>
        <v>45+</v>
      </c>
      <c r="O126">
        <f>YEAR(HR_Data[[#This Row],[Joining Date]])</f>
        <v>2024</v>
      </c>
      <c r="P126" t="str">
        <f>TEXT(HR_Data[[#This Row],[Joining Date]],"mmmm")</f>
        <v>October</v>
      </c>
      <c r="Q126">
        <f t="array" ref="Q126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126">
        <f>HR_Data[[#This Row],[Salary]]*HR_Data[[#This Row],[Bonus %]]</f>
        <v>19677.2</v>
      </c>
      <c r="S126">
        <f>HR_Data[[#This Row],[Salary]]+HR_Data[[#This Row],[Bonus Amount]]</f>
        <v>118063.2</v>
      </c>
      <c r="T126" t="str">
        <f>IF(HR_Data[[#This Row],[Attrition]]="Yes","Inactive","Active")</f>
        <v>Active</v>
      </c>
      <c r="U126" t="str">
        <f t="array" ref="U126">_xlfn.IFS(HR_Data[[#This Row],[Salary]]&gt;=100000,"A",HR_Data[[#This Row],[Salary]]&gt;=70000,"B",HR_Data[[#This Row],[Salary]]&gt;=50000,"C",TRUE(),"D")</f>
        <v>B</v>
      </c>
      <c r="V126" t="str">
        <f t="array" ref="V126">_xlfn.IFS(HR_Data[[#This Row],[Experience]]&gt;=15,"Expert",HR_Data[[#This Row],[Experience]]&gt;=8,"Senior",HR_Data[[#This Row],[Experience]]&gt;=3,"Mid-Level",TRUE(),"Junior")</f>
        <v>Expert</v>
      </c>
    </row>
    <row r="127" spans="1:22" ht="14.25" customHeight="1" x14ac:dyDescent="0.3">
      <c r="A127" t="s">
        <v>389</v>
      </c>
      <c r="B127" t="s">
        <v>390</v>
      </c>
      <c r="C127" t="s">
        <v>55</v>
      </c>
      <c r="D127" t="s">
        <v>33</v>
      </c>
      <c r="E127">
        <v>38</v>
      </c>
      <c r="F127">
        <v>87872</v>
      </c>
      <c r="G127">
        <v>18</v>
      </c>
      <c r="H127" t="s">
        <v>391</v>
      </c>
      <c r="I127" t="s">
        <v>62</v>
      </c>
      <c r="J127" t="s">
        <v>90</v>
      </c>
      <c r="K127" t="s">
        <v>29</v>
      </c>
      <c r="L127" t="str">
        <f t="array" ref="L127">_xlfn.IFS(HR_Data[[#This Row],[Experience]]&lt;2,"0-2 Years",HR_Data[[#This Row],[Experience]]&lt;5,"2-5 Years",HR_Data[[#This Row],[Experience]]&lt;10,"5-10 Years",TRUE(),"10+ Years")</f>
        <v>10+ Years</v>
      </c>
      <c r="M127" t="str">
        <f t="array" ref="M127">_xlfn.IFS(HR_Data[[#This Row],[Salary]]&lt;40000,"Low",HR_Data[[#This Row],[Salary]]&lt;70000,"Medium",HR_Data[[#This Row],[Salary]]&lt;100000,"High",TRUE(),"Very High")</f>
        <v>High</v>
      </c>
      <c r="N127" t="str">
        <f t="array" ref="N127">_xlfn.IFS(HR_Data[[#This Row],[Age]]&lt;25,"18-24",HR_Data[[#This Row],[Age]]&lt;35,"25-34",HR_Data[[#This Row],[Age]]&lt;45,"35-44",TRUE(),"45+")</f>
        <v>35-44</v>
      </c>
      <c r="O127">
        <f>YEAR(HR_Data[[#This Row],[Joining Date]])</f>
        <v>2015</v>
      </c>
      <c r="P127" t="str">
        <f>TEXT(HR_Data[[#This Row],[Joining Date]],"mmmm")</f>
        <v>June</v>
      </c>
      <c r="Q127">
        <f t="array" ref="Q127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127">
        <f>HR_Data[[#This Row],[Salary]]*HR_Data[[#This Row],[Bonus %]]</f>
        <v>0</v>
      </c>
      <c r="S127">
        <f>HR_Data[[#This Row],[Salary]]+HR_Data[[#This Row],[Bonus Amount]]</f>
        <v>87872</v>
      </c>
      <c r="T127" t="str">
        <f>IF(HR_Data[[#This Row],[Attrition]]="Yes","Inactive","Active")</f>
        <v>Active</v>
      </c>
      <c r="U127" t="str">
        <f t="array" ref="U127">_xlfn.IFS(HR_Data[[#This Row],[Salary]]&gt;=100000,"A",HR_Data[[#This Row],[Salary]]&gt;=70000,"B",HR_Data[[#This Row],[Salary]]&gt;=50000,"C",TRUE(),"D")</f>
        <v>B</v>
      </c>
      <c r="V127" t="str">
        <f t="array" ref="V127">_xlfn.IFS(HR_Data[[#This Row],[Experience]]&gt;=15,"Expert",HR_Data[[#This Row],[Experience]]&gt;=8,"Senior",HR_Data[[#This Row],[Experience]]&gt;=3,"Mid-Level",TRUE(),"Junior")</f>
        <v>Expert</v>
      </c>
    </row>
    <row r="128" spans="1:22" ht="14.25" customHeight="1" x14ac:dyDescent="0.3">
      <c r="A128" t="s">
        <v>392</v>
      </c>
      <c r="B128" t="s">
        <v>370</v>
      </c>
      <c r="C128" t="s">
        <v>60</v>
      </c>
      <c r="D128" t="s">
        <v>25</v>
      </c>
      <c r="E128">
        <v>28</v>
      </c>
      <c r="F128">
        <v>50476</v>
      </c>
      <c r="G128">
        <v>6</v>
      </c>
      <c r="H128" t="s">
        <v>393</v>
      </c>
      <c r="I128" t="s">
        <v>132</v>
      </c>
      <c r="J128" t="s">
        <v>36</v>
      </c>
      <c r="K128" t="s">
        <v>29</v>
      </c>
      <c r="L128" t="str">
        <f t="array" ref="L128">_xlfn.IFS(HR_Data[[#This Row],[Experience]]&lt;2,"0-2 Years",HR_Data[[#This Row],[Experience]]&lt;5,"2-5 Years",HR_Data[[#This Row],[Experience]]&lt;10,"5-10 Years",TRUE(),"10+ Years")</f>
        <v>5-10 Years</v>
      </c>
      <c r="M128" t="str">
        <f t="array" ref="M128">_xlfn.IFS(HR_Data[[#This Row],[Salary]]&lt;40000,"Low",HR_Data[[#This Row],[Salary]]&lt;70000,"Medium",HR_Data[[#This Row],[Salary]]&lt;100000,"High",TRUE(),"Very High")</f>
        <v>Medium</v>
      </c>
      <c r="N128" t="str">
        <f t="array" ref="N128">_xlfn.IFS(HR_Data[[#This Row],[Age]]&lt;25,"18-24",HR_Data[[#This Row],[Age]]&lt;35,"25-34",HR_Data[[#This Row],[Age]]&lt;45,"35-44",TRUE(),"45+")</f>
        <v>25-34</v>
      </c>
      <c r="O128">
        <f>YEAR(HR_Data[[#This Row],[Joining Date]])</f>
        <v>2023</v>
      </c>
      <c r="P128" t="str">
        <f>TEXT(HR_Data[[#This Row],[Joining Date]],"mmmm")</f>
        <v>December</v>
      </c>
      <c r="Q128">
        <f t="array" ref="Q12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28">
        <f>HR_Data[[#This Row],[Salary]]*HR_Data[[#This Row],[Bonus %]]</f>
        <v>5047.6000000000004</v>
      </c>
      <c r="S128">
        <f>HR_Data[[#This Row],[Salary]]+HR_Data[[#This Row],[Bonus Amount]]</f>
        <v>55523.6</v>
      </c>
      <c r="T128" t="str">
        <f>IF(HR_Data[[#This Row],[Attrition]]="Yes","Inactive","Active")</f>
        <v>Active</v>
      </c>
      <c r="U128" t="str">
        <f t="array" ref="U128">_xlfn.IFS(HR_Data[[#This Row],[Salary]]&gt;=100000,"A",HR_Data[[#This Row],[Salary]]&gt;=70000,"B",HR_Data[[#This Row],[Salary]]&gt;=50000,"C",TRUE(),"D")</f>
        <v>C</v>
      </c>
      <c r="V128" t="str">
        <f t="array" ref="V128">_xlfn.IFS(HR_Data[[#This Row],[Experience]]&gt;=15,"Expert",HR_Data[[#This Row],[Experience]]&gt;=8,"Senior",HR_Data[[#This Row],[Experience]]&gt;=3,"Mid-Level",TRUE(),"Junior")</f>
        <v>Mid-Level</v>
      </c>
    </row>
    <row r="129" spans="1:22" ht="14.25" customHeight="1" x14ac:dyDescent="0.3">
      <c r="A129" t="s">
        <v>394</v>
      </c>
      <c r="B129" t="s">
        <v>395</v>
      </c>
      <c r="C129" t="s">
        <v>60</v>
      </c>
      <c r="D129" t="s">
        <v>33</v>
      </c>
      <c r="E129">
        <v>31</v>
      </c>
      <c r="F129">
        <v>33536</v>
      </c>
      <c r="G129">
        <v>4</v>
      </c>
      <c r="H129" t="s">
        <v>396</v>
      </c>
      <c r="I129" t="s">
        <v>132</v>
      </c>
      <c r="J129" t="s">
        <v>28</v>
      </c>
      <c r="K129" t="s">
        <v>29</v>
      </c>
      <c r="L129" t="str">
        <f t="array" ref="L129">_xlfn.IFS(HR_Data[[#This Row],[Experience]]&lt;2,"0-2 Years",HR_Data[[#This Row],[Experience]]&lt;5,"2-5 Years",HR_Data[[#This Row],[Experience]]&lt;10,"5-10 Years",TRUE(),"10+ Years")</f>
        <v>2-5 Years</v>
      </c>
      <c r="M129" t="str">
        <f t="array" ref="M129">_xlfn.IFS(HR_Data[[#This Row],[Salary]]&lt;40000,"Low",HR_Data[[#This Row],[Salary]]&lt;70000,"Medium",HR_Data[[#This Row],[Salary]]&lt;100000,"High",TRUE(),"Very High")</f>
        <v>Low</v>
      </c>
      <c r="N129" t="str">
        <f t="array" ref="N129">_xlfn.IFS(HR_Data[[#This Row],[Age]]&lt;25,"18-24",HR_Data[[#This Row],[Age]]&lt;35,"25-34",HR_Data[[#This Row],[Age]]&lt;45,"35-44",TRUE(),"45+")</f>
        <v>25-34</v>
      </c>
      <c r="O129">
        <f>YEAR(HR_Data[[#This Row],[Joining Date]])</f>
        <v>2026</v>
      </c>
      <c r="P129" t="str">
        <f>TEXT(HR_Data[[#This Row],[Joining Date]],"mmmm")</f>
        <v>June</v>
      </c>
      <c r="Q129">
        <f t="array" ref="Q12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129">
        <f>HR_Data[[#This Row],[Salary]]*HR_Data[[#This Row],[Bonus %]]</f>
        <v>5030.3999999999996</v>
      </c>
      <c r="S129">
        <f>HR_Data[[#This Row],[Salary]]+HR_Data[[#This Row],[Bonus Amount]]</f>
        <v>38566.400000000001</v>
      </c>
      <c r="T129" t="str">
        <f>IF(HR_Data[[#This Row],[Attrition]]="Yes","Inactive","Active")</f>
        <v>Active</v>
      </c>
      <c r="U129" t="str">
        <f t="array" ref="U129">_xlfn.IFS(HR_Data[[#This Row],[Salary]]&gt;=100000,"A",HR_Data[[#This Row],[Salary]]&gt;=70000,"B",HR_Data[[#This Row],[Salary]]&gt;=50000,"C",TRUE(),"D")</f>
        <v>D</v>
      </c>
      <c r="V129" t="str">
        <f t="array" ref="V129">_xlfn.IFS(HR_Data[[#This Row],[Experience]]&gt;=15,"Expert",HR_Data[[#This Row],[Experience]]&gt;=8,"Senior",HR_Data[[#This Row],[Experience]]&gt;=3,"Mid-Level",TRUE(),"Junior")</f>
        <v>Mid-Level</v>
      </c>
    </row>
    <row r="130" spans="1:22" ht="14.25" customHeight="1" x14ac:dyDescent="0.3">
      <c r="A130" t="s">
        <v>397</v>
      </c>
      <c r="B130" t="s">
        <v>398</v>
      </c>
      <c r="C130" t="s">
        <v>93</v>
      </c>
      <c r="D130" t="s">
        <v>25</v>
      </c>
      <c r="E130">
        <v>38</v>
      </c>
      <c r="F130">
        <v>73885</v>
      </c>
      <c r="G130">
        <v>16</v>
      </c>
      <c r="H130" t="s">
        <v>83</v>
      </c>
      <c r="I130" t="s">
        <v>72</v>
      </c>
      <c r="J130" t="s">
        <v>46</v>
      </c>
      <c r="K130" t="s">
        <v>29</v>
      </c>
      <c r="L130" t="str">
        <f t="array" ref="L130">_xlfn.IFS(HR_Data[[#This Row],[Experience]]&lt;2,"0-2 Years",HR_Data[[#This Row],[Experience]]&lt;5,"2-5 Years",HR_Data[[#This Row],[Experience]]&lt;10,"5-10 Years",TRUE(),"10+ Years")</f>
        <v>10+ Years</v>
      </c>
      <c r="M130" t="str">
        <f t="array" ref="M130">_xlfn.IFS(HR_Data[[#This Row],[Salary]]&lt;40000,"Low",HR_Data[[#This Row],[Salary]]&lt;70000,"Medium",HR_Data[[#This Row],[Salary]]&lt;100000,"High",TRUE(),"Very High")</f>
        <v>High</v>
      </c>
      <c r="N130" t="str">
        <f t="array" ref="N130">_xlfn.IFS(HR_Data[[#This Row],[Age]]&lt;25,"18-24",HR_Data[[#This Row],[Age]]&lt;35,"25-34",HR_Data[[#This Row],[Age]]&lt;45,"35-44",TRUE(),"45+")</f>
        <v>35-44</v>
      </c>
      <c r="O130">
        <f>YEAR(HR_Data[[#This Row],[Joining Date]])</f>
        <v>2018</v>
      </c>
      <c r="P130" t="str">
        <f>TEXT(HR_Data[[#This Row],[Joining Date]],"mmmm")</f>
        <v>June</v>
      </c>
      <c r="Q130">
        <f t="array" ref="Q130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130">
        <f>HR_Data[[#This Row],[Salary]]*HR_Data[[#This Row],[Bonus %]]</f>
        <v>3694.25</v>
      </c>
      <c r="S130">
        <f>HR_Data[[#This Row],[Salary]]+HR_Data[[#This Row],[Bonus Amount]]</f>
        <v>77579.25</v>
      </c>
      <c r="T130" t="str">
        <f>IF(HR_Data[[#This Row],[Attrition]]="Yes","Inactive","Active")</f>
        <v>Active</v>
      </c>
      <c r="U130" t="str">
        <f t="array" ref="U130">_xlfn.IFS(HR_Data[[#This Row],[Salary]]&gt;=100000,"A",HR_Data[[#This Row],[Salary]]&gt;=70000,"B",HR_Data[[#This Row],[Salary]]&gt;=50000,"C",TRUE(),"D")</f>
        <v>B</v>
      </c>
      <c r="V130" t="str">
        <f t="array" ref="V130">_xlfn.IFS(HR_Data[[#This Row],[Experience]]&gt;=15,"Expert",HR_Data[[#This Row],[Experience]]&gt;=8,"Senior",HR_Data[[#This Row],[Experience]]&gt;=3,"Mid-Level",TRUE(),"Junior")</f>
        <v>Expert</v>
      </c>
    </row>
    <row r="131" spans="1:22" ht="14.25" customHeight="1" x14ac:dyDescent="0.3">
      <c r="A131" t="s">
        <v>399</v>
      </c>
      <c r="B131" t="s">
        <v>234</v>
      </c>
      <c r="C131" t="s">
        <v>24</v>
      </c>
      <c r="D131" t="s">
        <v>33</v>
      </c>
      <c r="E131">
        <v>49</v>
      </c>
      <c r="F131">
        <v>91359</v>
      </c>
      <c r="G131">
        <v>20</v>
      </c>
      <c r="H131" t="s">
        <v>400</v>
      </c>
      <c r="I131" t="s">
        <v>67</v>
      </c>
      <c r="J131" t="s">
        <v>36</v>
      </c>
      <c r="K131" t="s">
        <v>29</v>
      </c>
      <c r="L131" t="str">
        <f t="array" ref="L131">_xlfn.IFS(HR_Data[[#This Row],[Experience]]&lt;2,"0-2 Years",HR_Data[[#This Row],[Experience]]&lt;5,"2-5 Years",HR_Data[[#This Row],[Experience]]&lt;10,"5-10 Years",TRUE(),"10+ Years")</f>
        <v>10+ Years</v>
      </c>
      <c r="M131" t="str">
        <f t="array" ref="M131">_xlfn.IFS(HR_Data[[#This Row],[Salary]]&lt;40000,"Low",HR_Data[[#This Row],[Salary]]&lt;70000,"Medium",HR_Data[[#This Row],[Salary]]&lt;100000,"High",TRUE(),"Very High")</f>
        <v>High</v>
      </c>
      <c r="N131" t="str">
        <f t="array" ref="N131">_xlfn.IFS(HR_Data[[#This Row],[Age]]&lt;25,"18-24",HR_Data[[#This Row],[Age]]&lt;35,"25-34",HR_Data[[#This Row],[Age]]&lt;45,"35-44",TRUE(),"45+")</f>
        <v>45+</v>
      </c>
      <c r="O131">
        <f>YEAR(HR_Data[[#This Row],[Joining Date]])</f>
        <v>2018</v>
      </c>
      <c r="P131" t="str">
        <f>TEXT(HR_Data[[#This Row],[Joining Date]],"mmmm")</f>
        <v>May</v>
      </c>
      <c r="Q131">
        <f t="array" ref="Q13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31">
        <f>HR_Data[[#This Row],[Salary]]*HR_Data[[#This Row],[Bonus %]]</f>
        <v>9135.9</v>
      </c>
      <c r="S131">
        <f>HR_Data[[#This Row],[Salary]]+HR_Data[[#This Row],[Bonus Amount]]</f>
        <v>100494.9</v>
      </c>
      <c r="T131" t="str">
        <f>IF(HR_Data[[#This Row],[Attrition]]="Yes","Inactive","Active")</f>
        <v>Active</v>
      </c>
      <c r="U131" t="str">
        <f t="array" ref="U131">_xlfn.IFS(HR_Data[[#This Row],[Salary]]&gt;=100000,"A",HR_Data[[#This Row],[Salary]]&gt;=70000,"B",HR_Data[[#This Row],[Salary]]&gt;=50000,"C",TRUE(),"D")</f>
        <v>B</v>
      </c>
      <c r="V131" t="str">
        <f t="array" ref="V131">_xlfn.IFS(HR_Data[[#This Row],[Experience]]&gt;=15,"Expert",HR_Data[[#This Row],[Experience]]&gt;=8,"Senior",HR_Data[[#This Row],[Experience]]&gt;=3,"Mid-Level",TRUE(),"Junior")</f>
        <v>Expert</v>
      </c>
    </row>
    <row r="132" spans="1:22" ht="14.25" customHeight="1" x14ac:dyDescent="0.3">
      <c r="A132" t="s">
        <v>401</v>
      </c>
      <c r="B132" t="s">
        <v>213</v>
      </c>
      <c r="C132" t="s">
        <v>40</v>
      </c>
      <c r="D132" t="s">
        <v>25</v>
      </c>
      <c r="E132">
        <v>52</v>
      </c>
      <c r="F132">
        <v>129571</v>
      </c>
      <c r="G132">
        <v>32</v>
      </c>
      <c r="H132" t="s">
        <v>402</v>
      </c>
      <c r="I132" t="s">
        <v>35</v>
      </c>
      <c r="J132" t="s">
        <v>36</v>
      </c>
      <c r="K132" t="s">
        <v>37</v>
      </c>
      <c r="L132" t="str">
        <f t="array" ref="L132">_xlfn.IFS(HR_Data[[#This Row],[Experience]]&lt;2,"0-2 Years",HR_Data[[#This Row],[Experience]]&lt;5,"2-5 Years",HR_Data[[#This Row],[Experience]]&lt;10,"5-10 Years",TRUE(),"10+ Years")</f>
        <v>10+ Years</v>
      </c>
      <c r="M132" t="str">
        <f t="array" ref="M132">_xlfn.IFS(HR_Data[[#This Row],[Salary]]&lt;40000,"Low",HR_Data[[#This Row],[Salary]]&lt;70000,"Medium",HR_Data[[#This Row],[Salary]]&lt;100000,"High",TRUE(),"Very High")</f>
        <v>Very High</v>
      </c>
      <c r="N132" t="str">
        <f t="array" ref="N132">_xlfn.IFS(HR_Data[[#This Row],[Age]]&lt;25,"18-24",HR_Data[[#This Row],[Age]]&lt;35,"25-34",HR_Data[[#This Row],[Age]]&lt;45,"35-44",TRUE(),"45+")</f>
        <v>45+</v>
      </c>
      <c r="O132">
        <f>YEAR(HR_Data[[#This Row],[Joining Date]])</f>
        <v>2025</v>
      </c>
      <c r="P132" t="str">
        <f>TEXT(HR_Data[[#This Row],[Joining Date]],"mmmm")</f>
        <v>May</v>
      </c>
      <c r="Q132">
        <f t="array" ref="Q13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32">
        <f>HR_Data[[#This Row],[Salary]]*HR_Data[[#This Row],[Bonus %]]</f>
        <v>12957.1</v>
      </c>
      <c r="S132">
        <f>HR_Data[[#This Row],[Salary]]+HR_Data[[#This Row],[Bonus Amount]]</f>
        <v>142528.1</v>
      </c>
      <c r="T132" t="str">
        <f>IF(HR_Data[[#This Row],[Attrition]]="Yes","Inactive","Active")</f>
        <v>Inactive</v>
      </c>
      <c r="U132" t="str">
        <f t="array" ref="U132">_xlfn.IFS(HR_Data[[#This Row],[Salary]]&gt;=100000,"A",HR_Data[[#This Row],[Salary]]&gt;=70000,"B",HR_Data[[#This Row],[Salary]]&gt;=50000,"C",TRUE(),"D")</f>
        <v>A</v>
      </c>
      <c r="V132" t="str">
        <f t="array" ref="V132">_xlfn.IFS(HR_Data[[#This Row],[Experience]]&gt;=15,"Expert",HR_Data[[#This Row],[Experience]]&gt;=8,"Senior",HR_Data[[#This Row],[Experience]]&gt;=3,"Mid-Level",TRUE(),"Junior")</f>
        <v>Expert</v>
      </c>
    </row>
    <row r="133" spans="1:22" ht="14.25" customHeight="1" x14ac:dyDescent="0.3">
      <c r="A133" t="s">
        <v>403</v>
      </c>
      <c r="B133" t="s">
        <v>226</v>
      </c>
      <c r="C133" t="s">
        <v>24</v>
      </c>
      <c r="D133" t="s">
        <v>25</v>
      </c>
      <c r="E133">
        <v>60</v>
      </c>
      <c r="F133">
        <v>130344</v>
      </c>
      <c r="G133">
        <v>35</v>
      </c>
      <c r="H133" t="s">
        <v>404</v>
      </c>
      <c r="I133" t="s">
        <v>45</v>
      </c>
      <c r="J133" t="s">
        <v>46</v>
      </c>
      <c r="K133" t="s">
        <v>29</v>
      </c>
      <c r="L133" t="str">
        <f t="array" ref="L133">_xlfn.IFS(HR_Data[[#This Row],[Experience]]&lt;2,"0-2 Years",HR_Data[[#This Row],[Experience]]&lt;5,"2-5 Years",HR_Data[[#This Row],[Experience]]&lt;10,"5-10 Years",TRUE(),"10+ Years")</f>
        <v>10+ Years</v>
      </c>
      <c r="M133" t="str">
        <f t="array" ref="M133">_xlfn.IFS(HR_Data[[#This Row],[Salary]]&lt;40000,"Low",HR_Data[[#This Row],[Salary]]&lt;70000,"Medium",HR_Data[[#This Row],[Salary]]&lt;100000,"High",TRUE(),"Very High")</f>
        <v>Very High</v>
      </c>
      <c r="N133" t="str">
        <f t="array" ref="N133">_xlfn.IFS(HR_Data[[#This Row],[Age]]&lt;25,"18-24",HR_Data[[#This Row],[Age]]&lt;35,"25-34",HR_Data[[#This Row],[Age]]&lt;45,"35-44",TRUE(),"45+")</f>
        <v>45+</v>
      </c>
      <c r="O133">
        <f>YEAR(HR_Data[[#This Row],[Joining Date]])</f>
        <v>2025</v>
      </c>
      <c r="P133" t="str">
        <f>TEXT(HR_Data[[#This Row],[Joining Date]],"mmmm")</f>
        <v>February</v>
      </c>
      <c r="Q133">
        <f t="array" ref="Q133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133">
        <f>HR_Data[[#This Row],[Salary]]*HR_Data[[#This Row],[Bonus %]]</f>
        <v>6517.2000000000007</v>
      </c>
      <c r="S133">
        <f>HR_Data[[#This Row],[Salary]]+HR_Data[[#This Row],[Bonus Amount]]</f>
        <v>136861.20000000001</v>
      </c>
      <c r="T133" t="str">
        <f>IF(HR_Data[[#This Row],[Attrition]]="Yes","Inactive","Active")</f>
        <v>Active</v>
      </c>
      <c r="U133" t="str">
        <f t="array" ref="U133">_xlfn.IFS(HR_Data[[#This Row],[Salary]]&gt;=100000,"A",HR_Data[[#This Row],[Salary]]&gt;=70000,"B",HR_Data[[#This Row],[Salary]]&gt;=50000,"C",TRUE(),"D")</f>
        <v>A</v>
      </c>
      <c r="V133" t="str">
        <f t="array" ref="V133">_xlfn.IFS(HR_Data[[#This Row],[Experience]]&gt;=15,"Expert",HR_Data[[#This Row],[Experience]]&gt;=8,"Senior",HR_Data[[#This Row],[Experience]]&gt;=3,"Mid-Level",TRUE(),"Junior")</f>
        <v>Expert</v>
      </c>
    </row>
    <row r="134" spans="1:22" ht="14.25" customHeight="1" x14ac:dyDescent="0.3">
      <c r="A134" t="s">
        <v>405</v>
      </c>
      <c r="B134" t="s">
        <v>406</v>
      </c>
      <c r="C134" t="s">
        <v>70</v>
      </c>
      <c r="D134" t="s">
        <v>33</v>
      </c>
      <c r="E134">
        <v>28</v>
      </c>
      <c r="F134">
        <v>60562</v>
      </c>
      <c r="G134">
        <v>9</v>
      </c>
      <c r="H134" t="s">
        <v>407</v>
      </c>
      <c r="I134" t="s">
        <v>57</v>
      </c>
      <c r="J134" t="s">
        <v>46</v>
      </c>
      <c r="K134" t="s">
        <v>29</v>
      </c>
      <c r="L134" t="str">
        <f t="array" ref="L134">_xlfn.IFS(HR_Data[[#This Row],[Experience]]&lt;2,"0-2 Years",HR_Data[[#This Row],[Experience]]&lt;5,"2-5 Years",HR_Data[[#This Row],[Experience]]&lt;10,"5-10 Years",TRUE(),"10+ Years")</f>
        <v>5-10 Years</v>
      </c>
      <c r="M134" t="str">
        <f t="array" ref="M134">_xlfn.IFS(HR_Data[[#This Row],[Salary]]&lt;40000,"Low",HR_Data[[#This Row],[Salary]]&lt;70000,"Medium",HR_Data[[#This Row],[Salary]]&lt;100000,"High",TRUE(),"Very High")</f>
        <v>Medium</v>
      </c>
      <c r="N134" t="str">
        <f t="array" ref="N134">_xlfn.IFS(HR_Data[[#This Row],[Age]]&lt;25,"18-24",HR_Data[[#This Row],[Age]]&lt;35,"25-34",HR_Data[[#This Row],[Age]]&lt;45,"35-44",TRUE(),"45+")</f>
        <v>25-34</v>
      </c>
      <c r="O134">
        <f>YEAR(HR_Data[[#This Row],[Joining Date]])</f>
        <v>2017</v>
      </c>
      <c r="P134" t="str">
        <f>TEXT(HR_Data[[#This Row],[Joining Date]],"mmmm")</f>
        <v>April</v>
      </c>
      <c r="Q134">
        <f t="array" ref="Q134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134">
        <f>HR_Data[[#This Row],[Salary]]*HR_Data[[#This Row],[Bonus %]]</f>
        <v>3028.1000000000004</v>
      </c>
      <c r="S134">
        <f>HR_Data[[#This Row],[Salary]]+HR_Data[[#This Row],[Bonus Amount]]</f>
        <v>63590.1</v>
      </c>
      <c r="T134" t="str">
        <f>IF(HR_Data[[#This Row],[Attrition]]="Yes","Inactive","Active")</f>
        <v>Active</v>
      </c>
      <c r="U134" t="str">
        <f t="array" ref="U134">_xlfn.IFS(HR_Data[[#This Row],[Salary]]&gt;=100000,"A",HR_Data[[#This Row],[Salary]]&gt;=70000,"B",HR_Data[[#This Row],[Salary]]&gt;=50000,"C",TRUE(),"D")</f>
        <v>C</v>
      </c>
      <c r="V134" t="str">
        <f t="array" ref="V134">_xlfn.IFS(HR_Data[[#This Row],[Experience]]&gt;=15,"Expert",HR_Data[[#This Row],[Experience]]&gt;=8,"Senior",HR_Data[[#This Row],[Experience]]&gt;=3,"Mid-Level",TRUE(),"Junior")</f>
        <v>Senior</v>
      </c>
    </row>
    <row r="135" spans="1:22" ht="14.25" customHeight="1" x14ac:dyDescent="0.3">
      <c r="A135" t="s">
        <v>408</v>
      </c>
      <c r="B135" t="s">
        <v>409</v>
      </c>
      <c r="C135" t="s">
        <v>55</v>
      </c>
      <c r="D135" t="s">
        <v>33</v>
      </c>
      <c r="E135">
        <v>54</v>
      </c>
      <c r="F135">
        <v>123772</v>
      </c>
      <c r="G135">
        <v>28</v>
      </c>
      <c r="H135" t="s">
        <v>410</v>
      </c>
      <c r="I135" t="s">
        <v>67</v>
      </c>
      <c r="J135" t="s">
        <v>28</v>
      </c>
      <c r="K135" t="s">
        <v>29</v>
      </c>
      <c r="L135" t="str">
        <f t="array" ref="L135">_xlfn.IFS(HR_Data[[#This Row],[Experience]]&lt;2,"0-2 Years",HR_Data[[#This Row],[Experience]]&lt;5,"2-5 Years",HR_Data[[#This Row],[Experience]]&lt;10,"5-10 Years",TRUE(),"10+ Years")</f>
        <v>10+ Years</v>
      </c>
      <c r="M135" t="str">
        <f t="array" ref="M135">_xlfn.IFS(HR_Data[[#This Row],[Salary]]&lt;40000,"Low",HR_Data[[#This Row],[Salary]]&lt;70000,"Medium",HR_Data[[#This Row],[Salary]]&lt;100000,"High",TRUE(),"Very High")</f>
        <v>Very High</v>
      </c>
      <c r="N135" t="str">
        <f t="array" ref="N135">_xlfn.IFS(HR_Data[[#This Row],[Age]]&lt;25,"18-24",HR_Data[[#This Row],[Age]]&lt;35,"25-34",HR_Data[[#This Row],[Age]]&lt;45,"35-44",TRUE(),"45+")</f>
        <v>45+</v>
      </c>
      <c r="O135">
        <f>YEAR(HR_Data[[#This Row],[Joining Date]])</f>
        <v>2018</v>
      </c>
      <c r="P135" t="str">
        <f>TEXT(HR_Data[[#This Row],[Joining Date]],"mmmm")</f>
        <v>July</v>
      </c>
      <c r="Q135">
        <f t="array" ref="Q135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135">
        <f>HR_Data[[#This Row],[Salary]]*HR_Data[[#This Row],[Bonus %]]</f>
        <v>18565.8</v>
      </c>
      <c r="S135">
        <f>HR_Data[[#This Row],[Salary]]+HR_Data[[#This Row],[Bonus Amount]]</f>
        <v>142337.79999999999</v>
      </c>
      <c r="T135" t="str">
        <f>IF(HR_Data[[#This Row],[Attrition]]="Yes","Inactive","Active")</f>
        <v>Active</v>
      </c>
      <c r="U135" t="str">
        <f t="array" ref="U135">_xlfn.IFS(HR_Data[[#This Row],[Salary]]&gt;=100000,"A",HR_Data[[#This Row],[Salary]]&gt;=70000,"B",HR_Data[[#This Row],[Salary]]&gt;=50000,"C",TRUE(),"D")</f>
        <v>A</v>
      </c>
      <c r="V135" t="str">
        <f t="array" ref="V135">_xlfn.IFS(HR_Data[[#This Row],[Experience]]&gt;=15,"Expert",HR_Data[[#This Row],[Experience]]&gt;=8,"Senior",HR_Data[[#This Row],[Experience]]&gt;=3,"Mid-Level",TRUE(),"Junior")</f>
        <v>Expert</v>
      </c>
    </row>
    <row r="136" spans="1:22" ht="14.25" customHeight="1" x14ac:dyDescent="0.3">
      <c r="A136" t="s">
        <v>411</v>
      </c>
      <c r="B136" t="s">
        <v>412</v>
      </c>
      <c r="C136" t="s">
        <v>55</v>
      </c>
      <c r="D136" t="s">
        <v>33</v>
      </c>
      <c r="E136">
        <v>28</v>
      </c>
      <c r="F136">
        <v>32896</v>
      </c>
      <c r="G136">
        <v>4</v>
      </c>
      <c r="H136" t="s">
        <v>413</v>
      </c>
      <c r="I136" t="s">
        <v>72</v>
      </c>
      <c r="J136" t="s">
        <v>28</v>
      </c>
      <c r="K136" t="s">
        <v>29</v>
      </c>
      <c r="L136" t="str">
        <f t="array" ref="L136">_xlfn.IFS(HR_Data[[#This Row],[Experience]]&lt;2,"0-2 Years",HR_Data[[#This Row],[Experience]]&lt;5,"2-5 Years",HR_Data[[#This Row],[Experience]]&lt;10,"5-10 Years",TRUE(),"10+ Years")</f>
        <v>2-5 Years</v>
      </c>
      <c r="M136" t="str">
        <f t="array" ref="M136">_xlfn.IFS(HR_Data[[#This Row],[Salary]]&lt;40000,"Low",HR_Data[[#This Row],[Salary]]&lt;70000,"Medium",HR_Data[[#This Row],[Salary]]&lt;100000,"High",TRUE(),"Very High")</f>
        <v>Low</v>
      </c>
      <c r="N136" t="str">
        <f t="array" ref="N136">_xlfn.IFS(HR_Data[[#This Row],[Age]]&lt;25,"18-24",HR_Data[[#This Row],[Age]]&lt;35,"25-34",HR_Data[[#This Row],[Age]]&lt;45,"35-44",TRUE(),"45+")</f>
        <v>25-34</v>
      </c>
      <c r="O136">
        <f>YEAR(HR_Data[[#This Row],[Joining Date]])</f>
        <v>2023</v>
      </c>
      <c r="P136" t="str">
        <f>TEXT(HR_Data[[#This Row],[Joining Date]],"mmmm")</f>
        <v>September</v>
      </c>
      <c r="Q136">
        <f t="array" ref="Q136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136">
        <f>HR_Data[[#This Row],[Salary]]*HR_Data[[#This Row],[Bonus %]]</f>
        <v>4934.3999999999996</v>
      </c>
      <c r="S136">
        <f>HR_Data[[#This Row],[Salary]]+HR_Data[[#This Row],[Bonus Amount]]</f>
        <v>37830.400000000001</v>
      </c>
      <c r="T136" t="str">
        <f>IF(HR_Data[[#This Row],[Attrition]]="Yes","Inactive","Active")</f>
        <v>Active</v>
      </c>
      <c r="U136" t="str">
        <f t="array" ref="U136">_xlfn.IFS(HR_Data[[#This Row],[Salary]]&gt;=100000,"A",HR_Data[[#This Row],[Salary]]&gt;=70000,"B",HR_Data[[#This Row],[Salary]]&gt;=50000,"C",TRUE(),"D")</f>
        <v>D</v>
      </c>
      <c r="V136" t="str">
        <f t="array" ref="V136">_xlfn.IFS(HR_Data[[#This Row],[Experience]]&gt;=15,"Expert",HR_Data[[#This Row],[Experience]]&gt;=8,"Senior",HR_Data[[#This Row],[Experience]]&gt;=3,"Mid-Level",TRUE(),"Junior")</f>
        <v>Mid-Level</v>
      </c>
    </row>
    <row r="137" spans="1:22" ht="14.25" customHeight="1" x14ac:dyDescent="0.3">
      <c r="A137" t="s">
        <v>414</v>
      </c>
      <c r="B137" t="s">
        <v>223</v>
      </c>
      <c r="C137" t="s">
        <v>75</v>
      </c>
      <c r="D137" t="s">
        <v>25</v>
      </c>
      <c r="E137">
        <v>33</v>
      </c>
      <c r="F137">
        <v>55965</v>
      </c>
      <c r="G137">
        <v>9</v>
      </c>
      <c r="H137" t="s">
        <v>415</v>
      </c>
      <c r="I137" t="s">
        <v>67</v>
      </c>
      <c r="J137" t="s">
        <v>63</v>
      </c>
      <c r="K137" t="s">
        <v>29</v>
      </c>
      <c r="L137" t="str">
        <f t="array" ref="L137">_xlfn.IFS(HR_Data[[#This Row],[Experience]]&lt;2,"0-2 Years",HR_Data[[#This Row],[Experience]]&lt;5,"2-5 Years",HR_Data[[#This Row],[Experience]]&lt;10,"5-10 Years",TRUE(),"10+ Years")</f>
        <v>5-10 Years</v>
      </c>
      <c r="M137" t="str">
        <f t="array" ref="M137">_xlfn.IFS(HR_Data[[#This Row],[Salary]]&lt;40000,"Low",HR_Data[[#This Row],[Salary]]&lt;70000,"Medium",HR_Data[[#This Row],[Salary]]&lt;100000,"High",TRUE(),"Very High")</f>
        <v>Medium</v>
      </c>
      <c r="N137" t="str">
        <f t="array" ref="N137">_xlfn.IFS(HR_Data[[#This Row],[Age]]&lt;25,"18-24",HR_Data[[#This Row],[Age]]&lt;35,"25-34",HR_Data[[#This Row],[Age]]&lt;45,"35-44",TRUE(),"45+")</f>
        <v>25-34</v>
      </c>
      <c r="O137">
        <f>YEAR(HR_Data[[#This Row],[Joining Date]])</f>
        <v>2023</v>
      </c>
      <c r="P137" t="str">
        <f>TEXT(HR_Data[[#This Row],[Joining Date]],"mmmm")</f>
        <v>October</v>
      </c>
      <c r="Q137">
        <f t="array" ref="Q137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137">
        <f>HR_Data[[#This Row],[Salary]]*HR_Data[[#This Row],[Bonus %]]</f>
        <v>11193</v>
      </c>
      <c r="S137">
        <f>HR_Data[[#This Row],[Salary]]+HR_Data[[#This Row],[Bonus Amount]]</f>
        <v>67158</v>
      </c>
      <c r="T137" t="str">
        <f>IF(HR_Data[[#This Row],[Attrition]]="Yes","Inactive","Active")</f>
        <v>Active</v>
      </c>
      <c r="U137" t="str">
        <f t="array" ref="U137">_xlfn.IFS(HR_Data[[#This Row],[Salary]]&gt;=100000,"A",HR_Data[[#This Row],[Salary]]&gt;=70000,"B",HR_Data[[#This Row],[Salary]]&gt;=50000,"C",TRUE(),"D")</f>
        <v>C</v>
      </c>
      <c r="V137" t="str">
        <f t="array" ref="V137">_xlfn.IFS(HR_Data[[#This Row],[Experience]]&gt;=15,"Expert",HR_Data[[#This Row],[Experience]]&gt;=8,"Senior",HR_Data[[#This Row],[Experience]]&gt;=3,"Mid-Level",TRUE(),"Junior")</f>
        <v>Senior</v>
      </c>
    </row>
    <row r="138" spans="1:22" ht="14.25" customHeight="1" x14ac:dyDescent="0.3">
      <c r="A138" t="s">
        <v>416</v>
      </c>
      <c r="B138" t="s">
        <v>417</v>
      </c>
      <c r="C138" t="s">
        <v>55</v>
      </c>
      <c r="D138" t="s">
        <v>25</v>
      </c>
      <c r="E138">
        <v>37</v>
      </c>
      <c r="F138">
        <v>59848</v>
      </c>
      <c r="G138">
        <v>8</v>
      </c>
      <c r="H138" t="s">
        <v>418</v>
      </c>
      <c r="I138" t="s">
        <v>132</v>
      </c>
      <c r="J138" t="s">
        <v>36</v>
      </c>
      <c r="K138" t="s">
        <v>29</v>
      </c>
      <c r="L138" t="str">
        <f t="array" ref="L138">_xlfn.IFS(HR_Data[[#This Row],[Experience]]&lt;2,"0-2 Years",HR_Data[[#This Row],[Experience]]&lt;5,"2-5 Years",HR_Data[[#This Row],[Experience]]&lt;10,"5-10 Years",TRUE(),"10+ Years")</f>
        <v>5-10 Years</v>
      </c>
      <c r="M138" t="str">
        <f t="array" ref="M138">_xlfn.IFS(HR_Data[[#This Row],[Salary]]&lt;40000,"Low",HR_Data[[#This Row],[Salary]]&lt;70000,"Medium",HR_Data[[#This Row],[Salary]]&lt;100000,"High",TRUE(),"Very High")</f>
        <v>Medium</v>
      </c>
      <c r="N138" t="str">
        <f t="array" ref="N138">_xlfn.IFS(HR_Data[[#This Row],[Age]]&lt;25,"18-24",HR_Data[[#This Row],[Age]]&lt;35,"25-34",HR_Data[[#This Row],[Age]]&lt;45,"35-44",TRUE(),"45+")</f>
        <v>35-44</v>
      </c>
      <c r="O138">
        <f>YEAR(HR_Data[[#This Row],[Joining Date]])</f>
        <v>2017</v>
      </c>
      <c r="P138" t="str">
        <f>TEXT(HR_Data[[#This Row],[Joining Date]],"mmmm")</f>
        <v>February</v>
      </c>
      <c r="Q138">
        <f t="array" ref="Q13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38">
        <f>HR_Data[[#This Row],[Salary]]*HR_Data[[#This Row],[Bonus %]]</f>
        <v>5984.8</v>
      </c>
      <c r="S138">
        <f>HR_Data[[#This Row],[Salary]]+HR_Data[[#This Row],[Bonus Amount]]</f>
        <v>65832.800000000003</v>
      </c>
      <c r="T138" t="str">
        <f>IF(HR_Data[[#This Row],[Attrition]]="Yes","Inactive","Active")</f>
        <v>Active</v>
      </c>
      <c r="U138" t="str">
        <f t="array" ref="U138">_xlfn.IFS(HR_Data[[#This Row],[Salary]]&gt;=100000,"A",HR_Data[[#This Row],[Salary]]&gt;=70000,"B",HR_Data[[#This Row],[Salary]]&gt;=50000,"C",TRUE(),"D")</f>
        <v>C</v>
      </c>
      <c r="V138" t="str">
        <f t="array" ref="V138">_xlfn.IFS(HR_Data[[#This Row],[Experience]]&gt;=15,"Expert",HR_Data[[#This Row],[Experience]]&gt;=8,"Senior",HR_Data[[#This Row],[Experience]]&gt;=3,"Mid-Level",TRUE(),"Junior")</f>
        <v>Senior</v>
      </c>
    </row>
    <row r="139" spans="1:22" ht="14.25" customHeight="1" x14ac:dyDescent="0.3">
      <c r="A139" t="s">
        <v>419</v>
      </c>
      <c r="B139" t="s">
        <v>223</v>
      </c>
      <c r="C139" t="s">
        <v>40</v>
      </c>
      <c r="D139" t="s">
        <v>33</v>
      </c>
      <c r="E139">
        <v>37</v>
      </c>
      <c r="F139">
        <v>74534</v>
      </c>
      <c r="G139">
        <v>13</v>
      </c>
      <c r="H139" t="s">
        <v>420</v>
      </c>
      <c r="I139" t="s">
        <v>67</v>
      </c>
      <c r="J139" t="s">
        <v>28</v>
      </c>
      <c r="K139" t="s">
        <v>29</v>
      </c>
      <c r="L139" t="str">
        <f t="array" ref="L139">_xlfn.IFS(HR_Data[[#This Row],[Experience]]&lt;2,"0-2 Years",HR_Data[[#This Row],[Experience]]&lt;5,"2-5 Years",HR_Data[[#This Row],[Experience]]&lt;10,"5-10 Years",TRUE(),"10+ Years")</f>
        <v>10+ Years</v>
      </c>
      <c r="M139" t="str">
        <f t="array" ref="M139">_xlfn.IFS(HR_Data[[#This Row],[Salary]]&lt;40000,"Low",HR_Data[[#This Row],[Salary]]&lt;70000,"Medium",HR_Data[[#This Row],[Salary]]&lt;100000,"High",TRUE(),"Very High")</f>
        <v>High</v>
      </c>
      <c r="N139" t="str">
        <f t="array" ref="N139">_xlfn.IFS(HR_Data[[#This Row],[Age]]&lt;25,"18-24",HR_Data[[#This Row],[Age]]&lt;35,"25-34",HR_Data[[#This Row],[Age]]&lt;45,"35-44",TRUE(),"45+")</f>
        <v>35-44</v>
      </c>
      <c r="O139">
        <f>YEAR(HR_Data[[#This Row],[Joining Date]])</f>
        <v>2019</v>
      </c>
      <c r="P139" t="str">
        <f>TEXT(HR_Data[[#This Row],[Joining Date]],"mmmm")</f>
        <v>April</v>
      </c>
      <c r="Q139">
        <f t="array" ref="Q13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139">
        <f>HR_Data[[#This Row],[Salary]]*HR_Data[[#This Row],[Bonus %]]</f>
        <v>11180.1</v>
      </c>
      <c r="S139">
        <f>HR_Data[[#This Row],[Salary]]+HR_Data[[#This Row],[Bonus Amount]]</f>
        <v>85714.1</v>
      </c>
      <c r="T139" t="str">
        <f>IF(HR_Data[[#This Row],[Attrition]]="Yes","Inactive","Active")</f>
        <v>Active</v>
      </c>
      <c r="U139" t="str">
        <f t="array" ref="U139">_xlfn.IFS(HR_Data[[#This Row],[Salary]]&gt;=100000,"A",HR_Data[[#This Row],[Salary]]&gt;=70000,"B",HR_Data[[#This Row],[Salary]]&gt;=50000,"C",TRUE(),"D")</f>
        <v>B</v>
      </c>
      <c r="V139" t="str">
        <f t="array" ref="V139">_xlfn.IFS(HR_Data[[#This Row],[Experience]]&gt;=15,"Expert",HR_Data[[#This Row],[Experience]]&gt;=8,"Senior",HR_Data[[#This Row],[Experience]]&gt;=3,"Mid-Level",TRUE(),"Junior")</f>
        <v>Senior</v>
      </c>
    </row>
    <row r="140" spans="1:22" ht="14.25" customHeight="1" x14ac:dyDescent="0.3">
      <c r="A140" t="s">
        <v>421</v>
      </c>
      <c r="B140" t="s">
        <v>412</v>
      </c>
      <c r="C140" t="s">
        <v>93</v>
      </c>
      <c r="D140" t="s">
        <v>33</v>
      </c>
      <c r="E140">
        <v>36</v>
      </c>
      <c r="F140">
        <v>54944</v>
      </c>
      <c r="G140">
        <v>8</v>
      </c>
      <c r="H140" t="s">
        <v>422</v>
      </c>
      <c r="I140" t="s">
        <v>62</v>
      </c>
      <c r="J140" t="s">
        <v>28</v>
      </c>
      <c r="K140" t="s">
        <v>29</v>
      </c>
      <c r="L140" t="str">
        <f t="array" ref="L140">_xlfn.IFS(HR_Data[[#This Row],[Experience]]&lt;2,"0-2 Years",HR_Data[[#This Row],[Experience]]&lt;5,"2-5 Years",HR_Data[[#This Row],[Experience]]&lt;10,"5-10 Years",TRUE(),"10+ Years")</f>
        <v>5-10 Years</v>
      </c>
      <c r="M140" t="str">
        <f t="array" ref="M140">_xlfn.IFS(HR_Data[[#This Row],[Salary]]&lt;40000,"Low",HR_Data[[#This Row],[Salary]]&lt;70000,"Medium",HR_Data[[#This Row],[Salary]]&lt;100000,"High",TRUE(),"Very High")</f>
        <v>Medium</v>
      </c>
      <c r="N140" t="str">
        <f t="array" ref="N140">_xlfn.IFS(HR_Data[[#This Row],[Age]]&lt;25,"18-24",HR_Data[[#This Row],[Age]]&lt;35,"25-34",HR_Data[[#This Row],[Age]]&lt;45,"35-44",TRUE(),"45+")</f>
        <v>35-44</v>
      </c>
      <c r="O140">
        <f>YEAR(HR_Data[[#This Row],[Joining Date]])</f>
        <v>2018</v>
      </c>
      <c r="P140" t="str">
        <f>TEXT(HR_Data[[#This Row],[Joining Date]],"mmmm")</f>
        <v>June</v>
      </c>
      <c r="Q140">
        <f t="array" ref="Q140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140">
        <f>HR_Data[[#This Row],[Salary]]*HR_Data[[#This Row],[Bonus %]]</f>
        <v>8241.6</v>
      </c>
      <c r="S140">
        <f>HR_Data[[#This Row],[Salary]]+HR_Data[[#This Row],[Bonus Amount]]</f>
        <v>63185.599999999999</v>
      </c>
      <c r="T140" t="str">
        <f>IF(HR_Data[[#This Row],[Attrition]]="Yes","Inactive","Active")</f>
        <v>Active</v>
      </c>
      <c r="U140" t="str">
        <f t="array" ref="U140">_xlfn.IFS(HR_Data[[#This Row],[Salary]]&gt;=100000,"A",HR_Data[[#This Row],[Salary]]&gt;=70000,"B",HR_Data[[#This Row],[Salary]]&gt;=50000,"C",TRUE(),"D")</f>
        <v>C</v>
      </c>
      <c r="V140" t="str">
        <f t="array" ref="V140">_xlfn.IFS(HR_Data[[#This Row],[Experience]]&gt;=15,"Expert",HR_Data[[#This Row],[Experience]]&gt;=8,"Senior",HR_Data[[#This Row],[Experience]]&gt;=3,"Mid-Level",TRUE(),"Junior")</f>
        <v>Senior</v>
      </c>
    </row>
    <row r="141" spans="1:22" ht="14.25" customHeight="1" x14ac:dyDescent="0.3">
      <c r="A141" t="s">
        <v>423</v>
      </c>
      <c r="B141" t="s">
        <v>424</v>
      </c>
      <c r="C141" t="s">
        <v>75</v>
      </c>
      <c r="D141" t="s">
        <v>33</v>
      </c>
      <c r="E141">
        <v>52</v>
      </c>
      <c r="F141">
        <v>98383</v>
      </c>
      <c r="G141">
        <v>23</v>
      </c>
      <c r="H141" t="s">
        <v>425</v>
      </c>
      <c r="I141" t="s">
        <v>80</v>
      </c>
      <c r="J141" t="s">
        <v>36</v>
      </c>
      <c r="K141" t="s">
        <v>29</v>
      </c>
      <c r="L141" t="str">
        <f t="array" ref="L141">_xlfn.IFS(HR_Data[[#This Row],[Experience]]&lt;2,"0-2 Years",HR_Data[[#This Row],[Experience]]&lt;5,"2-5 Years",HR_Data[[#This Row],[Experience]]&lt;10,"5-10 Years",TRUE(),"10+ Years")</f>
        <v>10+ Years</v>
      </c>
      <c r="M141" t="str">
        <f t="array" ref="M141">_xlfn.IFS(HR_Data[[#This Row],[Salary]]&lt;40000,"Low",HR_Data[[#This Row],[Salary]]&lt;70000,"Medium",HR_Data[[#This Row],[Salary]]&lt;100000,"High",TRUE(),"Very High")</f>
        <v>High</v>
      </c>
      <c r="N141" t="str">
        <f t="array" ref="N141">_xlfn.IFS(HR_Data[[#This Row],[Age]]&lt;25,"18-24",HR_Data[[#This Row],[Age]]&lt;35,"25-34",HR_Data[[#This Row],[Age]]&lt;45,"35-44",TRUE(),"45+")</f>
        <v>45+</v>
      </c>
      <c r="O141">
        <f>YEAR(HR_Data[[#This Row],[Joining Date]])</f>
        <v>2024</v>
      </c>
      <c r="P141" t="str">
        <f>TEXT(HR_Data[[#This Row],[Joining Date]],"mmmm")</f>
        <v>December</v>
      </c>
      <c r="Q141">
        <f t="array" ref="Q14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41">
        <f>HR_Data[[#This Row],[Salary]]*HR_Data[[#This Row],[Bonus %]]</f>
        <v>9838.3000000000011</v>
      </c>
      <c r="S141">
        <f>HR_Data[[#This Row],[Salary]]+HR_Data[[#This Row],[Bonus Amount]]</f>
        <v>108221.3</v>
      </c>
      <c r="T141" t="str">
        <f>IF(HR_Data[[#This Row],[Attrition]]="Yes","Inactive","Active")</f>
        <v>Active</v>
      </c>
      <c r="U141" t="str">
        <f t="array" ref="U141">_xlfn.IFS(HR_Data[[#This Row],[Salary]]&gt;=100000,"A",HR_Data[[#This Row],[Salary]]&gt;=70000,"B",HR_Data[[#This Row],[Salary]]&gt;=50000,"C",TRUE(),"D")</f>
        <v>B</v>
      </c>
      <c r="V141" t="str">
        <f t="array" ref="V141">_xlfn.IFS(HR_Data[[#This Row],[Experience]]&gt;=15,"Expert",HR_Data[[#This Row],[Experience]]&gt;=8,"Senior",HR_Data[[#This Row],[Experience]]&gt;=3,"Mid-Level",TRUE(),"Junior")</f>
        <v>Expert</v>
      </c>
    </row>
    <row r="142" spans="1:22" ht="14.25" customHeight="1" x14ac:dyDescent="0.3">
      <c r="A142" t="s">
        <v>426</v>
      </c>
      <c r="B142" t="s">
        <v>270</v>
      </c>
      <c r="C142" t="s">
        <v>75</v>
      </c>
      <c r="D142" t="s">
        <v>25</v>
      </c>
      <c r="E142">
        <v>52</v>
      </c>
      <c r="F142">
        <v>125053</v>
      </c>
      <c r="G142">
        <v>30</v>
      </c>
      <c r="H142" t="s">
        <v>427</v>
      </c>
      <c r="I142" t="s">
        <v>132</v>
      </c>
      <c r="J142" t="s">
        <v>36</v>
      </c>
      <c r="K142" t="s">
        <v>29</v>
      </c>
      <c r="L142" t="str">
        <f t="array" ref="L142">_xlfn.IFS(HR_Data[[#This Row],[Experience]]&lt;2,"0-2 Years",HR_Data[[#This Row],[Experience]]&lt;5,"2-5 Years",HR_Data[[#This Row],[Experience]]&lt;10,"5-10 Years",TRUE(),"10+ Years")</f>
        <v>10+ Years</v>
      </c>
      <c r="M142" t="str">
        <f t="array" ref="M142">_xlfn.IFS(HR_Data[[#This Row],[Salary]]&lt;40000,"Low",HR_Data[[#This Row],[Salary]]&lt;70000,"Medium",HR_Data[[#This Row],[Salary]]&lt;100000,"High",TRUE(),"Very High")</f>
        <v>Very High</v>
      </c>
      <c r="N142" t="str">
        <f t="array" ref="N142">_xlfn.IFS(HR_Data[[#This Row],[Age]]&lt;25,"18-24",HR_Data[[#This Row],[Age]]&lt;35,"25-34",HR_Data[[#This Row],[Age]]&lt;45,"35-44",TRUE(),"45+")</f>
        <v>45+</v>
      </c>
      <c r="O142">
        <f>YEAR(HR_Data[[#This Row],[Joining Date]])</f>
        <v>2024</v>
      </c>
      <c r="P142" t="str">
        <f>TEXT(HR_Data[[#This Row],[Joining Date]],"mmmm")</f>
        <v>November</v>
      </c>
      <c r="Q142">
        <f t="array" ref="Q14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42">
        <f>HR_Data[[#This Row],[Salary]]*HR_Data[[#This Row],[Bonus %]]</f>
        <v>12505.300000000001</v>
      </c>
      <c r="S142">
        <f>HR_Data[[#This Row],[Salary]]+HR_Data[[#This Row],[Bonus Amount]]</f>
        <v>137558.29999999999</v>
      </c>
      <c r="T142" t="str">
        <f>IF(HR_Data[[#This Row],[Attrition]]="Yes","Inactive","Active")</f>
        <v>Active</v>
      </c>
      <c r="U142" t="str">
        <f t="array" ref="U142">_xlfn.IFS(HR_Data[[#This Row],[Salary]]&gt;=100000,"A",HR_Data[[#This Row],[Salary]]&gt;=70000,"B",HR_Data[[#This Row],[Salary]]&gt;=50000,"C",TRUE(),"D")</f>
        <v>A</v>
      </c>
      <c r="V142" t="str">
        <f t="array" ref="V142">_xlfn.IFS(HR_Data[[#This Row],[Experience]]&gt;=15,"Expert",HR_Data[[#This Row],[Experience]]&gt;=8,"Senior",HR_Data[[#This Row],[Experience]]&gt;=3,"Mid-Level",TRUE(),"Junior")</f>
        <v>Expert</v>
      </c>
    </row>
    <row r="143" spans="1:22" ht="14.25" customHeight="1" x14ac:dyDescent="0.3">
      <c r="A143" t="s">
        <v>428</v>
      </c>
      <c r="B143" t="s">
        <v>349</v>
      </c>
      <c r="C143" t="s">
        <v>40</v>
      </c>
      <c r="D143" t="s">
        <v>33</v>
      </c>
      <c r="E143">
        <v>40</v>
      </c>
      <c r="F143">
        <v>59935</v>
      </c>
      <c r="G143">
        <v>12</v>
      </c>
      <c r="H143" t="s">
        <v>429</v>
      </c>
      <c r="I143" t="s">
        <v>80</v>
      </c>
      <c r="J143" t="s">
        <v>63</v>
      </c>
      <c r="K143" t="s">
        <v>29</v>
      </c>
      <c r="L143" t="str">
        <f t="array" ref="L143">_xlfn.IFS(HR_Data[[#This Row],[Experience]]&lt;2,"0-2 Years",HR_Data[[#This Row],[Experience]]&lt;5,"2-5 Years",HR_Data[[#This Row],[Experience]]&lt;10,"5-10 Years",TRUE(),"10+ Years")</f>
        <v>10+ Years</v>
      </c>
      <c r="M143" t="str">
        <f t="array" ref="M143">_xlfn.IFS(HR_Data[[#This Row],[Salary]]&lt;40000,"Low",HR_Data[[#This Row],[Salary]]&lt;70000,"Medium",HR_Data[[#This Row],[Salary]]&lt;100000,"High",TRUE(),"Very High")</f>
        <v>Medium</v>
      </c>
      <c r="N143" t="str">
        <f t="array" ref="N143">_xlfn.IFS(HR_Data[[#This Row],[Age]]&lt;25,"18-24",HR_Data[[#This Row],[Age]]&lt;35,"25-34",HR_Data[[#This Row],[Age]]&lt;45,"35-44",TRUE(),"45+")</f>
        <v>35-44</v>
      </c>
      <c r="O143">
        <f>YEAR(HR_Data[[#This Row],[Joining Date]])</f>
        <v>2020</v>
      </c>
      <c r="P143" t="str">
        <f>TEXT(HR_Data[[#This Row],[Joining Date]],"mmmm")</f>
        <v>August</v>
      </c>
      <c r="Q143">
        <f t="array" ref="Q143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143">
        <f>HR_Data[[#This Row],[Salary]]*HR_Data[[#This Row],[Bonus %]]</f>
        <v>11987</v>
      </c>
      <c r="S143">
        <f>HR_Data[[#This Row],[Salary]]+HR_Data[[#This Row],[Bonus Amount]]</f>
        <v>71922</v>
      </c>
      <c r="T143" t="str">
        <f>IF(HR_Data[[#This Row],[Attrition]]="Yes","Inactive","Active")</f>
        <v>Active</v>
      </c>
      <c r="U143" t="str">
        <f t="array" ref="U143">_xlfn.IFS(HR_Data[[#This Row],[Salary]]&gt;=100000,"A",HR_Data[[#This Row],[Salary]]&gt;=70000,"B",HR_Data[[#This Row],[Salary]]&gt;=50000,"C",TRUE(),"D")</f>
        <v>C</v>
      </c>
      <c r="V143" t="str">
        <f t="array" ref="V143">_xlfn.IFS(HR_Data[[#This Row],[Experience]]&gt;=15,"Expert",HR_Data[[#This Row],[Experience]]&gt;=8,"Senior",HR_Data[[#This Row],[Experience]]&gt;=3,"Mid-Level",TRUE(),"Junior")</f>
        <v>Senior</v>
      </c>
    </row>
    <row r="144" spans="1:22" ht="14.25" customHeight="1" x14ac:dyDescent="0.3">
      <c r="A144" t="s">
        <v>430</v>
      </c>
      <c r="B144" t="s">
        <v>335</v>
      </c>
      <c r="C144" t="s">
        <v>60</v>
      </c>
      <c r="D144" t="s">
        <v>25</v>
      </c>
      <c r="E144">
        <v>26</v>
      </c>
      <c r="F144">
        <v>41938</v>
      </c>
      <c r="G144">
        <v>5</v>
      </c>
      <c r="H144" t="s">
        <v>431</v>
      </c>
      <c r="I144" t="s">
        <v>67</v>
      </c>
      <c r="J144" t="s">
        <v>46</v>
      </c>
      <c r="K144" t="s">
        <v>29</v>
      </c>
      <c r="L144" t="str">
        <f t="array" ref="L144">_xlfn.IFS(HR_Data[[#This Row],[Experience]]&lt;2,"0-2 Years",HR_Data[[#This Row],[Experience]]&lt;5,"2-5 Years",HR_Data[[#This Row],[Experience]]&lt;10,"5-10 Years",TRUE(),"10+ Years")</f>
        <v>5-10 Years</v>
      </c>
      <c r="M144" t="str">
        <f t="array" ref="M144">_xlfn.IFS(HR_Data[[#This Row],[Salary]]&lt;40000,"Low",HR_Data[[#This Row],[Salary]]&lt;70000,"Medium",HR_Data[[#This Row],[Salary]]&lt;100000,"High",TRUE(),"Very High")</f>
        <v>Medium</v>
      </c>
      <c r="N144" t="str">
        <f t="array" ref="N144">_xlfn.IFS(HR_Data[[#This Row],[Age]]&lt;25,"18-24",HR_Data[[#This Row],[Age]]&lt;35,"25-34",HR_Data[[#This Row],[Age]]&lt;45,"35-44",TRUE(),"45+")</f>
        <v>25-34</v>
      </c>
      <c r="O144">
        <f>YEAR(HR_Data[[#This Row],[Joining Date]])</f>
        <v>2025</v>
      </c>
      <c r="P144" t="str">
        <f>TEXT(HR_Data[[#This Row],[Joining Date]],"mmmm")</f>
        <v>January</v>
      </c>
      <c r="Q144">
        <f t="array" ref="Q144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144">
        <f>HR_Data[[#This Row],[Salary]]*HR_Data[[#This Row],[Bonus %]]</f>
        <v>2096.9</v>
      </c>
      <c r="S144">
        <f>HR_Data[[#This Row],[Salary]]+HR_Data[[#This Row],[Bonus Amount]]</f>
        <v>44034.9</v>
      </c>
      <c r="T144" t="str">
        <f>IF(HR_Data[[#This Row],[Attrition]]="Yes","Inactive","Active")</f>
        <v>Active</v>
      </c>
      <c r="U144" t="str">
        <f t="array" ref="U144">_xlfn.IFS(HR_Data[[#This Row],[Salary]]&gt;=100000,"A",HR_Data[[#This Row],[Salary]]&gt;=70000,"B",HR_Data[[#This Row],[Salary]]&gt;=50000,"C",TRUE(),"D")</f>
        <v>D</v>
      </c>
      <c r="V144" t="str">
        <f t="array" ref="V144">_xlfn.IFS(HR_Data[[#This Row],[Experience]]&gt;=15,"Expert",HR_Data[[#This Row],[Experience]]&gt;=8,"Senior",HR_Data[[#This Row],[Experience]]&gt;=3,"Mid-Level",TRUE(),"Junior")</f>
        <v>Mid-Level</v>
      </c>
    </row>
    <row r="145" spans="1:22" ht="14.25" customHeight="1" x14ac:dyDescent="0.3">
      <c r="A145" t="s">
        <v>432</v>
      </c>
      <c r="B145" t="s">
        <v>433</v>
      </c>
      <c r="C145" t="s">
        <v>60</v>
      </c>
      <c r="D145" t="s">
        <v>33</v>
      </c>
      <c r="E145">
        <v>26</v>
      </c>
      <c r="F145">
        <v>25000</v>
      </c>
      <c r="G145">
        <v>1</v>
      </c>
      <c r="H145" t="s">
        <v>434</v>
      </c>
      <c r="I145" t="s">
        <v>67</v>
      </c>
      <c r="J145" t="s">
        <v>36</v>
      </c>
      <c r="K145" t="s">
        <v>29</v>
      </c>
      <c r="L145" t="str">
        <f t="array" ref="L145">_xlfn.IFS(HR_Data[[#This Row],[Experience]]&lt;2,"0-2 Years",HR_Data[[#This Row],[Experience]]&lt;5,"2-5 Years",HR_Data[[#This Row],[Experience]]&lt;10,"5-10 Years",TRUE(),"10+ Years")</f>
        <v>0-2 Years</v>
      </c>
      <c r="M145" t="str">
        <f t="array" ref="M145">_xlfn.IFS(HR_Data[[#This Row],[Salary]]&lt;40000,"Low",HR_Data[[#This Row],[Salary]]&lt;70000,"Medium",HR_Data[[#This Row],[Salary]]&lt;100000,"High",TRUE(),"Very High")</f>
        <v>Low</v>
      </c>
      <c r="N145" t="str">
        <f t="array" ref="N145">_xlfn.IFS(HR_Data[[#This Row],[Age]]&lt;25,"18-24",HR_Data[[#This Row],[Age]]&lt;35,"25-34",HR_Data[[#This Row],[Age]]&lt;45,"35-44",TRUE(),"45+")</f>
        <v>25-34</v>
      </c>
      <c r="O145">
        <f>YEAR(HR_Data[[#This Row],[Joining Date]])</f>
        <v>2023</v>
      </c>
      <c r="P145" t="str">
        <f>TEXT(HR_Data[[#This Row],[Joining Date]],"mmmm")</f>
        <v>November</v>
      </c>
      <c r="Q145">
        <f t="array" ref="Q14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45">
        <f>HR_Data[[#This Row],[Salary]]*HR_Data[[#This Row],[Bonus %]]</f>
        <v>2500</v>
      </c>
      <c r="S145">
        <f>HR_Data[[#This Row],[Salary]]+HR_Data[[#This Row],[Bonus Amount]]</f>
        <v>27500</v>
      </c>
      <c r="T145" t="str">
        <f>IF(HR_Data[[#This Row],[Attrition]]="Yes","Inactive","Active")</f>
        <v>Active</v>
      </c>
      <c r="U145" t="str">
        <f t="array" ref="U145">_xlfn.IFS(HR_Data[[#This Row],[Salary]]&gt;=100000,"A",HR_Data[[#This Row],[Salary]]&gt;=70000,"B",HR_Data[[#This Row],[Salary]]&gt;=50000,"C",TRUE(),"D")</f>
        <v>D</v>
      </c>
      <c r="V145" t="str">
        <f t="array" ref="V145">_xlfn.IFS(HR_Data[[#This Row],[Experience]]&gt;=15,"Expert",HR_Data[[#This Row],[Experience]]&gt;=8,"Senior",HR_Data[[#This Row],[Experience]]&gt;=3,"Mid-Level",TRUE(),"Junior")</f>
        <v>Junior</v>
      </c>
    </row>
    <row r="146" spans="1:22" ht="14.25" customHeight="1" x14ac:dyDescent="0.3">
      <c r="A146" t="s">
        <v>435</v>
      </c>
      <c r="B146" t="s">
        <v>436</v>
      </c>
      <c r="C146" t="s">
        <v>93</v>
      </c>
      <c r="D146" t="s">
        <v>25</v>
      </c>
      <c r="E146">
        <v>36</v>
      </c>
      <c r="F146">
        <v>47186</v>
      </c>
      <c r="G146">
        <v>6</v>
      </c>
      <c r="H146" t="s">
        <v>437</v>
      </c>
      <c r="I146" t="s">
        <v>72</v>
      </c>
      <c r="J146" t="s">
        <v>63</v>
      </c>
      <c r="K146" t="s">
        <v>29</v>
      </c>
      <c r="L146" t="str">
        <f t="array" ref="L146">_xlfn.IFS(HR_Data[[#This Row],[Experience]]&lt;2,"0-2 Years",HR_Data[[#This Row],[Experience]]&lt;5,"2-5 Years",HR_Data[[#This Row],[Experience]]&lt;10,"5-10 Years",TRUE(),"10+ Years")</f>
        <v>5-10 Years</v>
      </c>
      <c r="M146" t="str">
        <f t="array" ref="M146">_xlfn.IFS(HR_Data[[#This Row],[Salary]]&lt;40000,"Low",HR_Data[[#This Row],[Salary]]&lt;70000,"Medium",HR_Data[[#This Row],[Salary]]&lt;100000,"High",TRUE(),"Very High")</f>
        <v>Medium</v>
      </c>
      <c r="N146" t="str">
        <f t="array" ref="N146">_xlfn.IFS(HR_Data[[#This Row],[Age]]&lt;25,"18-24",HR_Data[[#This Row],[Age]]&lt;35,"25-34",HR_Data[[#This Row],[Age]]&lt;45,"35-44",TRUE(),"45+")</f>
        <v>35-44</v>
      </c>
      <c r="O146">
        <f>YEAR(HR_Data[[#This Row],[Joining Date]])</f>
        <v>2018</v>
      </c>
      <c r="P146" t="str">
        <f>TEXT(HR_Data[[#This Row],[Joining Date]],"mmmm")</f>
        <v>April</v>
      </c>
      <c r="Q146">
        <f t="array" ref="Q146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146">
        <f>HR_Data[[#This Row],[Salary]]*HR_Data[[#This Row],[Bonus %]]</f>
        <v>9437.2000000000007</v>
      </c>
      <c r="S146">
        <f>HR_Data[[#This Row],[Salary]]+HR_Data[[#This Row],[Bonus Amount]]</f>
        <v>56623.199999999997</v>
      </c>
      <c r="T146" t="str">
        <f>IF(HR_Data[[#This Row],[Attrition]]="Yes","Inactive","Active")</f>
        <v>Active</v>
      </c>
      <c r="U146" t="str">
        <f t="array" ref="U146">_xlfn.IFS(HR_Data[[#This Row],[Salary]]&gt;=100000,"A",HR_Data[[#This Row],[Salary]]&gt;=70000,"B",HR_Data[[#This Row],[Salary]]&gt;=50000,"C",TRUE(),"D")</f>
        <v>D</v>
      </c>
      <c r="V146" t="str">
        <f t="array" ref="V146">_xlfn.IFS(HR_Data[[#This Row],[Experience]]&gt;=15,"Expert",HR_Data[[#This Row],[Experience]]&gt;=8,"Senior",HR_Data[[#This Row],[Experience]]&gt;=3,"Mid-Level",TRUE(),"Junior")</f>
        <v>Mid-Level</v>
      </c>
    </row>
    <row r="147" spans="1:22" ht="14.25" customHeight="1" x14ac:dyDescent="0.3">
      <c r="A147" t="s">
        <v>438</v>
      </c>
      <c r="B147" t="s">
        <v>439</v>
      </c>
      <c r="C147" t="s">
        <v>32</v>
      </c>
      <c r="D147" t="s">
        <v>33</v>
      </c>
      <c r="E147">
        <v>21</v>
      </c>
      <c r="F147">
        <v>25000</v>
      </c>
      <c r="G147">
        <v>0</v>
      </c>
      <c r="H147" t="s">
        <v>440</v>
      </c>
      <c r="I147" t="s">
        <v>80</v>
      </c>
      <c r="J147" t="s">
        <v>28</v>
      </c>
      <c r="K147" t="s">
        <v>29</v>
      </c>
      <c r="L147" t="str">
        <f t="array" ref="L147">_xlfn.IFS(HR_Data[[#This Row],[Experience]]&lt;2,"0-2 Years",HR_Data[[#This Row],[Experience]]&lt;5,"2-5 Years",HR_Data[[#This Row],[Experience]]&lt;10,"5-10 Years",TRUE(),"10+ Years")</f>
        <v>0-2 Years</v>
      </c>
      <c r="M147" t="str">
        <f t="array" ref="M147">_xlfn.IFS(HR_Data[[#This Row],[Salary]]&lt;40000,"Low",HR_Data[[#This Row],[Salary]]&lt;70000,"Medium",HR_Data[[#This Row],[Salary]]&lt;100000,"High",TRUE(),"Very High")</f>
        <v>Low</v>
      </c>
      <c r="N147" t="str">
        <f t="array" ref="N147">_xlfn.IFS(HR_Data[[#This Row],[Age]]&lt;25,"18-24",HR_Data[[#This Row],[Age]]&lt;35,"25-34",HR_Data[[#This Row],[Age]]&lt;45,"35-44",TRUE(),"45+")</f>
        <v>18-24</v>
      </c>
      <c r="O147">
        <f>YEAR(HR_Data[[#This Row],[Joining Date]])</f>
        <v>2020</v>
      </c>
      <c r="P147" t="str">
        <f>TEXT(HR_Data[[#This Row],[Joining Date]],"mmmm")</f>
        <v>September</v>
      </c>
      <c r="Q147">
        <f t="array" ref="Q14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147">
        <f>HR_Data[[#This Row],[Salary]]*HR_Data[[#This Row],[Bonus %]]</f>
        <v>3750</v>
      </c>
      <c r="S147">
        <f>HR_Data[[#This Row],[Salary]]+HR_Data[[#This Row],[Bonus Amount]]</f>
        <v>28750</v>
      </c>
      <c r="T147" t="str">
        <f>IF(HR_Data[[#This Row],[Attrition]]="Yes","Inactive","Active")</f>
        <v>Active</v>
      </c>
      <c r="U147" t="str">
        <f t="array" ref="U147">_xlfn.IFS(HR_Data[[#This Row],[Salary]]&gt;=100000,"A",HR_Data[[#This Row],[Salary]]&gt;=70000,"B",HR_Data[[#This Row],[Salary]]&gt;=50000,"C",TRUE(),"D")</f>
        <v>D</v>
      </c>
      <c r="V147" t="str">
        <f t="array" ref="V147">_xlfn.IFS(HR_Data[[#This Row],[Experience]]&gt;=15,"Expert",HR_Data[[#This Row],[Experience]]&gt;=8,"Senior",HR_Data[[#This Row],[Experience]]&gt;=3,"Mid-Level",TRUE(),"Junior")</f>
        <v>Junior</v>
      </c>
    </row>
    <row r="148" spans="1:22" ht="14.25" customHeight="1" x14ac:dyDescent="0.3">
      <c r="A148" t="s">
        <v>441</v>
      </c>
      <c r="B148" t="s">
        <v>390</v>
      </c>
      <c r="C148" t="s">
        <v>40</v>
      </c>
      <c r="D148" t="s">
        <v>33</v>
      </c>
      <c r="E148">
        <v>38</v>
      </c>
      <c r="F148">
        <v>68992</v>
      </c>
      <c r="G148">
        <v>15</v>
      </c>
      <c r="H148" t="s">
        <v>442</v>
      </c>
      <c r="I148" t="s">
        <v>35</v>
      </c>
      <c r="J148" t="s">
        <v>28</v>
      </c>
      <c r="K148" t="s">
        <v>29</v>
      </c>
      <c r="L148" t="str">
        <f t="array" ref="L148">_xlfn.IFS(HR_Data[[#This Row],[Experience]]&lt;2,"0-2 Years",HR_Data[[#This Row],[Experience]]&lt;5,"2-5 Years",HR_Data[[#This Row],[Experience]]&lt;10,"5-10 Years",TRUE(),"10+ Years")</f>
        <v>10+ Years</v>
      </c>
      <c r="M148" t="str">
        <f t="array" ref="M148">_xlfn.IFS(HR_Data[[#This Row],[Salary]]&lt;40000,"Low",HR_Data[[#This Row],[Salary]]&lt;70000,"Medium",HR_Data[[#This Row],[Salary]]&lt;100000,"High",TRUE(),"Very High")</f>
        <v>Medium</v>
      </c>
      <c r="N148" t="str">
        <f t="array" ref="N148">_xlfn.IFS(HR_Data[[#This Row],[Age]]&lt;25,"18-24",HR_Data[[#This Row],[Age]]&lt;35,"25-34",HR_Data[[#This Row],[Age]]&lt;45,"35-44",TRUE(),"45+")</f>
        <v>35-44</v>
      </c>
      <c r="O148">
        <f>YEAR(HR_Data[[#This Row],[Joining Date]])</f>
        <v>2016</v>
      </c>
      <c r="P148" t="str">
        <f>TEXT(HR_Data[[#This Row],[Joining Date]],"mmmm")</f>
        <v>January</v>
      </c>
      <c r="Q148">
        <f t="array" ref="Q148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148">
        <f>HR_Data[[#This Row],[Salary]]*HR_Data[[#This Row],[Bonus %]]</f>
        <v>10348.799999999999</v>
      </c>
      <c r="S148">
        <f>HR_Data[[#This Row],[Salary]]+HR_Data[[#This Row],[Bonus Amount]]</f>
        <v>79340.800000000003</v>
      </c>
      <c r="T148" t="str">
        <f>IF(HR_Data[[#This Row],[Attrition]]="Yes","Inactive","Active")</f>
        <v>Active</v>
      </c>
      <c r="U148" t="str">
        <f t="array" ref="U148">_xlfn.IFS(HR_Data[[#This Row],[Salary]]&gt;=100000,"A",HR_Data[[#This Row],[Salary]]&gt;=70000,"B",HR_Data[[#This Row],[Salary]]&gt;=50000,"C",TRUE(),"D")</f>
        <v>C</v>
      </c>
      <c r="V148" t="str">
        <f t="array" ref="V148">_xlfn.IFS(HR_Data[[#This Row],[Experience]]&gt;=15,"Expert",HR_Data[[#This Row],[Experience]]&gt;=8,"Senior",HR_Data[[#This Row],[Experience]]&gt;=3,"Mid-Level",TRUE(),"Junior")</f>
        <v>Expert</v>
      </c>
    </row>
    <row r="149" spans="1:22" ht="14.25" customHeight="1" x14ac:dyDescent="0.3">
      <c r="A149" t="s">
        <v>443</v>
      </c>
      <c r="B149" t="s">
        <v>444</v>
      </c>
      <c r="C149" t="s">
        <v>55</v>
      </c>
      <c r="D149" t="s">
        <v>33</v>
      </c>
      <c r="E149">
        <v>53</v>
      </c>
      <c r="F149">
        <v>142687</v>
      </c>
      <c r="G149">
        <v>34</v>
      </c>
      <c r="H149" t="s">
        <v>445</v>
      </c>
      <c r="I149" t="s">
        <v>72</v>
      </c>
      <c r="J149" t="s">
        <v>36</v>
      </c>
      <c r="K149" t="s">
        <v>29</v>
      </c>
      <c r="L149" t="str">
        <f t="array" ref="L149">_xlfn.IFS(HR_Data[[#This Row],[Experience]]&lt;2,"0-2 Years",HR_Data[[#This Row],[Experience]]&lt;5,"2-5 Years",HR_Data[[#This Row],[Experience]]&lt;10,"5-10 Years",TRUE(),"10+ Years")</f>
        <v>10+ Years</v>
      </c>
      <c r="M149" t="str">
        <f t="array" ref="M149">_xlfn.IFS(HR_Data[[#This Row],[Salary]]&lt;40000,"Low",HR_Data[[#This Row],[Salary]]&lt;70000,"Medium",HR_Data[[#This Row],[Salary]]&lt;100000,"High",TRUE(),"Very High")</f>
        <v>Very High</v>
      </c>
      <c r="N149" t="str">
        <f t="array" ref="N149">_xlfn.IFS(HR_Data[[#This Row],[Age]]&lt;25,"18-24",HR_Data[[#This Row],[Age]]&lt;35,"25-34",HR_Data[[#This Row],[Age]]&lt;45,"35-44",TRUE(),"45+")</f>
        <v>45+</v>
      </c>
      <c r="O149">
        <f>YEAR(HR_Data[[#This Row],[Joining Date]])</f>
        <v>2020</v>
      </c>
      <c r="P149" t="str">
        <f>TEXT(HR_Data[[#This Row],[Joining Date]],"mmmm")</f>
        <v>June</v>
      </c>
      <c r="Q149">
        <f t="array" ref="Q14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49">
        <f>HR_Data[[#This Row],[Salary]]*HR_Data[[#This Row],[Bonus %]]</f>
        <v>14268.7</v>
      </c>
      <c r="S149">
        <f>HR_Data[[#This Row],[Salary]]+HR_Data[[#This Row],[Bonus Amount]]</f>
        <v>156955.70000000001</v>
      </c>
      <c r="T149" t="str">
        <f>IF(HR_Data[[#This Row],[Attrition]]="Yes","Inactive","Active")</f>
        <v>Active</v>
      </c>
      <c r="U149" t="str">
        <f t="array" ref="U149">_xlfn.IFS(HR_Data[[#This Row],[Salary]]&gt;=100000,"A",HR_Data[[#This Row],[Salary]]&gt;=70000,"B",HR_Data[[#This Row],[Salary]]&gt;=50000,"C",TRUE(),"D")</f>
        <v>A</v>
      </c>
      <c r="V149" t="str">
        <f t="array" ref="V149">_xlfn.IFS(HR_Data[[#This Row],[Experience]]&gt;=15,"Expert",HR_Data[[#This Row],[Experience]]&gt;=8,"Senior",HR_Data[[#This Row],[Experience]]&gt;=3,"Mid-Level",TRUE(),"Junior")</f>
        <v>Expert</v>
      </c>
    </row>
    <row r="150" spans="1:22" ht="14.25" customHeight="1" x14ac:dyDescent="0.3">
      <c r="A150" t="s">
        <v>446</v>
      </c>
      <c r="B150" t="s">
        <v>447</v>
      </c>
      <c r="C150" t="s">
        <v>75</v>
      </c>
      <c r="D150" t="s">
        <v>33</v>
      </c>
      <c r="E150">
        <v>47</v>
      </c>
      <c r="F150">
        <v>103005</v>
      </c>
      <c r="G150">
        <v>26</v>
      </c>
      <c r="H150" t="s">
        <v>448</v>
      </c>
      <c r="I150" t="s">
        <v>62</v>
      </c>
      <c r="J150" t="s">
        <v>63</v>
      </c>
      <c r="K150" t="s">
        <v>29</v>
      </c>
      <c r="L150" t="str">
        <f t="array" ref="L150">_xlfn.IFS(HR_Data[[#This Row],[Experience]]&lt;2,"0-2 Years",HR_Data[[#This Row],[Experience]]&lt;5,"2-5 Years",HR_Data[[#This Row],[Experience]]&lt;10,"5-10 Years",TRUE(),"10+ Years")</f>
        <v>10+ Years</v>
      </c>
      <c r="M150" t="str">
        <f t="array" ref="M150">_xlfn.IFS(HR_Data[[#This Row],[Salary]]&lt;40000,"Low",HR_Data[[#This Row],[Salary]]&lt;70000,"Medium",HR_Data[[#This Row],[Salary]]&lt;100000,"High",TRUE(),"Very High")</f>
        <v>Very High</v>
      </c>
      <c r="N150" t="str">
        <f t="array" ref="N150">_xlfn.IFS(HR_Data[[#This Row],[Age]]&lt;25,"18-24",HR_Data[[#This Row],[Age]]&lt;35,"25-34",HR_Data[[#This Row],[Age]]&lt;45,"35-44",TRUE(),"45+")</f>
        <v>45+</v>
      </c>
      <c r="O150">
        <f>YEAR(HR_Data[[#This Row],[Joining Date]])</f>
        <v>2023</v>
      </c>
      <c r="P150" t="str">
        <f>TEXT(HR_Data[[#This Row],[Joining Date]],"mmmm")</f>
        <v>February</v>
      </c>
      <c r="Q150">
        <f t="array" ref="Q150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150">
        <f>HR_Data[[#This Row],[Salary]]*HR_Data[[#This Row],[Bonus %]]</f>
        <v>20601</v>
      </c>
      <c r="S150">
        <f>HR_Data[[#This Row],[Salary]]+HR_Data[[#This Row],[Bonus Amount]]</f>
        <v>123606</v>
      </c>
      <c r="T150" t="str">
        <f>IF(HR_Data[[#This Row],[Attrition]]="Yes","Inactive","Active")</f>
        <v>Active</v>
      </c>
      <c r="U150" t="str">
        <f t="array" ref="U150">_xlfn.IFS(HR_Data[[#This Row],[Salary]]&gt;=100000,"A",HR_Data[[#This Row],[Salary]]&gt;=70000,"B",HR_Data[[#This Row],[Salary]]&gt;=50000,"C",TRUE(),"D")</f>
        <v>A</v>
      </c>
      <c r="V150" t="str">
        <f t="array" ref="V150">_xlfn.IFS(HR_Data[[#This Row],[Experience]]&gt;=15,"Expert",HR_Data[[#This Row],[Experience]]&gt;=8,"Senior",HR_Data[[#This Row],[Experience]]&gt;=3,"Mid-Level",TRUE(),"Junior")</f>
        <v>Expert</v>
      </c>
    </row>
    <row r="151" spans="1:22" ht="14.25" customHeight="1" x14ac:dyDescent="0.3">
      <c r="A151" t="s">
        <v>449</v>
      </c>
      <c r="B151" t="s">
        <v>433</v>
      </c>
      <c r="C151" t="s">
        <v>60</v>
      </c>
      <c r="D151" t="s">
        <v>33</v>
      </c>
      <c r="E151">
        <v>49</v>
      </c>
      <c r="F151">
        <v>125677</v>
      </c>
      <c r="G151">
        <v>30</v>
      </c>
      <c r="H151" t="s">
        <v>450</v>
      </c>
      <c r="I151" t="s">
        <v>72</v>
      </c>
      <c r="J151" t="s">
        <v>28</v>
      </c>
      <c r="K151" t="s">
        <v>37</v>
      </c>
      <c r="L151" t="str">
        <f t="array" ref="L151">_xlfn.IFS(HR_Data[[#This Row],[Experience]]&lt;2,"0-2 Years",HR_Data[[#This Row],[Experience]]&lt;5,"2-5 Years",HR_Data[[#This Row],[Experience]]&lt;10,"5-10 Years",TRUE(),"10+ Years")</f>
        <v>10+ Years</v>
      </c>
      <c r="M151" t="str">
        <f t="array" ref="M151">_xlfn.IFS(HR_Data[[#This Row],[Salary]]&lt;40000,"Low",HR_Data[[#This Row],[Salary]]&lt;70000,"Medium",HR_Data[[#This Row],[Salary]]&lt;100000,"High",TRUE(),"Very High")</f>
        <v>Very High</v>
      </c>
      <c r="N151" t="str">
        <f t="array" ref="N151">_xlfn.IFS(HR_Data[[#This Row],[Age]]&lt;25,"18-24",HR_Data[[#This Row],[Age]]&lt;35,"25-34",HR_Data[[#This Row],[Age]]&lt;45,"35-44",TRUE(),"45+")</f>
        <v>45+</v>
      </c>
      <c r="O151">
        <f>YEAR(HR_Data[[#This Row],[Joining Date]])</f>
        <v>2023</v>
      </c>
      <c r="P151" t="str">
        <f>TEXT(HR_Data[[#This Row],[Joining Date]],"mmmm")</f>
        <v>May</v>
      </c>
      <c r="Q151">
        <f t="array" ref="Q151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151">
        <f>HR_Data[[#This Row],[Salary]]*HR_Data[[#This Row],[Bonus %]]</f>
        <v>18851.55</v>
      </c>
      <c r="S151">
        <f>HR_Data[[#This Row],[Salary]]+HR_Data[[#This Row],[Bonus Amount]]</f>
        <v>144528.54999999999</v>
      </c>
      <c r="T151" t="str">
        <f>IF(HR_Data[[#This Row],[Attrition]]="Yes","Inactive","Active")</f>
        <v>Inactive</v>
      </c>
      <c r="U151" t="str">
        <f t="array" ref="U151">_xlfn.IFS(HR_Data[[#This Row],[Salary]]&gt;=100000,"A",HR_Data[[#This Row],[Salary]]&gt;=70000,"B",HR_Data[[#This Row],[Salary]]&gt;=50000,"C",TRUE(),"D")</f>
        <v>A</v>
      </c>
      <c r="V151" t="str">
        <f t="array" ref="V151">_xlfn.IFS(HR_Data[[#This Row],[Experience]]&gt;=15,"Expert",HR_Data[[#This Row],[Experience]]&gt;=8,"Senior",HR_Data[[#This Row],[Experience]]&gt;=3,"Mid-Level",TRUE(),"Junior")</f>
        <v>Expert</v>
      </c>
    </row>
    <row r="152" spans="1:22" ht="14.25" customHeight="1" x14ac:dyDescent="0.3">
      <c r="A152" t="s">
        <v>451</v>
      </c>
      <c r="B152" t="s">
        <v>398</v>
      </c>
      <c r="C152" t="s">
        <v>93</v>
      </c>
      <c r="D152" t="s">
        <v>33</v>
      </c>
      <c r="E152">
        <v>42</v>
      </c>
      <c r="F152">
        <v>85652</v>
      </c>
      <c r="G152">
        <v>21</v>
      </c>
      <c r="H152" t="s">
        <v>452</v>
      </c>
      <c r="I152" t="s">
        <v>132</v>
      </c>
      <c r="J152" t="s">
        <v>36</v>
      </c>
      <c r="K152" t="s">
        <v>29</v>
      </c>
      <c r="L152" t="str">
        <f t="array" ref="L152">_xlfn.IFS(HR_Data[[#This Row],[Experience]]&lt;2,"0-2 Years",HR_Data[[#This Row],[Experience]]&lt;5,"2-5 Years",HR_Data[[#This Row],[Experience]]&lt;10,"5-10 Years",TRUE(),"10+ Years")</f>
        <v>10+ Years</v>
      </c>
      <c r="M152" t="str">
        <f t="array" ref="M152">_xlfn.IFS(HR_Data[[#This Row],[Salary]]&lt;40000,"Low",HR_Data[[#This Row],[Salary]]&lt;70000,"Medium",HR_Data[[#This Row],[Salary]]&lt;100000,"High",TRUE(),"Very High")</f>
        <v>High</v>
      </c>
      <c r="N152" t="str">
        <f t="array" ref="N152">_xlfn.IFS(HR_Data[[#This Row],[Age]]&lt;25,"18-24",HR_Data[[#This Row],[Age]]&lt;35,"25-34",HR_Data[[#This Row],[Age]]&lt;45,"35-44",TRUE(),"45+")</f>
        <v>35-44</v>
      </c>
      <c r="O152">
        <f>YEAR(HR_Data[[#This Row],[Joining Date]])</f>
        <v>2022</v>
      </c>
      <c r="P152" t="str">
        <f>TEXT(HR_Data[[#This Row],[Joining Date]],"mmmm")</f>
        <v>November</v>
      </c>
      <c r="Q152">
        <f t="array" ref="Q15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52">
        <f>HR_Data[[#This Row],[Salary]]*HR_Data[[#This Row],[Bonus %]]</f>
        <v>8565.2000000000007</v>
      </c>
      <c r="S152">
        <f>HR_Data[[#This Row],[Salary]]+HR_Data[[#This Row],[Bonus Amount]]</f>
        <v>94217.2</v>
      </c>
      <c r="T152" t="str">
        <f>IF(HR_Data[[#This Row],[Attrition]]="Yes","Inactive","Active")</f>
        <v>Active</v>
      </c>
      <c r="U152" t="str">
        <f t="array" ref="U152">_xlfn.IFS(HR_Data[[#This Row],[Salary]]&gt;=100000,"A",HR_Data[[#This Row],[Salary]]&gt;=70000,"B",HR_Data[[#This Row],[Salary]]&gt;=50000,"C",TRUE(),"D")</f>
        <v>B</v>
      </c>
      <c r="V152" t="str">
        <f t="array" ref="V152">_xlfn.IFS(HR_Data[[#This Row],[Experience]]&gt;=15,"Expert",HR_Data[[#This Row],[Experience]]&gt;=8,"Senior",HR_Data[[#This Row],[Experience]]&gt;=3,"Mid-Level",TRUE(),"Junior")</f>
        <v>Expert</v>
      </c>
    </row>
    <row r="153" spans="1:22" ht="14.25" customHeight="1" x14ac:dyDescent="0.3">
      <c r="A153" t="s">
        <v>453</v>
      </c>
      <c r="B153" t="s">
        <v>454</v>
      </c>
      <c r="C153" t="s">
        <v>55</v>
      </c>
      <c r="D153" t="s">
        <v>25</v>
      </c>
      <c r="E153">
        <v>34</v>
      </c>
      <c r="F153">
        <v>44797</v>
      </c>
      <c r="G153">
        <v>4</v>
      </c>
      <c r="H153" t="s">
        <v>455</v>
      </c>
      <c r="I153" t="s">
        <v>45</v>
      </c>
      <c r="J153" t="s">
        <v>28</v>
      </c>
      <c r="K153" t="s">
        <v>37</v>
      </c>
      <c r="L153" t="str">
        <f t="array" ref="L153">_xlfn.IFS(HR_Data[[#This Row],[Experience]]&lt;2,"0-2 Years",HR_Data[[#This Row],[Experience]]&lt;5,"2-5 Years",HR_Data[[#This Row],[Experience]]&lt;10,"5-10 Years",TRUE(),"10+ Years")</f>
        <v>2-5 Years</v>
      </c>
      <c r="M153" t="str">
        <f t="array" ref="M153">_xlfn.IFS(HR_Data[[#This Row],[Salary]]&lt;40000,"Low",HR_Data[[#This Row],[Salary]]&lt;70000,"Medium",HR_Data[[#This Row],[Salary]]&lt;100000,"High",TRUE(),"Very High")</f>
        <v>Medium</v>
      </c>
      <c r="N153" t="str">
        <f t="array" ref="N153">_xlfn.IFS(HR_Data[[#This Row],[Age]]&lt;25,"18-24",HR_Data[[#This Row],[Age]]&lt;35,"25-34",HR_Data[[#This Row],[Age]]&lt;45,"35-44",TRUE(),"45+")</f>
        <v>25-34</v>
      </c>
      <c r="O153">
        <f>YEAR(HR_Data[[#This Row],[Joining Date]])</f>
        <v>2015</v>
      </c>
      <c r="P153" t="str">
        <f>TEXT(HR_Data[[#This Row],[Joining Date]],"mmmm")</f>
        <v>October</v>
      </c>
      <c r="Q153">
        <f t="array" ref="Q15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153">
        <f>HR_Data[[#This Row],[Salary]]*HR_Data[[#This Row],[Bonus %]]</f>
        <v>6719.55</v>
      </c>
      <c r="S153">
        <f>HR_Data[[#This Row],[Salary]]+HR_Data[[#This Row],[Bonus Amount]]</f>
        <v>51516.55</v>
      </c>
      <c r="T153" t="str">
        <f>IF(HR_Data[[#This Row],[Attrition]]="Yes","Inactive","Active")</f>
        <v>Inactive</v>
      </c>
      <c r="U153" t="str">
        <f t="array" ref="U153">_xlfn.IFS(HR_Data[[#This Row],[Salary]]&gt;=100000,"A",HR_Data[[#This Row],[Salary]]&gt;=70000,"B",HR_Data[[#This Row],[Salary]]&gt;=50000,"C",TRUE(),"D")</f>
        <v>D</v>
      </c>
      <c r="V153" t="str">
        <f t="array" ref="V153">_xlfn.IFS(HR_Data[[#This Row],[Experience]]&gt;=15,"Expert",HR_Data[[#This Row],[Experience]]&gt;=8,"Senior",HR_Data[[#This Row],[Experience]]&gt;=3,"Mid-Level",TRUE(),"Junior")</f>
        <v>Mid-Level</v>
      </c>
    </row>
    <row r="154" spans="1:22" ht="14.25" customHeight="1" x14ac:dyDescent="0.3">
      <c r="A154" t="s">
        <v>456</v>
      </c>
      <c r="B154" t="s">
        <v>370</v>
      </c>
      <c r="C154" t="s">
        <v>112</v>
      </c>
      <c r="D154" t="s">
        <v>25</v>
      </c>
      <c r="E154">
        <v>52</v>
      </c>
      <c r="F154">
        <v>112512</v>
      </c>
      <c r="G154">
        <v>25</v>
      </c>
      <c r="H154" t="s">
        <v>457</v>
      </c>
      <c r="I154" t="s">
        <v>80</v>
      </c>
      <c r="J154" t="s">
        <v>63</v>
      </c>
      <c r="K154" t="s">
        <v>29</v>
      </c>
      <c r="L154" t="str">
        <f t="array" ref="L154">_xlfn.IFS(HR_Data[[#This Row],[Experience]]&lt;2,"0-2 Years",HR_Data[[#This Row],[Experience]]&lt;5,"2-5 Years",HR_Data[[#This Row],[Experience]]&lt;10,"5-10 Years",TRUE(),"10+ Years")</f>
        <v>10+ Years</v>
      </c>
      <c r="M154" t="str">
        <f t="array" ref="M154">_xlfn.IFS(HR_Data[[#This Row],[Salary]]&lt;40000,"Low",HR_Data[[#This Row],[Salary]]&lt;70000,"Medium",HR_Data[[#This Row],[Salary]]&lt;100000,"High",TRUE(),"Very High")</f>
        <v>Very High</v>
      </c>
      <c r="N154" t="str">
        <f t="array" ref="N154">_xlfn.IFS(HR_Data[[#This Row],[Age]]&lt;25,"18-24",HR_Data[[#This Row],[Age]]&lt;35,"25-34",HR_Data[[#This Row],[Age]]&lt;45,"35-44",TRUE(),"45+")</f>
        <v>45+</v>
      </c>
      <c r="O154">
        <f>YEAR(HR_Data[[#This Row],[Joining Date]])</f>
        <v>2020</v>
      </c>
      <c r="P154" t="str">
        <f>TEXT(HR_Data[[#This Row],[Joining Date]],"mmmm")</f>
        <v>September</v>
      </c>
      <c r="Q154">
        <f t="array" ref="Q154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154">
        <f>HR_Data[[#This Row],[Salary]]*HR_Data[[#This Row],[Bonus %]]</f>
        <v>22502.400000000001</v>
      </c>
      <c r="S154">
        <f>HR_Data[[#This Row],[Salary]]+HR_Data[[#This Row],[Bonus Amount]]</f>
        <v>135014.39999999999</v>
      </c>
      <c r="T154" t="str">
        <f>IF(HR_Data[[#This Row],[Attrition]]="Yes","Inactive","Active")</f>
        <v>Active</v>
      </c>
      <c r="U154" t="str">
        <f t="array" ref="U154">_xlfn.IFS(HR_Data[[#This Row],[Salary]]&gt;=100000,"A",HR_Data[[#This Row],[Salary]]&gt;=70000,"B",HR_Data[[#This Row],[Salary]]&gt;=50000,"C",TRUE(),"D")</f>
        <v>A</v>
      </c>
      <c r="V154" t="str">
        <f t="array" ref="V154">_xlfn.IFS(HR_Data[[#This Row],[Experience]]&gt;=15,"Expert",HR_Data[[#This Row],[Experience]]&gt;=8,"Senior",HR_Data[[#This Row],[Experience]]&gt;=3,"Mid-Level",TRUE(),"Junior")</f>
        <v>Expert</v>
      </c>
    </row>
    <row r="155" spans="1:22" ht="14.25" customHeight="1" x14ac:dyDescent="0.3">
      <c r="A155" t="s">
        <v>458</v>
      </c>
      <c r="B155" t="s">
        <v>155</v>
      </c>
      <c r="C155" t="s">
        <v>70</v>
      </c>
      <c r="D155" t="s">
        <v>25</v>
      </c>
      <c r="E155">
        <v>31</v>
      </c>
      <c r="F155">
        <v>53718</v>
      </c>
      <c r="G155">
        <v>7</v>
      </c>
      <c r="H155" t="s">
        <v>459</v>
      </c>
      <c r="I155" t="s">
        <v>35</v>
      </c>
      <c r="J155" t="s">
        <v>36</v>
      </c>
      <c r="K155" t="s">
        <v>29</v>
      </c>
      <c r="L155" t="str">
        <f t="array" ref="L155">_xlfn.IFS(HR_Data[[#This Row],[Experience]]&lt;2,"0-2 Years",HR_Data[[#This Row],[Experience]]&lt;5,"2-5 Years",HR_Data[[#This Row],[Experience]]&lt;10,"5-10 Years",TRUE(),"10+ Years")</f>
        <v>5-10 Years</v>
      </c>
      <c r="M155" t="str">
        <f t="array" ref="M155">_xlfn.IFS(HR_Data[[#This Row],[Salary]]&lt;40000,"Low",HR_Data[[#This Row],[Salary]]&lt;70000,"Medium",HR_Data[[#This Row],[Salary]]&lt;100000,"High",TRUE(),"Very High")</f>
        <v>Medium</v>
      </c>
      <c r="N155" t="str">
        <f t="array" ref="N155">_xlfn.IFS(HR_Data[[#This Row],[Age]]&lt;25,"18-24",HR_Data[[#This Row],[Age]]&lt;35,"25-34",HR_Data[[#This Row],[Age]]&lt;45,"35-44",TRUE(),"45+")</f>
        <v>25-34</v>
      </c>
      <c r="O155">
        <f>YEAR(HR_Data[[#This Row],[Joining Date]])</f>
        <v>2023</v>
      </c>
      <c r="P155" t="str">
        <f>TEXT(HR_Data[[#This Row],[Joining Date]],"mmmm")</f>
        <v>December</v>
      </c>
      <c r="Q155">
        <f t="array" ref="Q15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55">
        <f>HR_Data[[#This Row],[Salary]]*HR_Data[[#This Row],[Bonus %]]</f>
        <v>5371.8</v>
      </c>
      <c r="S155">
        <f>HR_Data[[#This Row],[Salary]]+HR_Data[[#This Row],[Bonus Amount]]</f>
        <v>59089.8</v>
      </c>
      <c r="T155" t="str">
        <f>IF(HR_Data[[#This Row],[Attrition]]="Yes","Inactive","Active")</f>
        <v>Active</v>
      </c>
      <c r="U155" t="str">
        <f t="array" ref="U155">_xlfn.IFS(HR_Data[[#This Row],[Salary]]&gt;=100000,"A",HR_Data[[#This Row],[Salary]]&gt;=70000,"B",HR_Data[[#This Row],[Salary]]&gt;=50000,"C",TRUE(),"D")</f>
        <v>C</v>
      </c>
      <c r="V155" t="str">
        <f t="array" ref="V155">_xlfn.IFS(HR_Data[[#This Row],[Experience]]&gt;=15,"Expert",HR_Data[[#This Row],[Experience]]&gt;=8,"Senior",HR_Data[[#This Row],[Experience]]&gt;=3,"Mid-Level",TRUE(),"Junior")</f>
        <v>Mid-Level</v>
      </c>
    </row>
    <row r="156" spans="1:22" ht="14.25" customHeight="1" x14ac:dyDescent="0.3">
      <c r="A156" t="s">
        <v>460</v>
      </c>
      <c r="B156" t="s">
        <v>412</v>
      </c>
      <c r="C156" t="s">
        <v>75</v>
      </c>
      <c r="D156" t="s">
        <v>25</v>
      </c>
      <c r="E156">
        <v>50</v>
      </c>
      <c r="F156">
        <v>99339</v>
      </c>
      <c r="G156">
        <v>23</v>
      </c>
      <c r="H156" t="s">
        <v>461</v>
      </c>
      <c r="I156" t="s">
        <v>67</v>
      </c>
      <c r="J156" t="s">
        <v>36</v>
      </c>
      <c r="K156" t="s">
        <v>37</v>
      </c>
      <c r="L156" t="str">
        <f t="array" ref="L156">_xlfn.IFS(HR_Data[[#This Row],[Experience]]&lt;2,"0-2 Years",HR_Data[[#This Row],[Experience]]&lt;5,"2-5 Years",HR_Data[[#This Row],[Experience]]&lt;10,"5-10 Years",TRUE(),"10+ Years")</f>
        <v>10+ Years</v>
      </c>
      <c r="M156" t="str">
        <f t="array" ref="M156">_xlfn.IFS(HR_Data[[#This Row],[Salary]]&lt;40000,"Low",HR_Data[[#This Row],[Salary]]&lt;70000,"Medium",HR_Data[[#This Row],[Salary]]&lt;100000,"High",TRUE(),"Very High")</f>
        <v>High</v>
      </c>
      <c r="N156" t="str">
        <f t="array" ref="N156">_xlfn.IFS(HR_Data[[#This Row],[Age]]&lt;25,"18-24",HR_Data[[#This Row],[Age]]&lt;35,"25-34",HR_Data[[#This Row],[Age]]&lt;45,"35-44",TRUE(),"45+")</f>
        <v>45+</v>
      </c>
      <c r="O156">
        <f>YEAR(HR_Data[[#This Row],[Joining Date]])</f>
        <v>2016</v>
      </c>
      <c r="P156" t="str">
        <f>TEXT(HR_Data[[#This Row],[Joining Date]],"mmmm")</f>
        <v>November</v>
      </c>
      <c r="Q156">
        <f t="array" ref="Q15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56">
        <f>HR_Data[[#This Row],[Salary]]*HR_Data[[#This Row],[Bonus %]]</f>
        <v>9933.9000000000015</v>
      </c>
      <c r="S156">
        <f>HR_Data[[#This Row],[Salary]]+HR_Data[[#This Row],[Bonus Amount]]</f>
        <v>109272.9</v>
      </c>
      <c r="T156" t="str">
        <f>IF(HR_Data[[#This Row],[Attrition]]="Yes","Inactive","Active")</f>
        <v>Inactive</v>
      </c>
      <c r="U156" t="str">
        <f t="array" ref="U156">_xlfn.IFS(HR_Data[[#This Row],[Salary]]&gt;=100000,"A",HR_Data[[#This Row],[Salary]]&gt;=70000,"B",HR_Data[[#This Row],[Salary]]&gt;=50000,"C",TRUE(),"D")</f>
        <v>B</v>
      </c>
      <c r="V156" t="str">
        <f t="array" ref="V156">_xlfn.IFS(HR_Data[[#This Row],[Experience]]&gt;=15,"Expert",HR_Data[[#This Row],[Experience]]&gt;=8,"Senior",HR_Data[[#This Row],[Experience]]&gt;=3,"Mid-Level",TRUE(),"Junior")</f>
        <v>Expert</v>
      </c>
    </row>
    <row r="157" spans="1:22" ht="14.25" customHeight="1" x14ac:dyDescent="0.3">
      <c r="A157" t="s">
        <v>462</v>
      </c>
      <c r="B157" t="s">
        <v>319</v>
      </c>
      <c r="C157" t="s">
        <v>93</v>
      </c>
      <c r="D157" t="s">
        <v>25</v>
      </c>
      <c r="E157">
        <v>26</v>
      </c>
      <c r="F157">
        <v>46945</v>
      </c>
      <c r="G157">
        <v>6</v>
      </c>
      <c r="H157" t="s">
        <v>463</v>
      </c>
      <c r="I157" t="s">
        <v>35</v>
      </c>
      <c r="J157" t="s">
        <v>28</v>
      </c>
      <c r="K157" t="s">
        <v>29</v>
      </c>
      <c r="L157" t="str">
        <f t="array" ref="L157">_xlfn.IFS(HR_Data[[#This Row],[Experience]]&lt;2,"0-2 Years",HR_Data[[#This Row],[Experience]]&lt;5,"2-5 Years",HR_Data[[#This Row],[Experience]]&lt;10,"5-10 Years",TRUE(),"10+ Years")</f>
        <v>5-10 Years</v>
      </c>
      <c r="M157" t="str">
        <f t="array" ref="M157">_xlfn.IFS(HR_Data[[#This Row],[Salary]]&lt;40000,"Low",HR_Data[[#This Row],[Salary]]&lt;70000,"Medium",HR_Data[[#This Row],[Salary]]&lt;100000,"High",TRUE(),"Very High")</f>
        <v>Medium</v>
      </c>
      <c r="N157" t="str">
        <f t="array" ref="N157">_xlfn.IFS(HR_Data[[#This Row],[Age]]&lt;25,"18-24",HR_Data[[#This Row],[Age]]&lt;35,"25-34",HR_Data[[#This Row],[Age]]&lt;45,"35-44",TRUE(),"45+")</f>
        <v>25-34</v>
      </c>
      <c r="O157">
        <f>YEAR(HR_Data[[#This Row],[Joining Date]])</f>
        <v>2021</v>
      </c>
      <c r="P157" t="str">
        <f>TEXT(HR_Data[[#This Row],[Joining Date]],"mmmm")</f>
        <v>August</v>
      </c>
      <c r="Q157">
        <f t="array" ref="Q15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157">
        <f>HR_Data[[#This Row],[Salary]]*HR_Data[[#This Row],[Bonus %]]</f>
        <v>7041.75</v>
      </c>
      <c r="S157">
        <f>HR_Data[[#This Row],[Salary]]+HR_Data[[#This Row],[Bonus Amount]]</f>
        <v>53986.75</v>
      </c>
      <c r="T157" t="str">
        <f>IF(HR_Data[[#This Row],[Attrition]]="Yes","Inactive","Active")</f>
        <v>Active</v>
      </c>
      <c r="U157" t="str">
        <f t="array" ref="U157">_xlfn.IFS(HR_Data[[#This Row],[Salary]]&gt;=100000,"A",HR_Data[[#This Row],[Salary]]&gt;=70000,"B",HR_Data[[#This Row],[Salary]]&gt;=50000,"C",TRUE(),"D")</f>
        <v>D</v>
      </c>
      <c r="V157" t="str">
        <f t="array" ref="V157">_xlfn.IFS(HR_Data[[#This Row],[Experience]]&gt;=15,"Expert",HR_Data[[#This Row],[Experience]]&gt;=8,"Senior",HR_Data[[#This Row],[Experience]]&gt;=3,"Mid-Level",TRUE(),"Junior")</f>
        <v>Mid-Level</v>
      </c>
    </row>
    <row r="158" spans="1:22" ht="14.25" customHeight="1" x14ac:dyDescent="0.3">
      <c r="A158" t="s">
        <v>464</v>
      </c>
      <c r="B158" t="s">
        <v>465</v>
      </c>
      <c r="C158" t="s">
        <v>32</v>
      </c>
      <c r="D158" t="s">
        <v>25</v>
      </c>
      <c r="E158">
        <v>32</v>
      </c>
      <c r="F158">
        <v>34952</v>
      </c>
      <c r="G158">
        <v>2</v>
      </c>
      <c r="H158" t="s">
        <v>466</v>
      </c>
      <c r="I158" t="s">
        <v>45</v>
      </c>
      <c r="J158" t="s">
        <v>28</v>
      </c>
      <c r="K158" t="s">
        <v>29</v>
      </c>
      <c r="L158" t="str">
        <f t="array" ref="L158">_xlfn.IFS(HR_Data[[#This Row],[Experience]]&lt;2,"0-2 Years",HR_Data[[#This Row],[Experience]]&lt;5,"2-5 Years",HR_Data[[#This Row],[Experience]]&lt;10,"5-10 Years",TRUE(),"10+ Years")</f>
        <v>2-5 Years</v>
      </c>
      <c r="M158" t="str">
        <f t="array" ref="M158">_xlfn.IFS(HR_Data[[#This Row],[Salary]]&lt;40000,"Low",HR_Data[[#This Row],[Salary]]&lt;70000,"Medium",HR_Data[[#This Row],[Salary]]&lt;100000,"High",TRUE(),"Very High")</f>
        <v>Low</v>
      </c>
      <c r="N158" t="str">
        <f t="array" ref="N158">_xlfn.IFS(HR_Data[[#This Row],[Age]]&lt;25,"18-24",HR_Data[[#This Row],[Age]]&lt;35,"25-34",HR_Data[[#This Row],[Age]]&lt;45,"35-44",TRUE(),"45+")</f>
        <v>25-34</v>
      </c>
      <c r="O158">
        <f>YEAR(HR_Data[[#This Row],[Joining Date]])</f>
        <v>2024</v>
      </c>
      <c r="P158" t="str">
        <f>TEXT(HR_Data[[#This Row],[Joining Date]],"mmmm")</f>
        <v>October</v>
      </c>
      <c r="Q158">
        <f t="array" ref="Q158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158">
        <f>HR_Data[[#This Row],[Salary]]*HR_Data[[#This Row],[Bonus %]]</f>
        <v>5242.8</v>
      </c>
      <c r="S158">
        <f>HR_Data[[#This Row],[Salary]]+HR_Data[[#This Row],[Bonus Amount]]</f>
        <v>40194.800000000003</v>
      </c>
      <c r="T158" t="str">
        <f>IF(HR_Data[[#This Row],[Attrition]]="Yes","Inactive","Active")</f>
        <v>Active</v>
      </c>
      <c r="U158" t="str">
        <f t="array" ref="U158">_xlfn.IFS(HR_Data[[#This Row],[Salary]]&gt;=100000,"A",HR_Data[[#This Row],[Salary]]&gt;=70000,"B",HR_Data[[#This Row],[Salary]]&gt;=50000,"C",TRUE(),"D")</f>
        <v>D</v>
      </c>
      <c r="V158" t="str">
        <f t="array" ref="V158">_xlfn.IFS(HR_Data[[#This Row],[Experience]]&gt;=15,"Expert",HR_Data[[#This Row],[Experience]]&gt;=8,"Senior",HR_Data[[#This Row],[Experience]]&gt;=3,"Mid-Level",TRUE(),"Junior")</f>
        <v>Junior</v>
      </c>
    </row>
    <row r="159" spans="1:22" ht="14.25" customHeight="1" x14ac:dyDescent="0.3">
      <c r="A159" t="s">
        <v>467</v>
      </c>
      <c r="B159" t="s">
        <v>468</v>
      </c>
      <c r="C159" t="s">
        <v>32</v>
      </c>
      <c r="D159" t="s">
        <v>33</v>
      </c>
      <c r="E159">
        <v>29</v>
      </c>
      <c r="F159">
        <v>53678</v>
      </c>
      <c r="G159">
        <v>10</v>
      </c>
      <c r="H159" t="s">
        <v>469</v>
      </c>
      <c r="I159" t="s">
        <v>72</v>
      </c>
      <c r="J159" t="s">
        <v>63</v>
      </c>
      <c r="K159" t="s">
        <v>37</v>
      </c>
      <c r="L159" t="str">
        <f t="array" ref="L159">_xlfn.IFS(HR_Data[[#This Row],[Experience]]&lt;2,"0-2 Years",HR_Data[[#This Row],[Experience]]&lt;5,"2-5 Years",HR_Data[[#This Row],[Experience]]&lt;10,"5-10 Years",TRUE(),"10+ Years")</f>
        <v>10+ Years</v>
      </c>
      <c r="M159" t="str">
        <f t="array" ref="M159">_xlfn.IFS(HR_Data[[#This Row],[Salary]]&lt;40000,"Low",HR_Data[[#This Row],[Salary]]&lt;70000,"Medium",HR_Data[[#This Row],[Salary]]&lt;100000,"High",TRUE(),"Very High")</f>
        <v>Medium</v>
      </c>
      <c r="N159" t="str">
        <f t="array" ref="N159">_xlfn.IFS(HR_Data[[#This Row],[Age]]&lt;25,"18-24",HR_Data[[#This Row],[Age]]&lt;35,"25-34",HR_Data[[#This Row],[Age]]&lt;45,"35-44",TRUE(),"45+")</f>
        <v>25-34</v>
      </c>
      <c r="O159">
        <f>YEAR(HR_Data[[#This Row],[Joining Date]])</f>
        <v>2024</v>
      </c>
      <c r="P159" t="str">
        <f>TEXT(HR_Data[[#This Row],[Joining Date]],"mmmm")</f>
        <v>October</v>
      </c>
      <c r="Q159">
        <f t="array" ref="Q159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159">
        <f>HR_Data[[#This Row],[Salary]]*HR_Data[[#This Row],[Bonus %]]</f>
        <v>10735.6</v>
      </c>
      <c r="S159">
        <f>HR_Data[[#This Row],[Salary]]+HR_Data[[#This Row],[Bonus Amount]]</f>
        <v>64413.599999999999</v>
      </c>
      <c r="T159" t="str">
        <f>IF(HR_Data[[#This Row],[Attrition]]="Yes","Inactive","Active")</f>
        <v>Inactive</v>
      </c>
      <c r="U159" t="str">
        <f t="array" ref="U159">_xlfn.IFS(HR_Data[[#This Row],[Salary]]&gt;=100000,"A",HR_Data[[#This Row],[Salary]]&gt;=70000,"B",HR_Data[[#This Row],[Salary]]&gt;=50000,"C",TRUE(),"D")</f>
        <v>C</v>
      </c>
      <c r="V159" t="str">
        <f t="array" ref="V159">_xlfn.IFS(HR_Data[[#This Row],[Experience]]&gt;=15,"Expert",HR_Data[[#This Row],[Experience]]&gt;=8,"Senior",HR_Data[[#This Row],[Experience]]&gt;=3,"Mid-Level",TRUE(),"Junior")</f>
        <v>Senior</v>
      </c>
    </row>
    <row r="160" spans="1:22" ht="14.25" customHeight="1" x14ac:dyDescent="0.3">
      <c r="A160" t="s">
        <v>470</v>
      </c>
      <c r="B160" t="s">
        <v>471</v>
      </c>
      <c r="C160" t="s">
        <v>75</v>
      </c>
      <c r="D160" t="s">
        <v>25</v>
      </c>
      <c r="E160">
        <v>38</v>
      </c>
      <c r="F160">
        <v>60543</v>
      </c>
      <c r="G160">
        <v>9</v>
      </c>
      <c r="H160" t="s">
        <v>472</v>
      </c>
      <c r="I160" t="s">
        <v>62</v>
      </c>
      <c r="J160" t="s">
        <v>28</v>
      </c>
      <c r="K160" t="s">
        <v>29</v>
      </c>
      <c r="L160" t="str">
        <f t="array" ref="L160">_xlfn.IFS(HR_Data[[#This Row],[Experience]]&lt;2,"0-2 Years",HR_Data[[#This Row],[Experience]]&lt;5,"2-5 Years",HR_Data[[#This Row],[Experience]]&lt;10,"5-10 Years",TRUE(),"10+ Years")</f>
        <v>5-10 Years</v>
      </c>
      <c r="M160" t="str">
        <f t="array" ref="M160">_xlfn.IFS(HR_Data[[#This Row],[Salary]]&lt;40000,"Low",HR_Data[[#This Row],[Salary]]&lt;70000,"Medium",HR_Data[[#This Row],[Salary]]&lt;100000,"High",TRUE(),"Very High")</f>
        <v>Medium</v>
      </c>
      <c r="N160" t="str">
        <f t="array" ref="N160">_xlfn.IFS(HR_Data[[#This Row],[Age]]&lt;25,"18-24",HR_Data[[#This Row],[Age]]&lt;35,"25-34",HR_Data[[#This Row],[Age]]&lt;45,"35-44",TRUE(),"45+")</f>
        <v>35-44</v>
      </c>
      <c r="O160">
        <f>YEAR(HR_Data[[#This Row],[Joining Date]])</f>
        <v>2023</v>
      </c>
      <c r="P160" t="str">
        <f>TEXT(HR_Data[[#This Row],[Joining Date]],"mmmm")</f>
        <v>April</v>
      </c>
      <c r="Q160">
        <f t="array" ref="Q160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160">
        <f>HR_Data[[#This Row],[Salary]]*HR_Data[[#This Row],[Bonus %]]</f>
        <v>9081.4499999999989</v>
      </c>
      <c r="S160">
        <f>HR_Data[[#This Row],[Salary]]+HR_Data[[#This Row],[Bonus Amount]]</f>
        <v>69624.45</v>
      </c>
      <c r="T160" t="str">
        <f>IF(HR_Data[[#This Row],[Attrition]]="Yes","Inactive","Active")</f>
        <v>Active</v>
      </c>
      <c r="U160" t="str">
        <f t="array" ref="U160">_xlfn.IFS(HR_Data[[#This Row],[Salary]]&gt;=100000,"A",HR_Data[[#This Row],[Salary]]&gt;=70000,"B",HR_Data[[#This Row],[Salary]]&gt;=50000,"C",TRUE(),"D")</f>
        <v>C</v>
      </c>
      <c r="V160" t="str">
        <f t="array" ref="V160">_xlfn.IFS(HR_Data[[#This Row],[Experience]]&gt;=15,"Expert",HR_Data[[#This Row],[Experience]]&gt;=8,"Senior",HR_Data[[#This Row],[Experience]]&gt;=3,"Mid-Level",TRUE(),"Junior")</f>
        <v>Senior</v>
      </c>
    </row>
    <row r="161" spans="1:22" ht="14.25" customHeight="1" x14ac:dyDescent="0.3">
      <c r="A161" t="s">
        <v>473</v>
      </c>
      <c r="B161" t="s">
        <v>398</v>
      </c>
      <c r="C161" t="s">
        <v>75</v>
      </c>
      <c r="D161" t="s">
        <v>25</v>
      </c>
      <c r="E161">
        <v>49</v>
      </c>
      <c r="F161">
        <v>90132</v>
      </c>
      <c r="G161">
        <v>20</v>
      </c>
      <c r="H161" t="s">
        <v>474</v>
      </c>
      <c r="I161" t="s">
        <v>45</v>
      </c>
      <c r="J161" t="s">
        <v>90</v>
      </c>
      <c r="K161" t="s">
        <v>37</v>
      </c>
      <c r="L161" t="str">
        <f t="array" ref="L161">_xlfn.IFS(HR_Data[[#This Row],[Experience]]&lt;2,"0-2 Years",HR_Data[[#This Row],[Experience]]&lt;5,"2-5 Years",HR_Data[[#This Row],[Experience]]&lt;10,"5-10 Years",TRUE(),"10+ Years")</f>
        <v>10+ Years</v>
      </c>
      <c r="M161" t="str">
        <f t="array" ref="M161">_xlfn.IFS(HR_Data[[#This Row],[Salary]]&lt;40000,"Low",HR_Data[[#This Row],[Salary]]&lt;70000,"Medium",HR_Data[[#This Row],[Salary]]&lt;100000,"High",TRUE(),"Very High")</f>
        <v>High</v>
      </c>
      <c r="N161" t="str">
        <f t="array" ref="N161">_xlfn.IFS(HR_Data[[#This Row],[Age]]&lt;25,"18-24",HR_Data[[#This Row],[Age]]&lt;35,"25-34",HR_Data[[#This Row],[Age]]&lt;45,"35-44",TRUE(),"45+")</f>
        <v>45+</v>
      </c>
      <c r="O161">
        <f>YEAR(HR_Data[[#This Row],[Joining Date]])</f>
        <v>2020</v>
      </c>
      <c r="P161" t="str">
        <f>TEXT(HR_Data[[#This Row],[Joining Date]],"mmmm")</f>
        <v>August</v>
      </c>
      <c r="Q161">
        <f t="array" ref="Q161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161">
        <f>HR_Data[[#This Row],[Salary]]*HR_Data[[#This Row],[Bonus %]]</f>
        <v>0</v>
      </c>
      <c r="S161">
        <f>HR_Data[[#This Row],[Salary]]+HR_Data[[#This Row],[Bonus Amount]]</f>
        <v>90132</v>
      </c>
      <c r="T161" t="str">
        <f>IF(HR_Data[[#This Row],[Attrition]]="Yes","Inactive","Active")</f>
        <v>Inactive</v>
      </c>
      <c r="U161" t="str">
        <f t="array" ref="U161">_xlfn.IFS(HR_Data[[#This Row],[Salary]]&gt;=100000,"A",HR_Data[[#This Row],[Salary]]&gt;=70000,"B",HR_Data[[#This Row],[Salary]]&gt;=50000,"C",TRUE(),"D")</f>
        <v>B</v>
      </c>
      <c r="V161" t="str">
        <f t="array" ref="V161">_xlfn.IFS(HR_Data[[#This Row],[Experience]]&gt;=15,"Expert",HR_Data[[#This Row],[Experience]]&gt;=8,"Senior",HR_Data[[#This Row],[Experience]]&gt;=3,"Mid-Level",TRUE(),"Junior")</f>
        <v>Expert</v>
      </c>
    </row>
    <row r="162" spans="1:22" ht="14.25" customHeight="1" x14ac:dyDescent="0.3">
      <c r="A162" t="s">
        <v>475</v>
      </c>
      <c r="B162" t="s">
        <v>99</v>
      </c>
      <c r="C162" t="s">
        <v>40</v>
      </c>
      <c r="D162" t="s">
        <v>33</v>
      </c>
      <c r="E162">
        <v>30</v>
      </c>
      <c r="F162">
        <v>47929</v>
      </c>
      <c r="G162">
        <v>7</v>
      </c>
      <c r="H162" t="s">
        <v>476</v>
      </c>
      <c r="I162" t="s">
        <v>42</v>
      </c>
      <c r="J162" t="s">
        <v>28</v>
      </c>
      <c r="K162" t="s">
        <v>29</v>
      </c>
      <c r="L162" t="str">
        <f t="array" ref="L162">_xlfn.IFS(HR_Data[[#This Row],[Experience]]&lt;2,"0-2 Years",HR_Data[[#This Row],[Experience]]&lt;5,"2-5 Years",HR_Data[[#This Row],[Experience]]&lt;10,"5-10 Years",TRUE(),"10+ Years")</f>
        <v>5-10 Years</v>
      </c>
      <c r="M162" t="str">
        <f t="array" ref="M162">_xlfn.IFS(HR_Data[[#This Row],[Salary]]&lt;40000,"Low",HR_Data[[#This Row],[Salary]]&lt;70000,"Medium",HR_Data[[#This Row],[Salary]]&lt;100000,"High",TRUE(),"Very High")</f>
        <v>Medium</v>
      </c>
      <c r="N162" t="str">
        <f t="array" ref="N162">_xlfn.IFS(HR_Data[[#This Row],[Age]]&lt;25,"18-24",HR_Data[[#This Row],[Age]]&lt;35,"25-34",HR_Data[[#This Row],[Age]]&lt;45,"35-44",TRUE(),"45+")</f>
        <v>25-34</v>
      </c>
      <c r="O162">
        <f>YEAR(HR_Data[[#This Row],[Joining Date]])</f>
        <v>2025</v>
      </c>
      <c r="P162" t="str">
        <f>TEXT(HR_Data[[#This Row],[Joining Date]],"mmmm")</f>
        <v>January</v>
      </c>
      <c r="Q162">
        <f t="array" ref="Q162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162">
        <f>HR_Data[[#This Row],[Salary]]*HR_Data[[#This Row],[Bonus %]]</f>
        <v>7189.3499999999995</v>
      </c>
      <c r="S162">
        <f>HR_Data[[#This Row],[Salary]]+HR_Data[[#This Row],[Bonus Amount]]</f>
        <v>55118.35</v>
      </c>
      <c r="T162" t="str">
        <f>IF(HR_Data[[#This Row],[Attrition]]="Yes","Inactive","Active")</f>
        <v>Active</v>
      </c>
      <c r="U162" t="str">
        <f t="array" ref="U162">_xlfn.IFS(HR_Data[[#This Row],[Salary]]&gt;=100000,"A",HR_Data[[#This Row],[Salary]]&gt;=70000,"B",HR_Data[[#This Row],[Salary]]&gt;=50000,"C",TRUE(),"D")</f>
        <v>D</v>
      </c>
      <c r="V162" t="str">
        <f t="array" ref="V162">_xlfn.IFS(HR_Data[[#This Row],[Experience]]&gt;=15,"Expert",HR_Data[[#This Row],[Experience]]&gt;=8,"Senior",HR_Data[[#This Row],[Experience]]&gt;=3,"Mid-Level",TRUE(),"Junior")</f>
        <v>Mid-Level</v>
      </c>
    </row>
    <row r="163" spans="1:22" ht="14.25" customHeight="1" x14ac:dyDescent="0.3">
      <c r="A163" t="s">
        <v>477</v>
      </c>
      <c r="B163" t="s">
        <v>478</v>
      </c>
      <c r="C163" t="s">
        <v>40</v>
      </c>
      <c r="D163" t="s">
        <v>25</v>
      </c>
      <c r="E163">
        <v>49</v>
      </c>
      <c r="F163">
        <v>121185</v>
      </c>
      <c r="G163">
        <v>28</v>
      </c>
      <c r="H163" t="s">
        <v>479</v>
      </c>
      <c r="I163" t="s">
        <v>80</v>
      </c>
      <c r="J163" t="s">
        <v>46</v>
      </c>
      <c r="K163" t="s">
        <v>29</v>
      </c>
      <c r="L163" t="str">
        <f t="array" ref="L163">_xlfn.IFS(HR_Data[[#This Row],[Experience]]&lt;2,"0-2 Years",HR_Data[[#This Row],[Experience]]&lt;5,"2-5 Years",HR_Data[[#This Row],[Experience]]&lt;10,"5-10 Years",TRUE(),"10+ Years")</f>
        <v>10+ Years</v>
      </c>
      <c r="M163" t="str">
        <f t="array" ref="M163">_xlfn.IFS(HR_Data[[#This Row],[Salary]]&lt;40000,"Low",HR_Data[[#This Row],[Salary]]&lt;70000,"Medium",HR_Data[[#This Row],[Salary]]&lt;100000,"High",TRUE(),"Very High")</f>
        <v>Very High</v>
      </c>
      <c r="N163" t="str">
        <f t="array" ref="N163">_xlfn.IFS(HR_Data[[#This Row],[Age]]&lt;25,"18-24",HR_Data[[#This Row],[Age]]&lt;35,"25-34",HR_Data[[#This Row],[Age]]&lt;45,"35-44",TRUE(),"45+")</f>
        <v>45+</v>
      </c>
      <c r="O163">
        <f>YEAR(HR_Data[[#This Row],[Joining Date]])</f>
        <v>2016</v>
      </c>
      <c r="P163" t="str">
        <f>TEXT(HR_Data[[#This Row],[Joining Date]],"mmmm")</f>
        <v>December</v>
      </c>
      <c r="Q163">
        <f t="array" ref="Q163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163">
        <f>HR_Data[[#This Row],[Salary]]*HR_Data[[#This Row],[Bonus %]]</f>
        <v>6059.25</v>
      </c>
      <c r="S163">
        <f>HR_Data[[#This Row],[Salary]]+HR_Data[[#This Row],[Bonus Amount]]</f>
        <v>127244.25</v>
      </c>
      <c r="T163" t="str">
        <f>IF(HR_Data[[#This Row],[Attrition]]="Yes","Inactive","Active")</f>
        <v>Active</v>
      </c>
      <c r="U163" t="str">
        <f t="array" ref="U163">_xlfn.IFS(HR_Data[[#This Row],[Salary]]&gt;=100000,"A",HR_Data[[#This Row],[Salary]]&gt;=70000,"B",HR_Data[[#This Row],[Salary]]&gt;=50000,"C",TRUE(),"D")</f>
        <v>A</v>
      </c>
      <c r="V163" t="str">
        <f t="array" ref="V163">_xlfn.IFS(HR_Data[[#This Row],[Experience]]&gt;=15,"Expert",HR_Data[[#This Row],[Experience]]&gt;=8,"Senior",HR_Data[[#This Row],[Experience]]&gt;=3,"Mid-Level",TRUE(),"Junior")</f>
        <v>Expert</v>
      </c>
    </row>
    <row r="164" spans="1:22" ht="14.25" customHeight="1" x14ac:dyDescent="0.3">
      <c r="A164" t="s">
        <v>480</v>
      </c>
      <c r="B164" t="s">
        <v>383</v>
      </c>
      <c r="C164" t="s">
        <v>60</v>
      </c>
      <c r="D164" t="s">
        <v>25</v>
      </c>
      <c r="E164">
        <v>40</v>
      </c>
      <c r="F164">
        <v>54704</v>
      </c>
      <c r="G164">
        <v>10</v>
      </c>
      <c r="H164" t="s">
        <v>481</v>
      </c>
      <c r="I164" t="s">
        <v>27</v>
      </c>
      <c r="J164" t="s">
        <v>36</v>
      </c>
      <c r="K164" t="s">
        <v>29</v>
      </c>
      <c r="L164" t="str">
        <f t="array" ref="L164">_xlfn.IFS(HR_Data[[#This Row],[Experience]]&lt;2,"0-2 Years",HR_Data[[#This Row],[Experience]]&lt;5,"2-5 Years",HR_Data[[#This Row],[Experience]]&lt;10,"5-10 Years",TRUE(),"10+ Years")</f>
        <v>10+ Years</v>
      </c>
      <c r="M164" t="str">
        <f t="array" ref="M164">_xlfn.IFS(HR_Data[[#This Row],[Salary]]&lt;40000,"Low",HR_Data[[#This Row],[Salary]]&lt;70000,"Medium",HR_Data[[#This Row],[Salary]]&lt;100000,"High",TRUE(),"Very High")</f>
        <v>Medium</v>
      </c>
      <c r="N164" t="str">
        <f t="array" ref="N164">_xlfn.IFS(HR_Data[[#This Row],[Age]]&lt;25,"18-24",HR_Data[[#This Row],[Age]]&lt;35,"25-34",HR_Data[[#This Row],[Age]]&lt;45,"35-44",TRUE(),"45+")</f>
        <v>35-44</v>
      </c>
      <c r="O164">
        <f>YEAR(HR_Data[[#This Row],[Joining Date]])</f>
        <v>2023</v>
      </c>
      <c r="P164" t="str">
        <f>TEXT(HR_Data[[#This Row],[Joining Date]],"mmmm")</f>
        <v>February</v>
      </c>
      <c r="Q164">
        <f t="array" ref="Q164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64">
        <f>HR_Data[[#This Row],[Salary]]*HR_Data[[#This Row],[Bonus %]]</f>
        <v>5470.4000000000005</v>
      </c>
      <c r="S164">
        <f>HR_Data[[#This Row],[Salary]]+HR_Data[[#This Row],[Bonus Amount]]</f>
        <v>60174.400000000001</v>
      </c>
      <c r="T164" t="str">
        <f>IF(HR_Data[[#This Row],[Attrition]]="Yes","Inactive","Active")</f>
        <v>Active</v>
      </c>
      <c r="U164" t="str">
        <f t="array" ref="U164">_xlfn.IFS(HR_Data[[#This Row],[Salary]]&gt;=100000,"A",HR_Data[[#This Row],[Salary]]&gt;=70000,"B",HR_Data[[#This Row],[Salary]]&gt;=50000,"C",TRUE(),"D")</f>
        <v>C</v>
      </c>
      <c r="V164" t="str">
        <f t="array" ref="V164">_xlfn.IFS(HR_Data[[#This Row],[Experience]]&gt;=15,"Expert",HR_Data[[#This Row],[Experience]]&gt;=8,"Senior",HR_Data[[#This Row],[Experience]]&gt;=3,"Mid-Level",TRUE(),"Junior")</f>
        <v>Senior</v>
      </c>
    </row>
    <row r="165" spans="1:22" ht="14.25" customHeight="1" x14ac:dyDescent="0.3">
      <c r="A165" t="s">
        <v>482</v>
      </c>
      <c r="B165" t="s">
        <v>483</v>
      </c>
      <c r="C165" t="s">
        <v>40</v>
      </c>
      <c r="D165" t="s">
        <v>33</v>
      </c>
      <c r="E165">
        <v>50</v>
      </c>
      <c r="F165">
        <v>109352</v>
      </c>
      <c r="G165">
        <v>23</v>
      </c>
      <c r="H165" t="s">
        <v>484</v>
      </c>
      <c r="I165" t="s">
        <v>80</v>
      </c>
      <c r="J165" t="s">
        <v>36</v>
      </c>
      <c r="K165" t="s">
        <v>29</v>
      </c>
      <c r="L165" t="str">
        <f t="array" ref="L165">_xlfn.IFS(HR_Data[[#This Row],[Experience]]&lt;2,"0-2 Years",HR_Data[[#This Row],[Experience]]&lt;5,"2-5 Years",HR_Data[[#This Row],[Experience]]&lt;10,"5-10 Years",TRUE(),"10+ Years")</f>
        <v>10+ Years</v>
      </c>
      <c r="M165" t="str">
        <f t="array" ref="M165">_xlfn.IFS(HR_Data[[#This Row],[Salary]]&lt;40000,"Low",HR_Data[[#This Row],[Salary]]&lt;70000,"Medium",HR_Data[[#This Row],[Salary]]&lt;100000,"High",TRUE(),"Very High")</f>
        <v>Very High</v>
      </c>
      <c r="N165" t="str">
        <f t="array" ref="N165">_xlfn.IFS(HR_Data[[#This Row],[Age]]&lt;25,"18-24",HR_Data[[#This Row],[Age]]&lt;35,"25-34",HR_Data[[#This Row],[Age]]&lt;45,"35-44",TRUE(),"45+")</f>
        <v>45+</v>
      </c>
      <c r="O165">
        <f>YEAR(HR_Data[[#This Row],[Joining Date]])</f>
        <v>2023</v>
      </c>
      <c r="P165" t="str">
        <f>TEXT(HR_Data[[#This Row],[Joining Date]],"mmmm")</f>
        <v>April</v>
      </c>
      <c r="Q165">
        <f t="array" ref="Q16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65">
        <f>HR_Data[[#This Row],[Salary]]*HR_Data[[#This Row],[Bonus %]]</f>
        <v>10935.2</v>
      </c>
      <c r="S165">
        <f>HR_Data[[#This Row],[Salary]]+HR_Data[[#This Row],[Bonus Amount]]</f>
        <v>120287.2</v>
      </c>
      <c r="T165" t="str">
        <f>IF(HR_Data[[#This Row],[Attrition]]="Yes","Inactive","Active")</f>
        <v>Active</v>
      </c>
      <c r="U165" t="str">
        <f t="array" ref="U165">_xlfn.IFS(HR_Data[[#This Row],[Salary]]&gt;=100000,"A",HR_Data[[#This Row],[Salary]]&gt;=70000,"B",HR_Data[[#This Row],[Salary]]&gt;=50000,"C",TRUE(),"D")</f>
        <v>A</v>
      </c>
      <c r="V165" t="str">
        <f t="array" ref="V165">_xlfn.IFS(HR_Data[[#This Row],[Experience]]&gt;=15,"Expert",HR_Data[[#This Row],[Experience]]&gt;=8,"Senior",HR_Data[[#This Row],[Experience]]&gt;=3,"Mid-Level",TRUE(),"Junior")</f>
        <v>Expert</v>
      </c>
    </row>
    <row r="166" spans="1:22" ht="14.25" customHeight="1" x14ac:dyDescent="0.3">
      <c r="A166" t="s">
        <v>485</v>
      </c>
      <c r="B166" t="s">
        <v>486</v>
      </c>
      <c r="C166" t="s">
        <v>55</v>
      </c>
      <c r="D166" t="s">
        <v>33</v>
      </c>
      <c r="E166">
        <v>55</v>
      </c>
      <c r="F166">
        <v>112684</v>
      </c>
      <c r="G166">
        <v>25</v>
      </c>
      <c r="H166" t="s">
        <v>487</v>
      </c>
      <c r="I166" t="s">
        <v>35</v>
      </c>
      <c r="J166" t="s">
        <v>46</v>
      </c>
      <c r="K166" t="s">
        <v>29</v>
      </c>
      <c r="L166" t="str">
        <f t="array" ref="L166">_xlfn.IFS(HR_Data[[#This Row],[Experience]]&lt;2,"0-2 Years",HR_Data[[#This Row],[Experience]]&lt;5,"2-5 Years",HR_Data[[#This Row],[Experience]]&lt;10,"5-10 Years",TRUE(),"10+ Years")</f>
        <v>10+ Years</v>
      </c>
      <c r="M166" t="str">
        <f t="array" ref="M166">_xlfn.IFS(HR_Data[[#This Row],[Salary]]&lt;40000,"Low",HR_Data[[#This Row],[Salary]]&lt;70000,"Medium",HR_Data[[#This Row],[Salary]]&lt;100000,"High",TRUE(),"Very High")</f>
        <v>Very High</v>
      </c>
      <c r="N166" t="str">
        <f t="array" ref="N166">_xlfn.IFS(HR_Data[[#This Row],[Age]]&lt;25,"18-24",HR_Data[[#This Row],[Age]]&lt;35,"25-34",HR_Data[[#This Row],[Age]]&lt;45,"35-44",TRUE(),"45+")</f>
        <v>45+</v>
      </c>
      <c r="O166">
        <f>YEAR(HR_Data[[#This Row],[Joining Date]])</f>
        <v>2024</v>
      </c>
      <c r="P166" t="str">
        <f>TEXT(HR_Data[[#This Row],[Joining Date]],"mmmm")</f>
        <v>March</v>
      </c>
      <c r="Q166">
        <f t="array" ref="Q166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166">
        <f>HR_Data[[#This Row],[Salary]]*HR_Data[[#This Row],[Bonus %]]</f>
        <v>5634.2000000000007</v>
      </c>
      <c r="S166">
        <f>HR_Data[[#This Row],[Salary]]+HR_Data[[#This Row],[Bonus Amount]]</f>
        <v>118318.2</v>
      </c>
      <c r="T166" t="str">
        <f>IF(HR_Data[[#This Row],[Attrition]]="Yes","Inactive","Active")</f>
        <v>Active</v>
      </c>
      <c r="U166" t="str">
        <f t="array" ref="U166">_xlfn.IFS(HR_Data[[#This Row],[Salary]]&gt;=100000,"A",HR_Data[[#This Row],[Salary]]&gt;=70000,"B",HR_Data[[#This Row],[Salary]]&gt;=50000,"C",TRUE(),"D")</f>
        <v>A</v>
      </c>
      <c r="V166" t="str">
        <f t="array" ref="V166">_xlfn.IFS(HR_Data[[#This Row],[Experience]]&gt;=15,"Expert",HR_Data[[#This Row],[Experience]]&gt;=8,"Senior",HR_Data[[#This Row],[Experience]]&gt;=3,"Mid-Level",TRUE(),"Junior")</f>
        <v>Expert</v>
      </c>
    </row>
    <row r="167" spans="1:22" ht="14.25" customHeight="1" x14ac:dyDescent="0.3">
      <c r="A167" t="s">
        <v>488</v>
      </c>
      <c r="B167" t="s">
        <v>489</v>
      </c>
      <c r="C167" t="s">
        <v>70</v>
      </c>
      <c r="D167" t="s">
        <v>33</v>
      </c>
      <c r="E167">
        <v>58</v>
      </c>
      <c r="F167">
        <v>126752</v>
      </c>
      <c r="G167">
        <v>29</v>
      </c>
      <c r="H167" t="s">
        <v>490</v>
      </c>
      <c r="I167" t="s">
        <v>62</v>
      </c>
      <c r="J167" t="s">
        <v>63</v>
      </c>
      <c r="K167" t="s">
        <v>29</v>
      </c>
      <c r="L167" t="str">
        <f t="array" ref="L167">_xlfn.IFS(HR_Data[[#This Row],[Experience]]&lt;2,"0-2 Years",HR_Data[[#This Row],[Experience]]&lt;5,"2-5 Years",HR_Data[[#This Row],[Experience]]&lt;10,"5-10 Years",TRUE(),"10+ Years")</f>
        <v>10+ Years</v>
      </c>
      <c r="M167" t="str">
        <f t="array" ref="M167">_xlfn.IFS(HR_Data[[#This Row],[Salary]]&lt;40000,"Low",HR_Data[[#This Row],[Salary]]&lt;70000,"Medium",HR_Data[[#This Row],[Salary]]&lt;100000,"High",TRUE(),"Very High")</f>
        <v>Very High</v>
      </c>
      <c r="N167" t="str">
        <f t="array" ref="N167">_xlfn.IFS(HR_Data[[#This Row],[Age]]&lt;25,"18-24",HR_Data[[#This Row],[Age]]&lt;35,"25-34",HR_Data[[#This Row],[Age]]&lt;45,"35-44",TRUE(),"45+")</f>
        <v>45+</v>
      </c>
      <c r="O167">
        <f>YEAR(HR_Data[[#This Row],[Joining Date]])</f>
        <v>2022</v>
      </c>
      <c r="P167" t="str">
        <f>TEXT(HR_Data[[#This Row],[Joining Date]],"mmmm")</f>
        <v>September</v>
      </c>
      <c r="Q167">
        <f t="array" ref="Q167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167">
        <f>HR_Data[[#This Row],[Salary]]*HR_Data[[#This Row],[Bonus %]]</f>
        <v>25350.400000000001</v>
      </c>
      <c r="S167">
        <f>HR_Data[[#This Row],[Salary]]+HR_Data[[#This Row],[Bonus Amount]]</f>
        <v>152102.39999999999</v>
      </c>
      <c r="T167" t="str">
        <f>IF(HR_Data[[#This Row],[Attrition]]="Yes","Inactive","Active")</f>
        <v>Active</v>
      </c>
      <c r="U167" t="str">
        <f t="array" ref="U167">_xlfn.IFS(HR_Data[[#This Row],[Salary]]&gt;=100000,"A",HR_Data[[#This Row],[Salary]]&gt;=70000,"B",HR_Data[[#This Row],[Salary]]&gt;=50000,"C",TRUE(),"D")</f>
        <v>A</v>
      </c>
      <c r="V167" t="str">
        <f t="array" ref="V167">_xlfn.IFS(HR_Data[[#This Row],[Experience]]&gt;=15,"Expert",HR_Data[[#This Row],[Experience]]&gt;=8,"Senior",HR_Data[[#This Row],[Experience]]&gt;=3,"Mid-Level",TRUE(),"Junior")</f>
        <v>Expert</v>
      </c>
    </row>
    <row r="168" spans="1:22" ht="14.25" customHeight="1" x14ac:dyDescent="0.3">
      <c r="A168" t="s">
        <v>491</v>
      </c>
      <c r="B168" t="s">
        <v>492</v>
      </c>
      <c r="C168" t="s">
        <v>75</v>
      </c>
      <c r="D168" t="s">
        <v>25</v>
      </c>
      <c r="E168">
        <v>51</v>
      </c>
      <c r="F168">
        <v>123468</v>
      </c>
      <c r="G168">
        <v>32</v>
      </c>
      <c r="H168" t="s">
        <v>221</v>
      </c>
      <c r="I168" t="s">
        <v>42</v>
      </c>
      <c r="J168" t="s">
        <v>28</v>
      </c>
      <c r="K168" t="s">
        <v>29</v>
      </c>
      <c r="L168" t="str">
        <f t="array" ref="L168">_xlfn.IFS(HR_Data[[#This Row],[Experience]]&lt;2,"0-2 Years",HR_Data[[#This Row],[Experience]]&lt;5,"2-5 Years",HR_Data[[#This Row],[Experience]]&lt;10,"5-10 Years",TRUE(),"10+ Years")</f>
        <v>10+ Years</v>
      </c>
      <c r="M168" t="str">
        <f t="array" ref="M168">_xlfn.IFS(HR_Data[[#This Row],[Salary]]&lt;40000,"Low",HR_Data[[#This Row],[Salary]]&lt;70000,"Medium",HR_Data[[#This Row],[Salary]]&lt;100000,"High",TRUE(),"Very High")</f>
        <v>Very High</v>
      </c>
      <c r="N168" t="str">
        <f t="array" ref="N168">_xlfn.IFS(HR_Data[[#This Row],[Age]]&lt;25,"18-24",HR_Data[[#This Row],[Age]]&lt;35,"25-34",HR_Data[[#This Row],[Age]]&lt;45,"35-44",TRUE(),"45+")</f>
        <v>45+</v>
      </c>
      <c r="O168">
        <f>YEAR(HR_Data[[#This Row],[Joining Date]])</f>
        <v>2018</v>
      </c>
      <c r="P168" t="str">
        <f>TEXT(HR_Data[[#This Row],[Joining Date]],"mmmm")</f>
        <v>June</v>
      </c>
      <c r="Q168">
        <f t="array" ref="Q168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168">
        <f>HR_Data[[#This Row],[Salary]]*HR_Data[[#This Row],[Bonus %]]</f>
        <v>18520.2</v>
      </c>
      <c r="S168">
        <f>HR_Data[[#This Row],[Salary]]+HR_Data[[#This Row],[Bonus Amount]]</f>
        <v>141988.20000000001</v>
      </c>
      <c r="T168" t="str">
        <f>IF(HR_Data[[#This Row],[Attrition]]="Yes","Inactive","Active")</f>
        <v>Active</v>
      </c>
      <c r="U168" t="str">
        <f t="array" ref="U168">_xlfn.IFS(HR_Data[[#This Row],[Salary]]&gt;=100000,"A",HR_Data[[#This Row],[Salary]]&gt;=70000,"B",HR_Data[[#This Row],[Salary]]&gt;=50000,"C",TRUE(),"D")</f>
        <v>A</v>
      </c>
      <c r="V168" t="str">
        <f t="array" ref="V168">_xlfn.IFS(HR_Data[[#This Row],[Experience]]&gt;=15,"Expert",HR_Data[[#This Row],[Experience]]&gt;=8,"Senior",HR_Data[[#This Row],[Experience]]&gt;=3,"Mid-Level",TRUE(),"Junior")</f>
        <v>Expert</v>
      </c>
    </row>
    <row r="169" spans="1:22" ht="14.25" customHeight="1" x14ac:dyDescent="0.3">
      <c r="A169" t="s">
        <v>493</v>
      </c>
      <c r="B169" t="s">
        <v>23</v>
      </c>
      <c r="C169" t="s">
        <v>75</v>
      </c>
      <c r="D169" t="s">
        <v>33</v>
      </c>
      <c r="E169">
        <v>38</v>
      </c>
      <c r="F169">
        <v>86249</v>
      </c>
      <c r="G169">
        <v>16</v>
      </c>
      <c r="H169" t="s">
        <v>494</v>
      </c>
      <c r="I169" t="s">
        <v>72</v>
      </c>
      <c r="J169" t="s">
        <v>63</v>
      </c>
      <c r="K169" t="s">
        <v>29</v>
      </c>
      <c r="L169" t="str">
        <f t="array" ref="L169">_xlfn.IFS(HR_Data[[#This Row],[Experience]]&lt;2,"0-2 Years",HR_Data[[#This Row],[Experience]]&lt;5,"2-5 Years",HR_Data[[#This Row],[Experience]]&lt;10,"5-10 Years",TRUE(),"10+ Years")</f>
        <v>10+ Years</v>
      </c>
      <c r="M169" t="str">
        <f t="array" ref="M169">_xlfn.IFS(HR_Data[[#This Row],[Salary]]&lt;40000,"Low",HR_Data[[#This Row],[Salary]]&lt;70000,"Medium",HR_Data[[#This Row],[Salary]]&lt;100000,"High",TRUE(),"Very High")</f>
        <v>High</v>
      </c>
      <c r="N169" t="str">
        <f t="array" ref="N169">_xlfn.IFS(HR_Data[[#This Row],[Age]]&lt;25,"18-24",HR_Data[[#This Row],[Age]]&lt;35,"25-34",HR_Data[[#This Row],[Age]]&lt;45,"35-44",TRUE(),"45+")</f>
        <v>35-44</v>
      </c>
      <c r="O169">
        <f>YEAR(HR_Data[[#This Row],[Joining Date]])</f>
        <v>2021</v>
      </c>
      <c r="P169" t="str">
        <f>TEXT(HR_Data[[#This Row],[Joining Date]],"mmmm")</f>
        <v>February</v>
      </c>
      <c r="Q169">
        <f t="array" ref="Q169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169">
        <f>HR_Data[[#This Row],[Salary]]*HR_Data[[#This Row],[Bonus %]]</f>
        <v>17249.8</v>
      </c>
      <c r="S169">
        <f>HR_Data[[#This Row],[Salary]]+HR_Data[[#This Row],[Bonus Amount]]</f>
        <v>103498.8</v>
      </c>
      <c r="T169" t="str">
        <f>IF(HR_Data[[#This Row],[Attrition]]="Yes","Inactive","Active")</f>
        <v>Active</v>
      </c>
      <c r="U169" t="str">
        <f t="array" ref="U169">_xlfn.IFS(HR_Data[[#This Row],[Salary]]&gt;=100000,"A",HR_Data[[#This Row],[Salary]]&gt;=70000,"B",HR_Data[[#This Row],[Salary]]&gt;=50000,"C",TRUE(),"D")</f>
        <v>B</v>
      </c>
      <c r="V169" t="str">
        <f t="array" ref="V169">_xlfn.IFS(HR_Data[[#This Row],[Experience]]&gt;=15,"Expert",HR_Data[[#This Row],[Experience]]&gt;=8,"Senior",HR_Data[[#This Row],[Experience]]&gt;=3,"Mid-Level",TRUE(),"Junior")</f>
        <v>Expert</v>
      </c>
    </row>
    <row r="170" spans="1:22" ht="14.25" customHeight="1" x14ac:dyDescent="0.3">
      <c r="A170" t="s">
        <v>495</v>
      </c>
      <c r="B170" t="s">
        <v>74</v>
      </c>
      <c r="C170" t="s">
        <v>112</v>
      </c>
      <c r="D170" t="s">
        <v>25</v>
      </c>
      <c r="E170">
        <v>30</v>
      </c>
      <c r="F170">
        <v>65629</v>
      </c>
      <c r="G170">
        <v>9</v>
      </c>
      <c r="H170" t="s">
        <v>496</v>
      </c>
      <c r="I170" t="s">
        <v>57</v>
      </c>
      <c r="J170" t="s">
        <v>46</v>
      </c>
      <c r="K170" t="s">
        <v>29</v>
      </c>
      <c r="L170" t="str">
        <f t="array" ref="L170">_xlfn.IFS(HR_Data[[#This Row],[Experience]]&lt;2,"0-2 Years",HR_Data[[#This Row],[Experience]]&lt;5,"2-5 Years",HR_Data[[#This Row],[Experience]]&lt;10,"5-10 Years",TRUE(),"10+ Years")</f>
        <v>5-10 Years</v>
      </c>
      <c r="M170" t="str">
        <f t="array" ref="M170">_xlfn.IFS(HR_Data[[#This Row],[Salary]]&lt;40000,"Low",HR_Data[[#This Row],[Salary]]&lt;70000,"Medium",HR_Data[[#This Row],[Salary]]&lt;100000,"High",TRUE(),"Very High")</f>
        <v>Medium</v>
      </c>
      <c r="N170" t="str">
        <f t="array" ref="N170">_xlfn.IFS(HR_Data[[#This Row],[Age]]&lt;25,"18-24",HR_Data[[#This Row],[Age]]&lt;35,"25-34",HR_Data[[#This Row],[Age]]&lt;45,"35-44",TRUE(),"45+")</f>
        <v>25-34</v>
      </c>
      <c r="O170">
        <f>YEAR(HR_Data[[#This Row],[Joining Date]])</f>
        <v>2022</v>
      </c>
      <c r="P170" t="str">
        <f>TEXT(HR_Data[[#This Row],[Joining Date]],"mmmm")</f>
        <v>July</v>
      </c>
      <c r="Q170">
        <f t="array" ref="Q170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170">
        <f>HR_Data[[#This Row],[Salary]]*HR_Data[[#This Row],[Bonus %]]</f>
        <v>3281.4500000000003</v>
      </c>
      <c r="S170">
        <f>HR_Data[[#This Row],[Salary]]+HR_Data[[#This Row],[Bonus Amount]]</f>
        <v>68910.45</v>
      </c>
      <c r="T170" t="str">
        <f>IF(HR_Data[[#This Row],[Attrition]]="Yes","Inactive","Active")</f>
        <v>Active</v>
      </c>
      <c r="U170" t="str">
        <f t="array" ref="U170">_xlfn.IFS(HR_Data[[#This Row],[Salary]]&gt;=100000,"A",HR_Data[[#This Row],[Salary]]&gt;=70000,"B",HR_Data[[#This Row],[Salary]]&gt;=50000,"C",TRUE(),"D")</f>
        <v>C</v>
      </c>
      <c r="V170" t="str">
        <f t="array" ref="V170">_xlfn.IFS(HR_Data[[#This Row],[Experience]]&gt;=15,"Expert",HR_Data[[#This Row],[Experience]]&gt;=8,"Senior",HR_Data[[#This Row],[Experience]]&gt;=3,"Mid-Level",TRUE(),"Junior")</f>
        <v>Senior</v>
      </c>
    </row>
    <row r="171" spans="1:22" ht="14.25" customHeight="1" x14ac:dyDescent="0.3">
      <c r="A171" t="s">
        <v>497</v>
      </c>
      <c r="B171" t="s">
        <v>242</v>
      </c>
      <c r="C171" t="s">
        <v>60</v>
      </c>
      <c r="D171" t="s">
        <v>25</v>
      </c>
      <c r="E171">
        <v>54</v>
      </c>
      <c r="F171">
        <v>101192</v>
      </c>
      <c r="G171">
        <v>26</v>
      </c>
      <c r="H171" t="s">
        <v>498</v>
      </c>
      <c r="I171" t="s">
        <v>80</v>
      </c>
      <c r="J171" t="s">
        <v>46</v>
      </c>
      <c r="K171" t="s">
        <v>29</v>
      </c>
      <c r="L171" t="str">
        <f t="array" ref="L171">_xlfn.IFS(HR_Data[[#This Row],[Experience]]&lt;2,"0-2 Years",HR_Data[[#This Row],[Experience]]&lt;5,"2-5 Years",HR_Data[[#This Row],[Experience]]&lt;10,"5-10 Years",TRUE(),"10+ Years")</f>
        <v>10+ Years</v>
      </c>
      <c r="M171" t="str">
        <f t="array" ref="M171">_xlfn.IFS(HR_Data[[#This Row],[Salary]]&lt;40000,"Low",HR_Data[[#This Row],[Salary]]&lt;70000,"Medium",HR_Data[[#This Row],[Salary]]&lt;100000,"High",TRUE(),"Very High")</f>
        <v>Very High</v>
      </c>
      <c r="N171" t="str">
        <f t="array" ref="N171">_xlfn.IFS(HR_Data[[#This Row],[Age]]&lt;25,"18-24",HR_Data[[#This Row],[Age]]&lt;35,"25-34",HR_Data[[#This Row],[Age]]&lt;45,"35-44",TRUE(),"45+")</f>
        <v>45+</v>
      </c>
      <c r="O171">
        <f>YEAR(HR_Data[[#This Row],[Joining Date]])</f>
        <v>2026</v>
      </c>
      <c r="P171" t="str">
        <f>TEXT(HR_Data[[#This Row],[Joining Date]],"mmmm")</f>
        <v>March</v>
      </c>
      <c r="Q171">
        <f t="array" ref="Q171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171">
        <f>HR_Data[[#This Row],[Salary]]*HR_Data[[#This Row],[Bonus %]]</f>
        <v>5059.6000000000004</v>
      </c>
      <c r="S171">
        <f>HR_Data[[#This Row],[Salary]]+HR_Data[[#This Row],[Bonus Amount]]</f>
        <v>106251.6</v>
      </c>
      <c r="T171" t="str">
        <f>IF(HR_Data[[#This Row],[Attrition]]="Yes","Inactive","Active")</f>
        <v>Active</v>
      </c>
      <c r="U171" t="str">
        <f t="array" ref="U171">_xlfn.IFS(HR_Data[[#This Row],[Salary]]&gt;=100000,"A",HR_Data[[#This Row],[Salary]]&gt;=70000,"B",HR_Data[[#This Row],[Salary]]&gt;=50000,"C",TRUE(),"D")</f>
        <v>A</v>
      </c>
      <c r="V171" t="str">
        <f t="array" ref="V171">_xlfn.IFS(HR_Data[[#This Row],[Experience]]&gt;=15,"Expert",HR_Data[[#This Row],[Experience]]&gt;=8,"Senior",HR_Data[[#This Row],[Experience]]&gt;=3,"Mid-Level",TRUE(),"Junior")</f>
        <v>Expert</v>
      </c>
    </row>
    <row r="172" spans="1:22" ht="14.25" customHeight="1" x14ac:dyDescent="0.3">
      <c r="A172" t="s">
        <v>499</v>
      </c>
      <c r="B172" t="s">
        <v>226</v>
      </c>
      <c r="C172" t="s">
        <v>24</v>
      </c>
      <c r="D172" t="s">
        <v>33</v>
      </c>
      <c r="E172">
        <v>49</v>
      </c>
      <c r="F172">
        <v>111763</v>
      </c>
      <c r="G172">
        <v>29</v>
      </c>
      <c r="H172" t="s">
        <v>308</v>
      </c>
      <c r="I172" t="s">
        <v>67</v>
      </c>
      <c r="J172" t="s">
        <v>36</v>
      </c>
      <c r="K172" t="s">
        <v>29</v>
      </c>
      <c r="L172" t="str">
        <f t="array" ref="L172">_xlfn.IFS(HR_Data[[#This Row],[Experience]]&lt;2,"0-2 Years",HR_Data[[#This Row],[Experience]]&lt;5,"2-5 Years",HR_Data[[#This Row],[Experience]]&lt;10,"5-10 Years",TRUE(),"10+ Years")</f>
        <v>10+ Years</v>
      </c>
      <c r="M172" t="str">
        <f t="array" ref="M172">_xlfn.IFS(HR_Data[[#This Row],[Salary]]&lt;40000,"Low",HR_Data[[#This Row],[Salary]]&lt;70000,"Medium",HR_Data[[#This Row],[Salary]]&lt;100000,"High",TRUE(),"Very High")</f>
        <v>Very High</v>
      </c>
      <c r="N172" t="str">
        <f t="array" ref="N172">_xlfn.IFS(HR_Data[[#This Row],[Age]]&lt;25,"18-24",HR_Data[[#This Row],[Age]]&lt;35,"25-34",HR_Data[[#This Row],[Age]]&lt;45,"35-44",TRUE(),"45+")</f>
        <v>45+</v>
      </c>
      <c r="O172">
        <f>YEAR(HR_Data[[#This Row],[Joining Date]])</f>
        <v>2018</v>
      </c>
      <c r="P172" t="str">
        <f>TEXT(HR_Data[[#This Row],[Joining Date]],"mmmm")</f>
        <v>July</v>
      </c>
      <c r="Q172">
        <f t="array" ref="Q17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72">
        <f>HR_Data[[#This Row],[Salary]]*HR_Data[[#This Row],[Bonus %]]</f>
        <v>11176.300000000001</v>
      </c>
      <c r="S172">
        <f>HR_Data[[#This Row],[Salary]]+HR_Data[[#This Row],[Bonus Amount]]</f>
        <v>122939.3</v>
      </c>
      <c r="T172" t="str">
        <f>IF(HR_Data[[#This Row],[Attrition]]="Yes","Inactive","Active")</f>
        <v>Active</v>
      </c>
      <c r="U172" t="str">
        <f t="array" ref="U172">_xlfn.IFS(HR_Data[[#This Row],[Salary]]&gt;=100000,"A",HR_Data[[#This Row],[Salary]]&gt;=70000,"B",HR_Data[[#This Row],[Salary]]&gt;=50000,"C",TRUE(),"D")</f>
        <v>A</v>
      </c>
      <c r="V172" t="str">
        <f t="array" ref="V172">_xlfn.IFS(HR_Data[[#This Row],[Experience]]&gt;=15,"Expert",HR_Data[[#This Row],[Experience]]&gt;=8,"Senior",HR_Data[[#This Row],[Experience]]&gt;=3,"Mid-Level",TRUE(),"Junior")</f>
        <v>Expert</v>
      </c>
    </row>
    <row r="173" spans="1:22" ht="14.25" customHeight="1" x14ac:dyDescent="0.3">
      <c r="A173" t="s">
        <v>500</v>
      </c>
      <c r="B173" t="s">
        <v>23</v>
      </c>
      <c r="C173" t="s">
        <v>55</v>
      </c>
      <c r="D173" t="s">
        <v>33</v>
      </c>
      <c r="E173">
        <v>50</v>
      </c>
      <c r="F173">
        <v>92317</v>
      </c>
      <c r="G173">
        <v>20</v>
      </c>
      <c r="H173" t="s">
        <v>501</v>
      </c>
      <c r="I173" t="s">
        <v>35</v>
      </c>
      <c r="J173" t="s">
        <v>63</v>
      </c>
      <c r="K173" t="s">
        <v>29</v>
      </c>
      <c r="L173" t="str">
        <f t="array" ref="L173">_xlfn.IFS(HR_Data[[#This Row],[Experience]]&lt;2,"0-2 Years",HR_Data[[#This Row],[Experience]]&lt;5,"2-5 Years",HR_Data[[#This Row],[Experience]]&lt;10,"5-10 Years",TRUE(),"10+ Years")</f>
        <v>10+ Years</v>
      </c>
      <c r="M173" t="str">
        <f t="array" ref="M173">_xlfn.IFS(HR_Data[[#This Row],[Salary]]&lt;40000,"Low",HR_Data[[#This Row],[Salary]]&lt;70000,"Medium",HR_Data[[#This Row],[Salary]]&lt;100000,"High",TRUE(),"Very High")</f>
        <v>High</v>
      </c>
      <c r="N173" t="str">
        <f t="array" ref="N173">_xlfn.IFS(HR_Data[[#This Row],[Age]]&lt;25,"18-24",HR_Data[[#This Row],[Age]]&lt;35,"25-34",HR_Data[[#This Row],[Age]]&lt;45,"35-44",TRUE(),"45+")</f>
        <v>45+</v>
      </c>
      <c r="O173">
        <f>YEAR(HR_Data[[#This Row],[Joining Date]])</f>
        <v>2023</v>
      </c>
      <c r="P173" t="str">
        <f>TEXT(HR_Data[[#This Row],[Joining Date]],"mmmm")</f>
        <v>December</v>
      </c>
      <c r="Q173">
        <f t="array" ref="Q173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173">
        <f>HR_Data[[#This Row],[Salary]]*HR_Data[[#This Row],[Bonus %]]</f>
        <v>18463.400000000001</v>
      </c>
      <c r="S173">
        <f>HR_Data[[#This Row],[Salary]]+HR_Data[[#This Row],[Bonus Amount]]</f>
        <v>110780.4</v>
      </c>
      <c r="T173" t="str">
        <f>IF(HR_Data[[#This Row],[Attrition]]="Yes","Inactive","Active")</f>
        <v>Active</v>
      </c>
      <c r="U173" t="str">
        <f t="array" ref="U173">_xlfn.IFS(HR_Data[[#This Row],[Salary]]&gt;=100000,"A",HR_Data[[#This Row],[Salary]]&gt;=70000,"B",HR_Data[[#This Row],[Salary]]&gt;=50000,"C",TRUE(),"D")</f>
        <v>B</v>
      </c>
      <c r="V173" t="str">
        <f t="array" ref="V173">_xlfn.IFS(HR_Data[[#This Row],[Experience]]&gt;=15,"Expert",HR_Data[[#This Row],[Experience]]&gt;=8,"Senior",HR_Data[[#This Row],[Experience]]&gt;=3,"Mid-Level",TRUE(),"Junior")</f>
        <v>Expert</v>
      </c>
    </row>
    <row r="174" spans="1:22" ht="14.25" customHeight="1" x14ac:dyDescent="0.3">
      <c r="A174" t="s">
        <v>502</v>
      </c>
      <c r="B174" t="s">
        <v>503</v>
      </c>
      <c r="C174" t="s">
        <v>32</v>
      </c>
      <c r="D174" t="s">
        <v>33</v>
      </c>
      <c r="E174">
        <v>30</v>
      </c>
      <c r="F174">
        <v>54132</v>
      </c>
      <c r="G174">
        <v>7</v>
      </c>
      <c r="H174" t="s">
        <v>504</v>
      </c>
      <c r="I174" t="s">
        <v>132</v>
      </c>
      <c r="J174" t="s">
        <v>63</v>
      </c>
      <c r="K174" t="s">
        <v>37</v>
      </c>
      <c r="L174" t="str">
        <f t="array" ref="L174">_xlfn.IFS(HR_Data[[#This Row],[Experience]]&lt;2,"0-2 Years",HR_Data[[#This Row],[Experience]]&lt;5,"2-5 Years",HR_Data[[#This Row],[Experience]]&lt;10,"5-10 Years",TRUE(),"10+ Years")</f>
        <v>5-10 Years</v>
      </c>
      <c r="M174" t="str">
        <f t="array" ref="M174">_xlfn.IFS(HR_Data[[#This Row],[Salary]]&lt;40000,"Low",HR_Data[[#This Row],[Salary]]&lt;70000,"Medium",HR_Data[[#This Row],[Salary]]&lt;100000,"High",TRUE(),"Very High")</f>
        <v>Medium</v>
      </c>
      <c r="N174" t="str">
        <f t="array" ref="N174">_xlfn.IFS(HR_Data[[#This Row],[Age]]&lt;25,"18-24",HR_Data[[#This Row],[Age]]&lt;35,"25-34",HR_Data[[#This Row],[Age]]&lt;45,"35-44",TRUE(),"45+")</f>
        <v>25-34</v>
      </c>
      <c r="O174">
        <f>YEAR(HR_Data[[#This Row],[Joining Date]])</f>
        <v>2020</v>
      </c>
      <c r="P174" t="str">
        <f>TEXT(HR_Data[[#This Row],[Joining Date]],"mmmm")</f>
        <v>July</v>
      </c>
      <c r="Q174">
        <f t="array" ref="Q174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174">
        <f>HR_Data[[#This Row],[Salary]]*HR_Data[[#This Row],[Bonus %]]</f>
        <v>10826.400000000001</v>
      </c>
      <c r="S174">
        <f>HR_Data[[#This Row],[Salary]]+HR_Data[[#This Row],[Bonus Amount]]</f>
        <v>64958.400000000001</v>
      </c>
      <c r="T174" t="str">
        <f>IF(HR_Data[[#This Row],[Attrition]]="Yes","Inactive","Active")</f>
        <v>Inactive</v>
      </c>
      <c r="U174" t="str">
        <f t="array" ref="U174">_xlfn.IFS(HR_Data[[#This Row],[Salary]]&gt;=100000,"A",HR_Data[[#This Row],[Salary]]&gt;=70000,"B",HR_Data[[#This Row],[Salary]]&gt;=50000,"C",TRUE(),"D")</f>
        <v>C</v>
      </c>
      <c r="V174" t="str">
        <f t="array" ref="V174">_xlfn.IFS(HR_Data[[#This Row],[Experience]]&gt;=15,"Expert",HR_Data[[#This Row],[Experience]]&gt;=8,"Senior",HR_Data[[#This Row],[Experience]]&gt;=3,"Mid-Level",TRUE(),"Junior")</f>
        <v>Mid-Level</v>
      </c>
    </row>
    <row r="175" spans="1:22" ht="14.25" customHeight="1" x14ac:dyDescent="0.3">
      <c r="A175" t="s">
        <v>505</v>
      </c>
      <c r="B175" t="s">
        <v>506</v>
      </c>
      <c r="C175" t="s">
        <v>93</v>
      </c>
      <c r="D175" t="s">
        <v>25</v>
      </c>
      <c r="E175">
        <v>48</v>
      </c>
      <c r="F175">
        <v>91247</v>
      </c>
      <c r="G175">
        <v>20</v>
      </c>
      <c r="H175" t="s">
        <v>507</v>
      </c>
      <c r="I175" t="s">
        <v>35</v>
      </c>
      <c r="J175" t="s">
        <v>46</v>
      </c>
      <c r="K175" t="s">
        <v>29</v>
      </c>
      <c r="L175" t="str">
        <f t="array" ref="L175">_xlfn.IFS(HR_Data[[#This Row],[Experience]]&lt;2,"0-2 Years",HR_Data[[#This Row],[Experience]]&lt;5,"2-5 Years",HR_Data[[#This Row],[Experience]]&lt;10,"5-10 Years",TRUE(),"10+ Years")</f>
        <v>10+ Years</v>
      </c>
      <c r="M175" t="str">
        <f t="array" ref="M175">_xlfn.IFS(HR_Data[[#This Row],[Salary]]&lt;40000,"Low",HR_Data[[#This Row],[Salary]]&lt;70000,"Medium",HR_Data[[#This Row],[Salary]]&lt;100000,"High",TRUE(),"Very High")</f>
        <v>High</v>
      </c>
      <c r="N175" t="str">
        <f t="array" ref="N175">_xlfn.IFS(HR_Data[[#This Row],[Age]]&lt;25,"18-24",HR_Data[[#This Row],[Age]]&lt;35,"25-34",HR_Data[[#This Row],[Age]]&lt;45,"35-44",TRUE(),"45+")</f>
        <v>45+</v>
      </c>
      <c r="O175">
        <f>YEAR(HR_Data[[#This Row],[Joining Date]])</f>
        <v>2019</v>
      </c>
      <c r="P175" t="str">
        <f>TEXT(HR_Data[[#This Row],[Joining Date]],"mmmm")</f>
        <v>April</v>
      </c>
      <c r="Q175">
        <f t="array" ref="Q175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175">
        <f>HR_Data[[#This Row],[Salary]]*HR_Data[[#This Row],[Bonus %]]</f>
        <v>4562.3500000000004</v>
      </c>
      <c r="S175">
        <f>HR_Data[[#This Row],[Salary]]+HR_Data[[#This Row],[Bonus Amount]]</f>
        <v>95809.35</v>
      </c>
      <c r="T175" t="str">
        <f>IF(HR_Data[[#This Row],[Attrition]]="Yes","Inactive","Active")</f>
        <v>Active</v>
      </c>
      <c r="U175" t="str">
        <f t="array" ref="U175">_xlfn.IFS(HR_Data[[#This Row],[Salary]]&gt;=100000,"A",HR_Data[[#This Row],[Salary]]&gt;=70000,"B",HR_Data[[#This Row],[Salary]]&gt;=50000,"C",TRUE(),"D")</f>
        <v>B</v>
      </c>
      <c r="V175" t="str">
        <f t="array" ref="V175">_xlfn.IFS(HR_Data[[#This Row],[Experience]]&gt;=15,"Expert",HR_Data[[#This Row],[Experience]]&gt;=8,"Senior",HR_Data[[#This Row],[Experience]]&gt;=3,"Mid-Level",TRUE(),"Junior")</f>
        <v>Expert</v>
      </c>
    </row>
    <row r="176" spans="1:22" ht="14.25" customHeight="1" x14ac:dyDescent="0.3">
      <c r="A176" t="s">
        <v>508</v>
      </c>
      <c r="B176" t="s">
        <v>59</v>
      </c>
      <c r="C176" t="s">
        <v>112</v>
      </c>
      <c r="D176" t="s">
        <v>33</v>
      </c>
      <c r="E176">
        <v>21</v>
      </c>
      <c r="F176">
        <v>33085</v>
      </c>
      <c r="G176">
        <v>1</v>
      </c>
      <c r="H176" t="s">
        <v>509</v>
      </c>
      <c r="I176" t="s">
        <v>80</v>
      </c>
      <c r="J176" t="s">
        <v>36</v>
      </c>
      <c r="K176" t="s">
        <v>29</v>
      </c>
      <c r="L176" t="str">
        <f t="array" ref="L176">_xlfn.IFS(HR_Data[[#This Row],[Experience]]&lt;2,"0-2 Years",HR_Data[[#This Row],[Experience]]&lt;5,"2-5 Years",HR_Data[[#This Row],[Experience]]&lt;10,"5-10 Years",TRUE(),"10+ Years")</f>
        <v>0-2 Years</v>
      </c>
      <c r="M176" t="str">
        <f t="array" ref="M176">_xlfn.IFS(HR_Data[[#This Row],[Salary]]&lt;40000,"Low",HR_Data[[#This Row],[Salary]]&lt;70000,"Medium",HR_Data[[#This Row],[Salary]]&lt;100000,"High",TRUE(),"Very High")</f>
        <v>Low</v>
      </c>
      <c r="N176" t="str">
        <f t="array" ref="N176">_xlfn.IFS(HR_Data[[#This Row],[Age]]&lt;25,"18-24",HR_Data[[#This Row],[Age]]&lt;35,"25-34",HR_Data[[#This Row],[Age]]&lt;45,"35-44",TRUE(),"45+")</f>
        <v>18-24</v>
      </c>
      <c r="O176">
        <f>YEAR(HR_Data[[#This Row],[Joining Date]])</f>
        <v>2026</v>
      </c>
      <c r="P176" t="str">
        <f>TEXT(HR_Data[[#This Row],[Joining Date]],"mmmm")</f>
        <v>May</v>
      </c>
      <c r="Q176">
        <f t="array" ref="Q17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76">
        <f>HR_Data[[#This Row],[Salary]]*HR_Data[[#This Row],[Bonus %]]</f>
        <v>3308.5</v>
      </c>
      <c r="S176">
        <f>HR_Data[[#This Row],[Salary]]+HR_Data[[#This Row],[Bonus Amount]]</f>
        <v>36393.5</v>
      </c>
      <c r="T176" t="str">
        <f>IF(HR_Data[[#This Row],[Attrition]]="Yes","Inactive","Active")</f>
        <v>Active</v>
      </c>
      <c r="U176" t="str">
        <f t="array" ref="U176">_xlfn.IFS(HR_Data[[#This Row],[Salary]]&gt;=100000,"A",HR_Data[[#This Row],[Salary]]&gt;=70000,"B",HR_Data[[#This Row],[Salary]]&gt;=50000,"C",TRUE(),"D")</f>
        <v>D</v>
      </c>
      <c r="V176" t="str">
        <f t="array" ref="V176">_xlfn.IFS(HR_Data[[#This Row],[Experience]]&gt;=15,"Expert",HR_Data[[#This Row],[Experience]]&gt;=8,"Senior",HR_Data[[#This Row],[Experience]]&gt;=3,"Mid-Level",TRUE(),"Junior")</f>
        <v>Junior</v>
      </c>
    </row>
    <row r="177" spans="1:22" ht="14.25" customHeight="1" x14ac:dyDescent="0.3">
      <c r="A177" t="s">
        <v>510</v>
      </c>
      <c r="B177" t="s">
        <v>319</v>
      </c>
      <c r="C177" t="s">
        <v>134</v>
      </c>
      <c r="D177" t="s">
        <v>25</v>
      </c>
      <c r="E177">
        <v>59</v>
      </c>
      <c r="F177">
        <v>131620</v>
      </c>
      <c r="G177">
        <v>31</v>
      </c>
      <c r="H177" t="s">
        <v>511</v>
      </c>
      <c r="I177" t="s">
        <v>62</v>
      </c>
      <c r="J177" t="s">
        <v>36</v>
      </c>
      <c r="K177" t="s">
        <v>29</v>
      </c>
      <c r="L177" t="str">
        <f t="array" ref="L177">_xlfn.IFS(HR_Data[[#This Row],[Experience]]&lt;2,"0-2 Years",HR_Data[[#This Row],[Experience]]&lt;5,"2-5 Years",HR_Data[[#This Row],[Experience]]&lt;10,"5-10 Years",TRUE(),"10+ Years")</f>
        <v>10+ Years</v>
      </c>
      <c r="M177" t="str">
        <f t="array" ref="M177">_xlfn.IFS(HR_Data[[#This Row],[Salary]]&lt;40000,"Low",HR_Data[[#This Row],[Salary]]&lt;70000,"Medium",HR_Data[[#This Row],[Salary]]&lt;100000,"High",TRUE(),"Very High")</f>
        <v>Very High</v>
      </c>
      <c r="N177" t="str">
        <f t="array" ref="N177">_xlfn.IFS(HR_Data[[#This Row],[Age]]&lt;25,"18-24",HR_Data[[#This Row],[Age]]&lt;35,"25-34",HR_Data[[#This Row],[Age]]&lt;45,"35-44",TRUE(),"45+")</f>
        <v>45+</v>
      </c>
      <c r="O177">
        <f>YEAR(HR_Data[[#This Row],[Joining Date]])</f>
        <v>2021</v>
      </c>
      <c r="P177" t="str">
        <f>TEXT(HR_Data[[#This Row],[Joining Date]],"mmmm")</f>
        <v>May</v>
      </c>
      <c r="Q177">
        <f t="array" ref="Q177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77">
        <f>HR_Data[[#This Row],[Salary]]*HR_Data[[#This Row],[Bonus %]]</f>
        <v>13162</v>
      </c>
      <c r="S177">
        <f>HR_Data[[#This Row],[Salary]]+HR_Data[[#This Row],[Bonus Amount]]</f>
        <v>144782</v>
      </c>
      <c r="T177" t="str">
        <f>IF(HR_Data[[#This Row],[Attrition]]="Yes","Inactive","Active")</f>
        <v>Active</v>
      </c>
      <c r="U177" t="str">
        <f t="array" ref="U177">_xlfn.IFS(HR_Data[[#This Row],[Salary]]&gt;=100000,"A",HR_Data[[#This Row],[Salary]]&gt;=70000,"B",HR_Data[[#This Row],[Salary]]&gt;=50000,"C",TRUE(),"D")</f>
        <v>A</v>
      </c>
      <c r="V177" t="str">
        <f t="array" ref="V177">_xlfn.IFS(HR_Data[[#This Row],[Experience]]&gt;=15,"Expert",HR_Data[[#This Row],[Experience]]&gt;=8,"Senior",HR_Data[[#This Row],[Experience]]&gt;=3,"Mid-Level",TRUE(),"Junior")</f>
        <v>Expert</v>
      </c>
    </row>
    <row r="178" spans="1:22" ht="14.25" customHeight="1" x14ac:dyDescent="0.3">
      <c r="A178" t="s">
        <v>512</v>
      </c>
      <c r="B178" t="s">
        <v>513</v>
      </c>
      <c r="C178" t="s">
        <v>40</v>
      </c>
      <c r="D178" t="s">
        <v>25</v>
      </c>
      <c r="E178">
        <v>42</v>
      </c>
      <c r="F178">
        <v>103726</v>
      </c>
      <c r="G178">
        <v>23</v>
      </c>
      <c r="H178" t="s">
        <v>514</v>
      </c>
      <c r="I178" t="s">
        <v>45</v>
      </c>
      <c r="J178" t="s">
        <v>36</v>
      </c>
      <c r="K178" t="s">
        <v>29</v>
      </c>
      <c r="L178" t="str">
        <f t="array" ref="L178">_xlfn.IFS(HR_Data[[#This Row],[Experience]]&lt;2,"0-2 Years",HR_Data[[#This Row],[Experience]]&lt;5,"2-5 Years",HR_Data[[#This Row],[Experience]]&lt;10,"5-10 Years",TRUE(),"10+ Years")</f>
        <v>10+ Years</v>
      </c>
      <c r="M178" t="str">
        <f t="array" ref="M178">_xlfn.IFS(HR_Data[[#This Row],[Salary]]&lt;40000,"Low",HR_Data[[#This Row],[Salary]]&lt;70000,"Medium",HR_Data[[#This Row],[Salary]]&lt;100000,"High",TRUE(),"Very High")</f>
        <v>Very High</v>
      </c>
      <c r="N178" t="str">
        <f t="array" ref="N178">_xlfn.IFS(HR_Data[[#This Row],[Age]]&lt;25,"18-24",HR_Data[[#This Row],[Age]]&lt;35,"25-34",HR_Data[[#This Row],[Age]]&lt;45,"35-44",TRUE(),"45+")</f>
        <v>35-44</v>
      </c>
      <c r="O178">
        <f>YEAR(HR_Data[[#This Row],[Joining Date]])</f>
        <v>2016</v>
      </c>
      <c r="P178" t="str">
        <f>TEXT(HR_Data[[#This Row],[Joining Date]],"mmmm")</f>
        <v>February</v>
      </c>
      <c r="Q178">
        <f t="array" ref="Q17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78">
        <f>HR_Data[[#This Row],[Salary]]*HR_Data[[#This Row],[Bonus %]]</f>
        <v>10372.6</v>
      </c>
      <c r="S178">
        <f>HR_Data[[#This Row],[Salary]]+HR_Data[[#This Row],[Bonus Amount]]</f>
        <v>114098.6</v>
      </c>
      <c r="T178" t="str">
        <f>IF(HR_Data[[#This Row],[Attrition]]="Yes","Inactive","Active")</f>
        <v>Active</v>
      </c>
      <c r="U178" t="str">
        <f t="array" ref="U178">_xlfn.IFS(HR_Data[[#This Row],[Salary]]&gt;=100000,"A",HR_Data[[#This Row],[Salary]]&gt;=70000,"B",HR_Data[[#This Row],[Salary]]&gt;=50000,"C",TRUE(),"D")</f>
        <v>A</v>
      </c>
      <c r="V178" t="str">
        <f t="array" ref="V178">_xlfn.IFS(HR_Data[[#This Row],[Experience]]&gt;=15,"Expert",HR_Data[[#This Row],[Experience]]&gt;=8,"Senior",HR_Data[[#This Row],[Experience]]&gt;=3,"Mid-Level",TRUE(),"Junior")</f>
        <v>Expert</v>
      </c>
    </row>
    <row r="179" spans="1:22" ht="14.25" customHeight="1" x14ac:dyDescent="0.3">
      <c r="A179" t="s">
        <v>515</v>
      </c>
      <c r="B179" t="s">
        <v>468</v>
      </c>
      <c r="C179" t="s">
        <v>75</v>
      </c>
      <c r="D179" t="s">
        <v>25</v>
      </c>
      <c r="E179">
        <v>55</v>
      </c>
      <c r="F179">
        <v>115765</v>
      </c>
      <c r="G179">
        <v>28</v>
      </c>
      <c r="H179" t="s">
        <v>516</v>
      </c>
      <c r="I179" t="s">
        <v>132</v>
      </c>
      <c r="J179" t="s">
        <v>63</v>
      </c>
      <c r="K179" t="s">
        <v>37</v>
      </c>
      <c r="L179" t="str">
        <f t="array" ref="L179">_xlfn.IFS(HR_Data[[#This Row],[Experience]]&lt;2,"0-2 Years",HR_Data[[#This Row],[Experience]]&lt;5,"2-5 Years",HR_Data[[#This Row],[Experience]]&lt;10,"5-10 Years",TRUE(),"10+ Years")</f>
        <v>10+ Years</v>
      </c>
      <c r="M179" t="str">
        <f t="array" ref="M179">_xlfn.IFS(HR_Data[[#This Row],[Salary]]&lt;40000,"Low",HR_Data[[#This Row],[Salary]]&lt;70000,"Medium",HR_Data[[#This Row],[Salary]]&lt;100000,"High",TRUE(),"Very High")</f>
        <v>Very High</v>
      </c>
      <c r="N179" t="str">
        <f t="array" ref="N179">_xlfn.IFS(HR_Data[[#This Row],[Age]]&lt;25,"18-24",HR_Data[[#This Row],[Age]]&lt;35,"25-34",HR_Data[[#This Row],[Age]]&lt;45,"35-44",TRUE(),"45+")</f>
        <v>45+</v>
      </c>
      <c r="O179">
        <f>YEAR(HR_Data[[#This Row],[Joining Date]])</f>
        <v>2017</v>
      </c>
      <c r="P179" t="str">
        <f>TEXT(HR_Data[[#This Row],[Joining Date]],"mmmm")</f>
        <v>August</v>
      </c>
      <c r="Q179">
        <f t="array" ref="Q179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179">
        <f>HR_Data[[#This Row],[Salary]]*HR_Data[[#This Row],[Bonus %]]</f>
        <v>23153</v>
      </c>
      <c r="S179">
        <f>HR_Data[[#This Row],[Salary]]+HR_Data[[#This Row],[Bonus Amount]]</f>
        <v>138918</v>
      </c>
      <c r="T179" t="str">
        <f>IF(HR_Data[[#This Row],[Attrition]]="Yes","Inactive","Active")</f>
        <v>Inactive</v>
      </c>
      <c r="U179" t="str">
        <f t="array" ref="U179">_xlfn.IFS(HR_Data[[#This Row],[Salary]]&gt;=100000,"A",HR_Data[[#This Row],[Salary]]&gt;=70000,"B",HR_Data[[#This Row],[Salary]]&gt;=50000,"C",TRUE(),"D")</f>
        <v>A</v>
      </c>
      <c r="V179" t="str">
        <f t="array" ref="V179">_xlfn.IFS(HR_Data[[#This Row],[Experience]]&gt;=15,"Expert",HR_Data[[#This Row],[Experience]]&gt;=8,"Senior",HR_Data[[#This Row],[Experience]]&gt;=3,"Mid-Level",TRUE(),"Junior")</f>
        <v>Expert</v>
      </c>
    </row>
    <row r="180" spans="1:22" ht="14.25" customHeight="1" x14ac:dyDescent="0.3">
      <c r="A180" t="s">
        <v>517</v>
      </c>
      <c r="B180" t="s">
        <v>518</v>
      </c>
      <c r="C180" t="s">
        <v>93</v>
      </c>
      <c r="D180" t="s">
        <v>25</v>
      </c>
      <c r="E180">
        <v>40</v>
      </c>
      <c r="F180">
        <v>72082</v>
      </c>
      <c r="G180">
        <v>12</v>
      </c>
      <c r="H180" t="s">
        <v>519</v>
      </c>
      <c r="I180" t="s">
        <v>132</v>
      </c>
      <c r="J180" t="s">
        <v>36</v>
      </c>
      <c r="K180" t="s">
        <v>37</v>
      </c>
      <c r="L180" t="str">
        <f t="array" ref="L180">_xlfn.IFS(HR_Data[[#This Row],[Experience]]&lt;2,"0-2 Years",HR_Data[[#This Row],[Experience]]&lt;5,"2-5 Years",HR_Data[[#This Row],[Experience]]&lt;10,"5-10 Years",TRUE(),"10+ Years")</f>
        <v>10+ Years</v>
      </c>
      <c r="M180" t="str">
        <f t="array" ref="M180">_xlfn.IFS(HR_Data[[#This Row],[Salary]]&lt;40000,"Low",HR_Data[[#This Row],[Salary]]&lt;70000,"Medium",HR_Data[[#This Row],[Salary]]&lt;100000,"High",TRUE(),"Very High")</f>
        <v>High</v>
      </c>
      <c r="N180" t="str">
        <f t="array" ref="N180">_xlfn.IFS(HR_Data[[#This Row],[Age]]&lt;25,"18-24",HR_Data[[#This Row],[Age]]&lt;35,"25-34",HR_Data[[#This Row],[Age]]&lt;45,"35-44",TRUE(),"45+")</f>
        <v>35-44</v>
      </c>
      <c r="O180">
        <f>YEAR(HR_Data[[#This Row],[Joining Date]])</f>
        <v>2024</v>
      </c>
      <c r="P180" t="str">
        <f>TEXT(HR_Data[[#This Row],[Joining Date]],"mmmm")</f>
        <v>January</v>
      </c>
      <c r="Q180">
        <f t="array" ref="Q18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80">
        <f>HR_Data[[#This Row],[Salary]]*HR_Data[[#This Row],[Bonus %]]</f>
        <v>7208.2000000000007</v>
      </c>
      <c r="S180">
        <f>HR_Data[[#This Row],[Salary]]+HR_Data[[#This Row],[Bonus Amount]]</f>
        <v>79290.2</v>
      </c>
      <c r="T180" t="str">
        <f>IF(HR_Data[[#This Row],[Attrition]]="Yes","Inactive","Active")</f>
        <v>Inactive</v>
      </c>
      <c r="U180" t="str">
        <f t="array" ref="U180">_xlfn.IFS(HR_Data[[#This Row],[Salary]]&gt;=100000,"A",HR_Data[[#This Row],[Salary]]&gt;=70000,"B",HR_Data[[#This Row],[Salary]]&gt;=50000,"C",TRUE(),"D")</f>
        <v>B</v>
      </c>
      <c r="V180" t="str">
        <f t="array" ref="V180">_xlfn.IFS(HR_Data[[#This Row],[Experience]]&gt;=15,"Expert",HR_Data[[#This Row],[Experience]]&gt;=8,"Senior",HR_Data[[#This Row],[Experience]]&gt;=3,"Mid-Level",TRUE(),"Junior")</f>
        <v>Senior</v>
      </c>
    </row>
    <row r="181" spans="1:22" ht="14.25" customHeight="1" x14ac:dyDescent="0.3">
      <c r="A181" t="s">
        <v>520</v>
      </c>
      <c r="B181" t="s">
        <v>231</v>
      </c>
      <c r="C181" t="s">
        <v>55</v>
      </c>
      <c r="D181" t="s">
        <v>25</v>
      </c>
      <c r="E181">
        <v>53</v>
      </c>
      <c r="F181">
        <v>130146</v>
      </c>
      <c r="G181">
        <v>32</v>
      </c>
      <c r="H181" t="s">
        <v>521</v>
      </c>
      <c r="I181" t="s">
        <v>72</v>
      </c>
      <c r="J181" t="s">
        <v>28</v>
      </c>
      <c r="K181" t="s">
        <v>29</v>
      </c>
      <c r="L181" t="str">
        <f t="array" ref="L181">_xlfn.IFS(HR_Data[[#This Row],[Experience]]&lt;2,"0-2 Years",HR_Data[[#This Row],[Experience]]&lt;5,"2-5 Years",HR_Data[[#This Row],[Experience]]&lt;10,"5-10 Years",TRUE(),"10+ Years")</f>
        <v>10+ Years</v>
      </c>
      <c r="M181" t="str">
        <f t="array" ref="M181">_xlfn.IFS(HR_Data[[#This Row],[Salary]]&lt;40000,"Low",HR_Data[[#This Row],[Salary]]&lt;70000,"Medium",HR_Data[[#This Row],[Salary]]&lt;100000,"High",TRUE(),"Very High")</f>
        <v>Very High</v>
      </c>
      <c r="N181" t="str">
        <f t="array" ref="N181">_xlfn.IFS(HR_Data[[#This Row],[Age]]&lt;25,"18-24",HR_Data[[#This Row],[Age]]&lt;35,"25-34",HR_Data[[#This Row],[Age]]&lt;45,"35-44",TRUE(),"45+")</f>
        <v>45+</v>
      </c>
      <c r="O181">
        <f>YEAR(HR_Data[[#This Row],[Joining Date]])</f>
        <v>2022</v>
      </c>
      <c r="P181" t="str">
        <f>TEXT(HR_Data[[#This Row],[Joining Date]],"mmmm")</f>
        <v>February</v>
      </c>
      <c r="Q181">
        <f t="array" ref="Q181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181">
        <f>HR_Data[[#This Row],[Salary]]*HR_Data[[#This Row],[Bonus %]]</f>
        <v>19521.899999999998</v>
      </c>
      <c r="S181">
        <f>HR_Data[[#This Row],[Salary]]+HR_Data[[#This Row],[Bonus Amount]]</f>
        <v>149667.9</v>
      </c>
      <c r="T181" t="str">
        <f>IF(HR_Data[[#This Row],[Attrition]]="Yes","Inactive","Active")</f>
        <v>Active</v>
      </c>
      <c r="U181" t="str">
        <f t="array" ref="U181">_xlfn.IFS(HR_Data[[#This Row],[Salary]]&gt;=100000,"A",HR_Data[[#This Row],[Salary]]&gt;=70000,"B",HR_Data[[#This Row],[Salary]]&gt;=50000,"C",TRUE(),"D")</f>
        <v>A</v>
      </c>
      <c r="V181" t="str">
        <f t="array" ref="V181">_xlfn.IFS(HR_Data[[#This Row],[Experience]]&gt;=15,"Expert",HR_Data[[#This Row],[Experience]]&gt;=8,"Senior",HR_Data[[#This Row],[Experience]]&gt;=3,"Mid-Level",TRUE(),"Junior")</f>
        <v>Expert</v>
      </c>
    </row>
    <row r="182" spans="1:22" ht="14.25" customHeight="1" x14ac:dyDescent="0.3">
      <c r="A182" t="s">
        <v>522</v>
      </c>
      <c r="B182" t="s">
        <v>161</v>
      </c>
      <c r="C182" t="s">
        <v>134</v>
      </c>
      <c r="D182" t="s">
        <v>33</v>
      </c>
      <c r="E182">
        <v>45</v>
      </c>
      <c r="F182">
        <v>78345</v>
      </c>
      <c r="G182">
        <v>19</v>
      </c>
      <c r="H182" t="s">
        <v>523</v>
      </c>
      <c r="I182" t="s">
        <v>72</v>
      </c>
      <c r="J182" t="s">
        <v>28</v>
      </c>
      <c r="K182" t="s">
        <v>37</v>
      </c>
      <c r="L182" t="str">
        <f t="array" ref="L182">_xlfn.IFS(HR_Data[[#This Row],[Experience]]&lt;2,"0-2 Years",HR_Data[[#This Row],[Experience]]&lt;5,"2-5 Years",HR_Data[[#This Row],[Experience]]&lt;10,"5-10 Years",TRUE(),"10+ Years")</f>
        <v>10+ Years</v>
      </c>
      <c r="M182" t="str">
        <f t="array" ref="M182">_xlfn.IFS(HR_Data[[#This Row],[Salary]]&lt;40000,"Low",HR_Data[[#This Row],[Salary]]&lt;70000,"Medium",HR_Data[[#This Row],[Salary]]&lt;100000,"High",TRUE(),"Very High")</f>
        <v>High</v>
      </c>
      <c r="N182" t="str">
        <f t="array" ref="N182">_xlfn.IFS(HR_Data[[#This Row],[Age]]&lt;25,"18-24",HR_Data[[#This Row],[Age]]&lt;35,"25-34",HR_Data[[#This Row],[Age]]&lt;45,"35-44",TRUE(),"45+")</f>
        <v>45+</v>
      </c>
      <c r="O182">
        <f>YEAR(HR_Data[[#This Row],[Joining Date]])</f>
        <v>2023</v>
      </c>
      <c r="P182" t="str">
        <f>TEXT(HR_Data[[#This Row],[Joining Date]],"mmmm")</f>
        <v>April</v>
      </c>
      <c r="Q182">
        <f t="array" ref="Q182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182">
        <f>HR_Data[[#This Row],[Salary]]*HR_Data[[#This Row],[Bonus %]]</f>
        <v>11751.75</v>
      </c>
      <c r="S182">
        <f>HR_Data[[#This Row],[Salary]]+HR_Data[[#This Row],[Bonus Amount]]</f>
        <v>90096.75</v>
      </c>
      <c r="T182" t="str">
        <f>IF(HR_Data[[#This Row],[Attrition]]="Yes","Inactive","Active")</f>
        <v>Inactive</v>
      </c>
      <c r="U182" t="str">
        <f t="array" ref="U182">_xlfn.IFS(HR_Data[[#This Row],[Salary]]&gt;=100000,"A",HR_Data[[#This Row],[Salary]]&gt;=70000,"B",HR_Data[[#This Row],[Salary]]&gt;=50000,"C",TRUE(),"D")</f>
        <v>B</v>
      </c>
      <c r="V182" t="str">
        <f t="array" ref="V182">_xlfn.IFS(HR_Data[[#This Row],[Experience]]&gt;=15,"Expert",HR_Data[[#This Row],[Experience]]&gt;=8,"Senior",HR_Data[[#This Row],[Experience]]&gt;=3,"Mid-Level",TRUE(),"Junior")</f>
        <v>Expert</v>
      </c>
    </row>
    <row r="183" spans="1:22" ht="14.25" customHeight="1" x14ac:dyDescent="0.3">
      <c r="A183" t="s">
        <v>524</v>
      </c>
      <c r="B183" t="s">
        <v>252</v>
      </c>
      <c r="C183" t="s">
        <v>24</v>
      </c>
      <c r="D183" t="s">
        <v>25</v>
      </c>
      <c r="E183">
        <v>53</v>
      </c>
      <c r="F183">
        <v>131955</v>
      </c>
      <c r="G183">
        <v>30</v>
      </c>
      <c r="H183" t="s">
        <v>156</v>
      </c>
      <c r="I183" t="s">
        <v>132</v>
      </c>
      <c r="J183" t="s">
        <v>36</v>
      </c>
      <c r="K183" t="s">
        <v>29</v>
      </c>
      <c r="L183" t="str">
        <f t="array" ref="L183">_xlfn.IFS(HR_Data[[#This Row],[Experience]]&lt;2,"0-2 Years",HR_Data[[#This Row],[Experience]]&lt;5,"2-5 Years",HR_Data[[#This Row],[Experience]]&lt;10,"5-10 Years",TRUE(),"10+ Years")</f>
        <v>10+ Years</v>
      </c>
      <c r="M183" t="str">
        <f t="array" ref="M183">_xlfn.IFS(HR_Data[[#This Row],[Salary]]&lt;40000,"Low",HR_Data[[#This Row],[Salary]]&lt;70000,"Medium",HR_Data[[#This Row],[Salary]]&lt;100000,"High",TRUE(),"Very High")</f>
        <v>Very High</v>
      </c>
      <c r="N183" t="str">
        <f t="array" ref="N183">_xlfn.IFS(HR_Data[[#This Row],[Age]]&lt;25,"18-24",HR_Data[[#This Row],[Age]]&lt;35,"25-34",HR_Data[[#This Row],[Age]]&lt;45,"35-44",TRUE(),"45+")</f>
        <v>45+</v>
      </c>
      <c r="O183">
        <f>YEAR(HR_Data[[#This Row],[Joining Date]])</f>
        <v>2020</v>
      </c>
      <c r="P183" t="str">
        <f>TEXT(HR_Data[[#This Row],[Joining Date]],"mmmm")</f>
        <v>February</v>
      </c>
      <c r="Q183">
        <f t="array" ref="Q183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83">
        <f>HR_Data[[#This Row],[Salary]]*HR_Data[[#This Row],[Bonus %]]</f>
        <v>13195.5</v>
      </c>
      <c r="S183">
        <f>HR_Data[[#This Row],[Salary]]+HR_Data[[#This Row],[Bonus Amount]]</f>
        <v>145150.5</v>
      </c>
      <c r="T183" t="str">
        <f>IF(HR_Data[[#This Row],[Attrition]]="Yes","Inactive","Active")</f>
        <v>Active</v>
      </c>
      <c r="U183" t="str">
        <f t="array" ref="U183">_xlfn.IFS(HR_Data[[#This Row],[Salary]]&gt;=100000,"A",HR_Data[[#This Row],[Salary]]&gt;=70000,"B",HR_Data[[#This Row],[Salary]]&gt;=50000,"C",TRUE(),"D")</f>
        <v>A</v>
      </c>
      <c r="V183" t="str">
        <f t="array" ref="V183">_xlfn.IFS(HR_Data[[#This Row],[Experience]]&gt;=15,"Expert",HR_Data[[#This Row],[Experience]]&gt;=8,"Senior",HR_Data[[#This Row],[Experience]]&gt;=3,"Mid-Level",TRUE(),"Junior")</f>
        <v>Expert</v>
      </c>
    </row>
    <row r="184" spans="1:22" ht="14.25" customHeight="1" x14ac:dyDescent="0.3">
      <c r="A184" t="s">
        <v>525</v>
      </c>
      <c r="B184" t="s">
        <v>319</v>
      </c>
      <c r="C184" t="s">
        <v>32</v>
      </c>
      <c r="D184" t="s">
        <v>33</v>
      </c>
      <c r="E184">
        <v>34</v>
      </c>
      <c r="F184">
        <v>83761</v>
      </c>
      <c r="G184">
        <v>15</v>
      </c>
      <c r="H184" t="s">
        <v>526</v>
      </c>
      <c r="I184" t="s">
        <v>62</v>
      </c>
      <c r="J184" t="s">
        <v>28</v>
      </c>
      <c r="K184" t="s">
        <v>29</v>
      </c>
      <c r="L184" t="str">
        <f t="array" ref="L184">_xlfn.IFS(HR_Data[[#This Row],[Experience]]&lt;2,"0-2 Years",HR_Data[[#This Row],[Experience]]&lt;5,"2-5 Years",HR_Data[[#This Row],[Experience]]&lt;10,"5-10 Years",TRUE(),"10+ Years")</f>
        <v>10+ Years</v>
      </c>
      <c r="M184" t="str">
        <f t="array" ref="M184">_xlfn.IFS(HR_Data[[#This Row],[Salary]]&lt;40000,"Low",HR_Data[[#This Row],[Salary]]&lt;70000,"Medium",HR_Data[[#This Row],[Salary]]&lt;100000,"High",TRUE(),"Very High")</f>
        <v>High</v>
      </c>
      <c r="N184" t="str">
        <f t="array" ref="N184">_xlfn.IFS(HR_Data[[#This Row],[Age]]&lt;25,"18-24",HR_Data[[#This Row],[Age]]&lt;35,"25-34",HR_Data[[#This Row],[Age]]&lt;45,"35-44",TRUE(),"45+")</f>
        <v>25-34</v>
      </c>
      <c r="O184">
        <f>YEAR(HR_Data[[#This Row],[Joining Date]])</f>
        <v>2017</v>
      </c>
      <c r="P184" t="str">
        <f>TEXT(HR_Data[[#This Row],[Joining Date]],"mmmm")</f>
        <v>June</v>
      </c>
      <c r="Q184">
        <f t="array" ref="Q184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184">
        <f>HR_Data[[#This Row],[Salary]]*HR_Data[[#This Row],[Bonus %]]</f>
        <v>12564.15</v>
      </c>
      <c r="S184">
        <f>HR_Data[[#This Row],[Salary]]+HR_Data[[#This Row],[Bonus Amount]]</f>
        <v>96325.15</v>
      </c>
      <c r="T184" t="str">
        <f>IF(HR_Data[[#This Row],[Attrition]]="Yes","Inactive","Active")</f>
        <v>Active</v>
      </c>
      <c r="U184" t="str">
        <f t="array" ref="U184">_xlfn.IFS(HR_Data[[#This Row],[Salary]]&gt;=100000,"A",HR_Data[[#This Row],[Salary]]&gt;=70000,"B",HR_Data[[#This Row],[Salary]]&gt;=50000,"C",TRUE(),"D")</f>
        <v>B</v>
      </c>
      <c r="V184" t="str">
        <f t="array" ref="V184">_xlfn.IFS(HR_Data[[#This Row],[Experience]]&gt;=15,"Expert",HR_Data[[#This Row],[Experience]]&gt;=8,"Senior",HR_Data[[#This Row],[Experience]]&gt;=3,"Mid-Level",TRUE(),"Junior")</f>
        <v>Expert</v>
      </c>
    </row>
    <row r="185" spans="1:22" ht="14.25" customHeight="1" x14ac:dyDescent="0.3">
      <c r="A185" t="s">
        <v>527</v>
      </c>
      <c r="B185" t="s">
        <v>528</v>
      </c>
      <c r="C185" t="s">
        <v>93</v>
      </c>
      <c r="D185" t="s">
        <v>25</v>
      </c>
      <c r="E185">
        <v>60</v>
      </c>
      <c r="F185">
        <v>134853</v>
      </c>
      <c r="G185">
        <v>32</v>
      </c>
      <c r="H185" t="s">
        <v>194</v>
      </c>
      <c r="I185" t="s">
        <v>67</v>
      </c>
      <c r="J185" t="s">
        <v>36</v>
      </c>
      <c r="K185" t="s">
        <v>29</v>
      </c>
      <c r="L185" t="str">
        <f t="array" ref="L185">_xlfn.IFS(HR_Data[[#This Row],[Experience]]&lt;2,"0-2 Years",HR_Data[[#This Row],[Experience]]&lt;5,"2-5 Years",HR_Data[[#This Row],[Experience]]&lt;10,"5-10 Years",TRUE(),"10+ Years")</f>
        <v>10+ Years</v>
      </c>
      <c r="M185" t="str">
        <f t="array" ref="M185">_xlfn.IFS(HR_Data[[#This Row],[Salary]]&lt;40000,"Low",HR_Data[[#This Row],[Salary]]&lt;70000,"Medium",HR_Data[[#This Row],[Salary]]&lt;100000,"High",TRUE(),"Very High")</f>
        <v>Very High</v>
      </c>
      <c r="N185" t="str">
        <f t="array" ref="N185">_xlfn.IFS(HR_Data[[#This Row],[Age]]&lt;25,"18-24",HR_Data[[#This Row],[Age]]&lt;35,"25-34",HR_Data[[#This Row],[Age]]&lt;45,"35-44",TRUE(),"45+")</f>
        <v>45+</v>
      </c>
      <c r="O185">
        <f>YEAR(HR_Data[[#This Row],[Joining Date]])</f>
        <v>2016</v>
      </c>
      <c r="P185" t="str">
        <f>TEXT(HR_Data[[#This Row],[Joining Date]],"mmmm")</f>
        <v>May</v>
      </c>
      <c r="Q185">
        <f t="array" ref="Q18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85">
        <f>HR_Data[[#This Row],[Salary]]*HR_Data[[#This Row],[Bonus %]]</f>
        <v>13485.300000000001</v>
      </c>
      <c r="S185">
        <f>HR_Data[[#This Row],[Salary]]+HR_Data[[#This Row],[Bonus Amount]]</f>
        <v>148338.29999999999</v>
      </c>
      <c r="T185" t="str">
        <f>IF(HR_Data[[#This Row],[Attrition]]="Yes","Inactive","Active")</f>
        <v>Active</v>
      </c>
      <c r="U185" t="str">
        <f t="array" ref="U185">_xlfn.IFS(HR_Data[[#This Row],[Salary]]&gt;=100000,"A",HR_Data[[#This Row],[Salary]]&gt;=70000,"B",HR_Data[[#This Row],[Salary]]&gt;=50000,"C",TRUE(),"D")</f>
        <v>A</v>
      </c>
      <c r="V185" t="str">
        <f t="array" ref="V185">_xlfn.IFS(HR_Data[[#This Row],[Experience]]&gt;=15,"Expert",HR_Data[[#This Row],[Experience]]&gt;=8,"Senior",HR_Data[[#This Row],[Experience]]&gt;=3,"Mid-Level",TRUE(),"Junior")</f>
        <v>Expert</v>
      </c>
    </row>
    <row r="186" spans="1:22" ht="14.25" customHeight="1" x14ac:dyDescent="0.3">
      <c r="A186" t="s">
        <v>529</v>
      </c>
      <c r="B186" t="s">
        <v>65</v>
      </c>
      <c r="C186" t="s">
        <v>93</v>
      </c>
      <c r="D186" t="s">
        <v>33</v>
      </c>
      <c r="E186">
        <v>37</v>
      </c>
      <c r="F186">
        <v>69669</v>
      </c>
      <c r="G186">
        <v>11</v>
      </c>
      <c r="H186" t="s">
        <v>530</v>
      </c>
      <c r="I186" t="s">
        <v>57</v>
      </c>
      <c r="J186" t="s">
        <v>36</v>
      </c>
      <c r="K186" t="s">
        <v>29</v>
      </c>
      <c r="L186" t="str">
        <f t="array" ref="L186">_xlfn.IFS(HR_Data[[#This Row],[Experience]]&lt;2,"0-2 Years",HR_Data[[#This Row],[Experience]]&lt;5,"2-5 Years",HR_Data[[#This Row],[Experience]]&lt;10,"5-10 Years",TRUE(),"10+ Years")</f>
        <v>10+ Years</v>
      </c>
      <c r="M186" t="str">
        <f t="array" ref="M186">_xlfn.IFS(HR_Data[[#This Row],[Salary]]&lt;40000,"Low",HR_Data[[#This Row],[Salary]]&lt;70000,"Medium",HR_Data[[#This Row],[Salary]]&lt;100000,"High",TRUE(),"Very High")</f>
        <v>Medium</v>
      </c>
      <c r="N186" t="str">
        <f t="array" ref="N186">_xlfn.IFS(HR_Data[[#This Row],[Age]]&lt;25,"18-24",HR_Data[[#This Row],[Age]]&lt;35,"25-34",HR_Data[[#This Row],[Age]]&lt;45,"35-44",TRUE(),"45+")</f>
        <v>35-44</v>
      </c>
      <c r="O186">
        <f>YEAR(HR_Data[[#This Row],[Joining Date]])</f>
        <v>2022</v>
      </c>
      <c r="P186" t="str">
        <f>TEXT(HR_Data[[#This Row],[Joining Date]],"mmmm")</f>
        <v>September</v>
      </c>
      <c r="Q186">
        <f t="array" ref="Q18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86">
        <f>HR_Data[[#This Row],[Salary]]*HR_Data[[#This Row],[Bonus %]]</f>
        <v>6966.9000000000005</v>
      </c>
      <c r="S186">
        <f>HR_Data[[#This Row],[Salary]]+HR_Data[[#This Row],[Bonus Amount]]</f>
        <v>76635.899999999994</v>
      </c>
      <c r="T186" t="str">
        <f>IF(HR_Data[[#This Row],[Attrition]]="Yes","Inactive","Active")</f>
        <v>Active</v>
      </c>
      <c r="U186" t="str">
        <f t="array" ref="U186">_xlfn.IFS(HR_Data[[#This Row],[Salary]]&gt;=100000,"A",HR_Data[[#This Row],[Salary]]&gt;=70000,"B",HR_Data[[#This Row],[Salary]]&gt;=50000,"C",TRUE(),"D")</f>
        <v>C</v>
      </c>
      <c r="V186" t="str">
        <f t="array" ref="V186">_xlfn.IFS(HR_Data[[#This Row],[Experience]]&gt;=15,"Expert",HR_Data[[#This Row],[Experience]]&gt;=8,"Senior",HR_Data[[#This Row],[Experience]]&gt;=3,"Mid-Level",TRUE(),"Junior")</f>
        <v>Senior</v>
      </c>
    </row>
    <row r="187" spans="1:22" ht="14.25" customHeight="1" x14ac:dyDescent="0.3">
      <c r="A187" t="s">
        <v>531</v>
      </c>
      <c r="B187" t="s">
        <v>313</v>
      </c>
      <c r="C187" t="s">
        <v>93</v>
      </c>
      <c r="D187" t="s">
        <v>25</v>
      </c>
      <c r="E187">
        <v>44</v>
      </c>
      <c r="F187">
        <v>81181</v>
      </c>
      <c r="G187">
        <v>17</v>
      </c>
      <c r="H187" t="s">
        <v>532</v>
      </c>
      <c r="I187" t="s">
        <v>35</v>
      </c>
      <c r="J187" t="s">
        <v>90</v>
      </c>
      <c r="K187" t="s">
        <v>29</v>
      </c>
      <c r="L187" t="str">
        <f t="array" ref="L187">_xlfn.IFS(HR_Data[[#This Row],[Experience]]&lt;2,"0-2 Years",HR_Data[[#This Row],[Experience]]&lt;5,"2-5 Years",HR_Data[[#This Row],[Experience]]&lt;10,"5-10 Years",TRUE(),"10+ Years")</f>
        <v>10+ Years</v>
      </c>
      <c r="M187" t="str">
        <f t="array" ref="M187">_xlfn.IFS(HR_Data[[#This Row],[Salary]]&lt;40000,"Low",HR_Data[[#This Row],[Salary]]&lt;70000,"Medium",HR_Data[[#This Row],[Salary]]&lt;100000,"High",TRUE(),"Very High")</f>
        <v>High</v>
      </c>
      <c r="N187" t="str">
        <f t="array" ref="N187">_xlfn.IFS(HR_Data[[#This Row],[Age]]&lt;25,"18-24",HR_Data[[#This Row],[Age]]&lt;35,"25-34",HR_Data[[#This Row],[Age]]&lt;45,"35-44",TRUE(),"45+")</f>
        <v>35-44</v>
      </c>
      <c r="O187">
        <f>YEAR(HR_Data[[#This Row],[Joining Date]])</f>
        <v>2020</v>
      </c>
      <c r="P187" t="str">
        <f>TEXT(HR_Data[[#This Row],[Joining Date]],"mmmm")</f>
        <v>January</v>
      </c>
      <c r="Q187">
        <f t="array" ref="Q187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187">
        <f>HR_Data[[#This Row],[Salary]]*HR_Data[[#This Row],[Bonus %]]</f>
        <v>0</v>
      </c>
      <c r="S187">
        <f>HR_Data[[#This Row],[Salary]]+HR_Data[[#This Row],[Bonus Amount]]</f>
        <v>81181</v>
      </c>
      <c r="T187" t="str">
        <f>IF(HR_Data[[#This Row],[Attrition]]="Yes","Inactive","Active")</f>
        <v>Active</v>
      </c>
      <c r="U187" t="str">
        <f t="array" ref="U187">_xlfn.IFS(HR_Data[[#This Row],[Salary]]&gt;=100000,"A",HR_Data[[#This Row],[Salary]]&gt;=70000,"B",HR_Data[[#This Row],[Salary]]&gt;=50000,"C",TRUE(),"D")</f>
        <v>B</v>
      </c>
      <c r="V187" t="str">
        <f t="array" ref="V187">_xlfn.IFS(HR_Data[[#This Row],[Experience]]&gt;=15,"Expert",HR_Data[[#This Row],[Experience]]&gt;=8,"Senior",HR_Data[[#This Row],[Experience]]&gt;=3,"Mid-Level",TRUE(),"Junior")</f>
        <v>Expert</v>
      </c>
    </row>
    <row r="188" spans="1:22" ht="14.25" customHeight="1" x14ac:dyDescent="0.3">
      <c r="A188" t="s">
        <v>533</v>
      </c>
      <c r="B188" t="s">
        <v>409</v>
      </c>
      <c r="C188" t="s">
        <v>55</v>
      </c>
      <c r="D188" t="s">
        <v>33</v>
      </c>
      <c r="E188">
        <v>49</v>
      </c>
      <c r="F188">
        <v>96360</v>
      </c>
      <c r="G188">
        <v>22</v>
      </c>
      <c r="H188" t="s">
        <v>534</v>
      </c>
      <c r="I188" t="s">
        <v>80</v>
      </c>
      <c r="J188" t="s">
        <v>63</v>
      </c>
      <c r="K188" t="s">
        <v>29</v>
      </c>
      <c r="L188" t="str">
        <f t="array" ref="L188">_xlfn.IFS(HR_Data[[#This Row],[Experience]]&lt;2,"0-2 Years",HR_Data[[#This Row],[Experience]]&lt;5,"2-5 Years",HR_Data[[#This Row],[Experience]]&lt;10,"5-10 Years",TRUE(),"10+ Years")</f>
        <v>10+ Years</v>
      </c>
      <c r="M188" t="str">
        <f t="array" ref="M188">_xlfn.IFS(HR_Data[[#This Row],[Salary]]&lt;40000,"Low",HR_Data[[#This Row],[Salary]]&lt;70000,"Medium",HR_Data[[#This Row],[Salary]]&lt;100000,"High",TRUE(),"Very High")</f>
        <v>High</v>
      </c>
      <c r="N188" t="str">
        <f t="array" ref="N188">_xlfn.IFS(HR_Data[[#This Row],[Age]]&lt;25,"18-24",HR_Data[[#This Row],[Age]]&lt;35,"25-34",HR_Data[[#This Row],[Age]]&lt;45,"35-44",TRUE(),"45+")</f>
        <v>45+</v>
      </c>
      <c r="O188">
        <f>YEAR(HR_Data[[#This Row],[Joining Date]])</f>
        <v>2021</v>
      </c>
      <c r="P188" t="str">
        <f>TEXT(HR_Data[[#This Row],[Joining Date]],"mmmm")</f>
        <v>June</v>
      </c>
      <c r="Q188">
        <f t="array" ref="Q188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188">
        <f>HR_Data[[#This Row],[Salary]]*HR_Data[[#This Row],[Bonus %]]</f>
        <v>19272</v>
      </c>
      <c r="S188">
        <f>HR_Data[[#This Row],[Salary]]+HR_Data[[#This Row],[Bonus Amount]]</f>
        <v>115632</v>
      </c>
      <c r="T188" t="str">
        <f>IF(HR_Data[[#This Row],[Attrition]]="Yes","Inactive","Active")</f>
        <v>Active</v>
      </c>
      <c r="U188" t="str">
        <f t="array" ref="U188">_xlfn.IFS(HR_Data[[#This Row],[Salary]]&gt;=100000,"A",HR_Data[[#This Row],[Salary]]&gt;=70000,"B",HR_Data[[#This Row],[Salary]]&gt;=50000,"C",TRUE(),"D")</f>
        <v>B</v>
      </c>
      <c r="V188" t="str">
        <f t="array" ref="V188">_xlfn.IFS(HR_Data[[#This Row],[Experience]]&gt;=15,"Expert",HR_Data[[#This Row],[Experience]]&gt;=8,"Senior",HR_Data[[#This Row],[Experience]]&gt;=3,"Mid-Level",TRUE(),"Junior")</f>
        <v>Expert</v>
      </c>
    </row>
    <row r="189" spans="1:22" ht="14.25" customHeight="1" x14ac:dyDescent="0.3">
      <c r="A189" t="s">
        <v>535</v>
      </c>
      <c r="B189" t="s">
        <v>99</v>
      </c>
      <c r="C189" t="s">
        <v>60</v>
      </c>
      <c r="D189" t="s">
        <v>25</v>
      </c>
      <c r="E189">
        <v>25</v>
      </c>
      <c r="F189">
        <v>25989</v>
      </c>
      <c r="G189">
        <v>2</v>
      </c>
      <c r="H189" t="s">
        <v>536</v>
      </c>
      <c r="I189" t="s">
        <v>45</v>
      </c>
      <c r="J189" t="s">
        <v>46</v>
      </c>
      <c r="K189" t="s">
        <v>29</v>
      </c>
      <c r="L189" t="str">
        <f t="array" ref="L189">_xlfn.IFS(HR_Data[[#This Row],[Experience]]&lt;2,"0-2 Years",HR_Data[[#This Row],[Experience]]&lt;5,"2-5 Years",HR_Data[[#This Row],[Experience]]&lt;10,"5-10 Years",TRUE(),"10+ Years")</f>
        <v>2-5 Years</v>
      </c>
      <c r="M189" t="str">
        <f t="array" ref="M189">_xlfn.IFS(HR_Data[[#This Row],[Salary]]&lt;40000,"Low",HR_Data[[#This Row],[Salary]]&lt;70000,"Medium",HR_Data[[#This Row],[Salary]]&lt;100000,"High",TRUE(),"Very High")</f>
        <v>Low</v>
      </c>
      <c r="N189" t="str">
        <f t="array" ref="N189">_xlfn.IFS(HR_Data[[#This Row],[Age]]&lt;25,"18-24",HR_Data[[#This Row],[Age]]&lt;35,"25-34",HR_Data[[#This Row],[Age]]&lt;45,"35-44",TRUE(),"45+")</f>
        <v>25-34</v>
      </c>
      <c r="O189">
        <f>YEAR(HR_Data[[#This Row],[Joining Date]])</f>
        <v>2022</v>
      </c>
      <c r="P189" t="str">
        <f>TEXT(HR_Data[[#This Row],[Joining Date]],"mmmm")</f>
        <v>October</v>
      </c>
      <c r="Q189">
        <f t="array" ref="Q189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189">
        <f>HR_Data[[#This Row],[Salary]]*HR_Data[[#This Row],[Bonus %]]</f>
        <v>1299.45</v>
      </c>
      <c r="S189">
        <f>HR_Data[[#This Row],[Salary]]+HR_Data[[#This Row],[Bonus Amount]]</f>
        <v>27288.45</v>
      </c>
      <c r="T189" t="str">
        <f>IF(HR_Data[[#This Row],[Attrition]]="Yes","Inactive","Active")</f>
        <v>Active</v>
      </c>
      <c r="U189" t="str">
        <f t="array" ref="U189">_xlfn.IFS(HR_Data[[#This Row],[Salary]]&gt;=100000,"A",HR_Data[[#This Row],[Salary]]&gt;=70000,"B",HR_Data[[#This Row],[Salary]]&gt;=50000,"C",TRUE(),"D")</f>
        <v>D</v>
      </c>
      <c r="V189" t="str">
        <f t="array" ref="V189">_xlfn.IFS(HR_Data[[#This Row],[Experience]]&gt;=15,"Expert",HR_Data[[#This Row],[Experience]]&gt;=8,"Senior",HR_Data[[#This Row],[Experience]]&gt;=3,"Mid-Level",TRUE(),"Junior")</f>
        <v>Junior</v>
      </c>
    </row>
    <row r="190" spans="1:22" ht="14.25" customHeight="1" x14ac:dyDescent="0.3">
      <c r="A190" t="s">
        <v>537</v>
      </c>
      <c r="B190" t="s">
        <v>538</v>
      </c>
      <c r="C190" t="s">
        <v>60</v>
      </c>
      <c r="D190" t="s">
        <v>33</v>
      </c>
      <c r="E190">
        <v>38</v>
      </c>
      <c r="F190">
        <v>74979</v>
      </c>
      <c r="G190">
        <v>17</v>
      </c>
      <c r="H190" t="s">
        <v>539</v>
      </c>
      <c r="I190" t="s">
        <v>42</v>
      </c>
      <c r="J190" t="s">
        <v>28</v>
      </c>
      <c r="K190" t="s">
        <v>29</v>
      </c>
      <c r="L190" t="str">
        <f t="array" ref="L190">_xlfn.IFS(HR_Data[[#This Row],[Experience]]&lt;2,"0-2 Years",HR_Data[[#This Row],[Experience]]&lt;5,"2-5 Years",HR_Data[[#This Row],[Experience]]&lt;10,"5-10 Years",TRUE(),"10+ Years")</f>
        <v>10+ Years</v>
      </c>
      <c r="M190" t="str">
        <f t="array" ref="M190">_xlfn.IFS(HR_Data[[#This Row],[Salary]]&lt;40000,"Low",HR_Data[[#This Row],[Salary]]&lt;70000,"Medium",HR_Data[[#This Row],[Salary]]&lt;100000,"High",TRUE(),"Very High")</f>
        <v>High</v>
      </c>
      <c r="N190" t="str">
        <f t="array" ref="N190">_xlfn.IFS(HR_Data[[#This Row],[Age]]&lt;25,"18-24",HR_Data[[#This Row],[Age]]&lt;35,"25-34",HR_Data[[#This Row],[Age]]&lt;45,"35-44",TRUE(),"45+")</f>
        <v>35-44</v>
      </c>
      <c r="O190">
        <f>YEAR(HR_Data[[#This Row],[Joining Date]])</f>
        <v>2020</v>
      </c>
      <c r="P190" t="str">
        <f>TEXT(HR_Data[[#This Row],[Joining Date]],"mmmm")</f>
        <v>May</v>
      </c>
      <c r="Q190">
        <f t="array" ref="Q190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190">
        <f>HR_Data[[#This Row],[Salary]]*HR_Data[[#This Row],[Bonus %]]</f>
        <v>11246.85</v>
      </c>
      <c r="S190">
        <f>HR_Data[[#This Row],[Salary]]+HR_Data[[#This Row],[Bonus Amount]]</f>
        <v>86225.85</v>
      </c>
      <c r="T190" t="str">
        <f>IF(HR_Data[[#This Row],[Attrition]]="Yes","Inactive","Active")</f>
        <v>Active</v>
      </c>
      <c r="U190" t="str">
        <f t="array" ref="U190">_xlfn.IFS(HR_Data[[#This Row],[Salary]]&gt;=100000,"A",HR_Data[[#This Row],[Salary]]&gt;=70000,"B",HR_Data[[#This Row],[Salary]]&gt;=50000,"C",TRUE(),"D")</f>
        <v>B</v>
      </c>
      <c r="V190" t="str">
        <f t="array" ref="V190">_xlfn.IFS(HR_Data[[#This Row],[Experience]]&gt;=15,"Expert",HR_Data[[#This Row],[Experience]]&gt;=8,"Senior",HR_Data[[#This Row],[Experience]]&gt;=3,"Mid-Level",TRUE(),"Junior")</f>
        <v>Expert</v>
      </c>
    </row>
    <row r="191" spans="1:22" ht="14.25" customHeight="1" x14ac:dyDescent="0.3">
      <c r="A191" t="s">
        <v>540</v>
      </c>
      <c r="B191" t="s">
        <v>239</v>
      </c>
      <c r="C191" t="s">
        <v>32</v>
      </c>
      <c r="D191" t="s">
        <v>25</v>
      </c>
      <c r="E191">
        <v>50</v>
      </c>
      <c r="F191">
        <v>115679</v>
      </c>
      <c r="G191">
        <v>26</v>
      </c>
      <c r="H191" t="s">
        <v>541</v>
      </c>
      <c r="I191" t="s">
        <v>35</v>
      </c>
      <c r="J191" t="s">
        <v>36</v>
      </c>
      <c r="K191" t="s">
        <v>29</v>
      </c>
      <c r="L191" t="str">
        <f t="array" ref="L191">_xlfn.IFS(HR_Data[[#This Row],[Experience]]&lt;2,"0-2 Years",HR_Data[[#This Row],[Experience]]&lt;5,"2-5 Years",HR_Data[[#This Row],[Experience]]&lt;10,"5-10 Years",TRUE(),"10+ Years")</f>
        <v>10+ Years</v>
      </c>
      <c r="M191" t="str">
        <f t="array" ref="M191">_xlfn.IFS(HR_Data[[#This Row],[Salary]]&lt;40000,"Low",HR_Data[[#This Row],[Salary]]&lt;70000,"Medium",HR_Data[[#This Row],[Salary]]&lt;100000,"High",TRUE(),"Very High")</f>
        <v>Very High</v>
      </c>
      <c r="N191" t="str">
        <f t="array" ref="N191">_xlfn.IFS(HR_Data[[#This Row],[Age]]&lt;25,"18-24",HR_Data[[#This Row],[Age]]&lt;35,"25-34",HR_Data[[#This Row],[Age]]&lt;45,"35-44",TRUE(),"45+")</f>
        <v>45+</v>
      </c>
      <c r="O191">
        <f>YEAR(HR_Data[[#This Row],[Joining Date]])</f>
        <v>2017</v>
      </c>
      <c r="P191" t="str">
        <f>TEXT(HR_Data[[#This Row],[Joining Date]],"mmmm")</f>
        <v>April</v>
      </c>
      <c r="Q191">
        <f t="array" ref="Q19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91">
        <f>HR_Data[[#This Row],[Salary]]*HR_Data[[#This Row],[Bonus %]]</f>
        <v>11567.900000000001</v>
      </c>
      <c r="S191">
        <f>HR_Data[[#This Row],[Salary]]+HR_Data[[#This Row],[Bonus Amount]]</f>
        <v>127246.9</v>
      </c>
      <c r="T191" t="str">
        <f>IF(HR_Data[[#This Row],[Attrition]]="Yes","Inactive","Active")</f>
        <v>Active</v>
      </c>
      <c r="U191" t="str">
        <f t="array" ref="U191">_xlfn.IFS(HR_Data[[#This Row],[Salary]]&gt;=100000,"A",HR_Data[[#This Row],[Salary]]&gt;=70000,"B",HR_Data[[#This Row],[Salary]]&gt;=50000,"C",TRUE(),"D")</f>
        <v>A</v>
      </c>
      <c r="V191" t="str">
        <f t="array" ref="V191">_xlfn.IFS(HR_Data[[#This Row],[Experience]]&gt;=15,"Expert",HR_Data[[#This Row],[Experience]]&gt;=8,"Senior",HR_Data[[#This Row],[Experience]]&gt;=3,"Mid-Level",TRUE(),"Junior")</f>
        <v>Expert</v>
      </c>
    </row>
    <row r="192" spans="1:22" ht="14.25" customHeight="1" x14ac:dyDescent="0.3">
      <c r="A192" t="s">
        <v>542</v>
      </c>
      <c r="B192" t="s">
        <v>543</v>
      </c>
      <c r="C192" t="s">
        <v>60</v>
      </c>
      <c r="D192" t="s">
        <v>33</v>
      </c>
      <c r="E192">
        <v>35</v>
      </c>
      <c r="F192">
        <v>65924</v>
      </c>
      <c r="G192">
        <v>12</v>
      </c>
      <c r="H192" t="s">
        <v>544</v>
      </c>
      <c r="I192" t="s">
        <v>132</v>
      </c>
      <c r="J192" t="s">
        <v>36</v>
      </c>
      <c r="K192" t="s">
        <v>29</v>
      </c>
      <c r="L192" t="str">
        <f t="array" ref="L192">_xlfn.IFS(HR_Data[[#This Row],[Experience]]&lt;2,"0-2 Years",HR_Data[[#This Row],[Experience]]&lt;5,"2-5 Years",HR_Data[[#This Row],[Experience]]&lt;10,"5-10 Years",TRUE(),"10+ Years")</f>
        <v>10+ Years</v>
      </c>
      <c r="M192" t="str">
        <f t="array" ref="M192">_xlfn.IFS(HR_Data[[#This Row],[Salary]]&lt;40000,"Low",HR_Data[[#This Row],[Salary]]&lt;70000,"Medium",HR_Data[[#This Row],[Salary]]&lt;100000,"High",TRUE(),"Very High")</f>
        <v>Medium</v>
      </c>
      <c r="N192" t="str">
        <f t="array" ref="N192">_xlfn.IFS(HR_Data[[#This Row],[Age]]&lt;25,"18-24",HR_Data[[#This Row],[Age]]&lt;35,"25-34",HR_Data[[#This Row],[Age]]&lt;45,"35-44",TRUE(),"45+")</f>
        <v>35-44</v>
      </c>
      <c r="O192">
        <f>YEAR(HR_Data[[#This Row],[Joining Date]])</f>
        <v>2021</v>
      </c>
      <c r="P192" t="str">
        <f>TEXT(HR_Data[[#This Row],[Joining Date]],"mmmm")</f>
        <v>May</v>
      </c>
      <c r="Q192">
        <f t="array" ref="Q19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92">
        <f>HR_Data[[#This Row],[Salary]]*HR_Data[[#This Row],[Bonus %]]</f>
        <v>6592.4000000000005</v>
      </c>
      <c r="S192">
        <f>HR_Data[[#This Row],[Salary]]+HR_Data[[#This Row],[Bonus Amount]]</f>
        <v>72516.399999999994</v>
      </c>
      <c r="T192" t="str">
        <f>IF(HR_Data[[#This Row],[Attrition]]="Yes","Inactive","Active")</f>
        <v>Active</v>
      </c>
      <c r="U192" t="str">
        <f t="array" ref="U192">_xlfn.IFS(HR_Data[[#This Row],[Salary]]&gt;=100000,"A",HR_Data[[#This Row],[Salary]]&gt;=70000,"B",HR_Data[[#This Row],[Salary]]&gt;=50000,"C",TRUE(),"D")</f>
        <v>C</v>
      </c>
      <c r="V192" t="str">
        <f t="array" ref="V192">_xlfn.IFS(HR_Data[[#This Row],[Experience]]&gt;=15,"Expert",HR_Data[[#This Row],[Experience]]&gt;=8,"Senior",HR_Data[[#This Row],[Experience]]&gt;=3,"Mid-Level",TRUE(),"Junior")</f>
        <v>Senior</v>
      </c>
    </row>
    <row r="193" spans="1:22" ht="14.25" customHeight="1" x14ac:dyDescent="0.3">
      <c r="A193" t="s">
        <v>545</v>
      </c>
      <c r="B193" t="s">
        <v>546</v>
      </c>
      <c r="C193" t="s">
        <v>112</v>
      </c>
      <c r="D193" t="s">
        <v>25</v>
      </c>
      <c r="E193">
        <v>47</v>
      </c>
      <c r="F193">
        <v>101390</v>
      </c>
      <c r="G193">
        <v>26</v>
      </c>
      <c r="H193" t="s">
        <v>547</v>
      </c>
      <c r="I193" t="s">
        <v>72</v>
      </c>
      <c r="J193" t="s">
        <v>46</v>
      </c>
      <c r="K193" t="s">
        <v>29</v>
      </c>
      <c r="L193" t="str">
        <f t="array" ref="L193">_xlfn.IFS(HR_Data[[#This Row],[Experience]]&lt;2,"0-2 Years",HR_Data[[#This Row],[Experience]]&lt;5,"2-5 Years",HR_Data[[#This Row],[Experience]]&lt;10,"5-10 Years",TRUE(),"10+ Years")</f>
        <v>10+ Years</v>
      </c>
      <c r="M193" t="str">
        <f t="array" ref="M193">_xlfn.IFS(HR_Data[[#This Row],[Salary]]&lt;40000,"Low",HR_Data[[#This Row],[Salary]]&lt;70000,"Medium",HR_Data[[#This Row],[Salary]]&lt;100000,"High",TRUE(),"Very High")</f>
        <v>Very High</v>
      </c>
      <c r="N193" t="str">
        <f t="array" ref="N193">_xlfn.IFS(HR_Data[[#This Row],[Age]]&lt;25,"18-24",HR_Data[[#This Row],[Age]]&lt;35,"25-34",HR_Data[[#This Row],[Age]]&lt;45,"35-44",TRUE(),"45+")</f>
        <v>45+</v>
      </c>
      <c r="O193">
        <f>YEAR(HR_Data[[#This Row],[Joining Date]])</f>
        <v>2023</v>
      </c>
      <c r="P193" t="str">
        <f>TEXT(HR_Data[[#This Row],[Joining Date]],"mmmm")</f>
        <v>November</v>
      </c>
      <c r="Q193">
        <f t="array" ref="Q193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193">
        <f>HR_Data[[#This Row],[Salary]]*HR_Data[[#This Row],[Bonus %]]</f>
        <v>5069.5</v>
      </c>
      <c r="S193">
        <f>HR_Data[[#This Row],[Salary]]+HR_Data[[#This Row],[Bonus Amount]]</f>
        <v>106459.5</v>
      </c>
      <c r="T193" t="str">
        <f>IF(HR_Data[[#This Row],[Attrition]]="Yes","Inactive","Active")</f>
        <v>Active</v>
      </c>
      <c r="U193" t="str">
        <f t="array" ref="U193">_xlfn.IFS(HR_Data[[#This Row],[Salary]]&gt;=100000,"A",HR_Data[[#This Row],[Salary]]&gt;=70000,"B",HR_Data[[#This Row],[Salary]]&gt;=50000,"C",TRUE(),"D")</f>
        <v>A</v>
      </c>
      <c r="V193" t="str">
        <f t="array" ref="V193">_xlfn.IFS(HR_Data[[#This Row],[Experience]]&gt;=15,"Expert",HR_Data[[#This Row],[Experience]]&gt;=8,"Senior",HR_Data[[#This Row],[Experience]]&gt;=3,"Mid-Level",TRUE(),"Junior")</f>
        <v>Expert</v>
      </c>
    </row>
    <row r="194" spans="1:22" ht="14.25" customHeight="1" x14ac:dyDescent="0.3">
      <c r="A194" t="s">
        <v>548</v>
      </c>
      <c r="B194" t="s">
        <v>436</v>
      </c>
      <c r="C194" t="s">
        <v>75</v>
      </c>
      <c r="D194" t="s">
        <v>25</v>
      </c>
      <c r="E194">
        <v>30</v>
      </c>
      <c r="F194">
        <v>45524</v>
      </c>
      <c r="G194">
        <v>6</v>
      </c>
      <c r="H194" t="s">
        <v>549</v>
      </c>
      <c r="I194" t="s">
        <v>80</v>
      </c>
      <c r="J194" t="s">
        <v>90</v>
      </c>
      <c r="K194" t="s">
        <v>29</v>
      </c>
      <c r="L194" t="str">
        <f t="array" ref="L194">_xlfn.IFS(HR_Data[[#This Row],[Experience]]&lt;2,"0-2 Years",HR_Data[[#This Row],[Experience]]&lt;5,"2-5 Years",HR_Data[[#This Row],[Experience]]&lt;10,"5-10 Years",TRUE(),"10+ Years")</f>
        <v>5-10 Years</v>
      </c>
      <c r="M194" t="str">
        <f t="array" ref="M194">_xlfn.IFS(HR_Data[[#This Row],[Salary]]&lt;40000,"Low",HR_Data[[#This Row],[Salary]]&lt;70000,"Medium",HR_Data[[#This Row],[Salary]]&lt;100000,"High",TRUE(),"Very High")</f>
        <v>Medium</v>
      </c>
      <c r="N194" t="str">
        <f t="array" ref="N194">_xlfn.IFS(HR_Data[[#This Row],[Age]]&lt;25,"18-24",HR_Data[[#This Row],[Age]]&lt;35,"25-34",HR_Data[[#This Row],[Age]]&lt;45,"35-44",TRUE(),"45+")</f>
        <v>25-34</v>
      </c>
      <c r="O194">
        <f>YEAR(HR_Data[[#This Row],[Joining Date]])</f>
        <v>2025</v>
      </c>
      <c r="P194" t="str">
        <f>TEXT(HR_Data[[#This Row],[Joining Date]],"mmmm")</f>
        <v>March</v>
      </c>
      <c r="Q194">
        <f t="array" ref="Q194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194">
        <f>HR_Data[[#This Row],[Salary]]*HR_Data[[#This Row],[Bonus %]]</f>
        <v>0</v>
      </c>
      <c r="S194">
        <f>HR_Data[[#This Row],[Salary]]+HR_Data[[#This Row],[Bonus Amount]]</f>
        <v>45524</v>
      </c>
      <c r="T194" t="str">
        <f>IF(HR_Data[[#This Row],[Attrition]]="Yes","Inactive","Active")</f>
        <v>Active</v>
      </c>
      <c r="U194" t="str">
        <f t="array" ref="U194">_xlfn.IFS(HR_Data[[#This Row],[Salary]]&gt;=100000,"A",HR_Data[[#This Row],[Salary]]&gt;=70000,"B",HR_Data[[#This Row],[Salary]]&gt;=50000,"C",TRUE(),"D")</f>
        <v>D</v>
      </c>
      <c r="V194" t="str">
        <f t="array" ref="V194">_xlfn.IFS(HR_Data[[#This Row],[Experience]]&gt;=15,"Expert",HR_Data[[#This Row],[Experience]]&gt;=8,"Senior",HR_Data[[#This Row],[Experience]]&gt;=3,"Mid-Level",TRUE(),"Junior")</f>
        <v>Mid-Level</v>
      </c>
    </row>
    <row r="195" spans="1:22" ht="14.25" customHeight="1" x14ac:dyDescent="0.3">
      <c r="A195" t="s">
        <v>550</v>
      </c>
      <c r="B195" t="s">
        <v>551</v>
      </c>
      <c r="C195" t="s">
        <v>55</v>
      </c>
      <c r="D195" t="s">
        <v>25</v>
      </c>
      <c r="E195">
        <v>32</v>
      </c>
      <c r="F195">
        <v>66235</v>
      </c>
      <c r="G195">
        <v>12</v>
      </c>
      <c r="H195" t="s">
        <v>552</v>
      </c>
      <c r="I195" t="s">
        <v>72</v>
      </c>
      <c r="J195" t="s">
        <v>36</v>
      </c>
      <c r="K195" t="s">
        <v>29</v>
      </c>
      <c r="L195" t="str">
        <f t="array" ref="L195">_xlfn.IFS(HR_Data[[#This Row],[Experience]]&lt;2,"0-2 Years",HR_Data[[#This Row],[Experience]]&lt;5,"2-5 Years",HR_Data[[#This Row],[Experience]]&lt;10,"5-10 Years",TRUE(),"10+ Years")</f>
        <v>10+ Years</v>
      </c>
      <c r="M195" t="str">
        <f t="array" ref="M195">_xlfn.IFS(HR_Data[[#This Row],[Salary]]&lt;40000,"Low",HR_Data[[#This Row],[Salary]]&lt;70000,"Medium",HR_Data[[#This Row],[Salary]]&lt;100000,"High",TRUE(),"Very High")</f>
        <v>Medium</v>
      </c>
      <c r="N195" t="str">
        <f t="array" ref="N195">_xlfn.IFS(HR_Data[[#This Row],[Age]]&lt;25,"18-24",HR_Data[[#This Row],[Age]]&lt;35,"25-34",HR_Data[[#This Row],[Age]]&lt;45,"35-44",TRUE(),"45+")</f>
        <v>25-34</v>
      </c>
      <c r="O195">
        <f>YEAR(HR_Data[[#This Row],[Joining Date]])</f>
        <v>2018</v>
      </c>
      <c r="P195" t="str">
        <f>TEXT(HR_Data[[#This Row],[Joining Date]],"mmmm")</f>
        <v>August</v>
      </c>
      <c r="Q195">
        <f t="array" ref="Q19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95">
        <f>HR_Data[[#This Row],[Salary]]*HR_Data[[#This Row],[Bonus %]]</f>
        <v>6623.5</v>
      </c>
      <c r="S195">
        <f>HR_Data[[#This Row],[Salary]]+HR_Data[[#This Row],[Bonus Amount]]</f>
        <v>72858.5</v>
      </c>
      <c r="T195" t="str">
        <f>IF(HR_Data[[#This Row],[Attrition]]="Yes","Inactive","Active")</f>
        <v>Active</v>
      </c>
      <c r="U195" t="str">
        <f t="array" ref="U195">_xlfn.IFS(HR_Data[[#This Row],[Salary]]&gt;=100000,"A",HR_Data[[#This Row],[Salary]]&gt;=70000,"B",HR_Data[[#This Row],[Salary]]&gt;=50000,"C",TRUE(),"D")</f>
        <v>C</v>
      </c>
      <c r="V195" t="str">
        <f t="array" ref="V195">_xlfn.IFS(HR_Data[[#This Row],[Experience]]&gt;=15,"Expert",HR_Data[[#This Row],[Experience]]&gt;=8,"Senior",HR_Data[[#This Row],[Experience]]&gt;=3,"Mid-Level",TRUE(),"Junior")</f>
        <v>Senior</v>
      </c>
    </row>
    <row r="196" spans="1:22" ht="14.25" customHeight="1" x14ac:dyDescent="0.3">
      <c r="A196" t="s">
        <v>553</v>
      </c>
      <c r="B196" t="s">
        <v>69</v>
      </c>
      <c r="C196" t="s">
        <v>70</v>
      </c>
      <c r="D196" t="s">
        <v>25</v>
      </c>
      <c r="E196">
        <v>33</v>
      </c>
      <c r="F196">
        <v>68687</v>
      </c>
      <c r="G196">
        <v>12</v>
      </c>
      <c r="H196" t="s">
        <v>554</v>
      </c>
      <c r="I196" t="s">
        <v>67</v>
      </c>
      <c r="J196" t="s">
        <v>36</v>
      </c>
      <c r="K196" t="s">
        <v>37</v>
      </c>
      <c r="L196" t="str">
        <f t="array" ref="L196">_xlfn.IFS(HR_Data[[#This Row],[Experience]]&lt;2,"0-2 Years",HR_Data[[#This Row],[Experience]]&lt;5,"2-5 Years",HR_Data[[#This Row],[Experience]]&lt;10,"5-10 Years",TRUE(),"10+ Years")</f>
        <v>10+ Years</v>
      </c>
      <c r="M196" t="str">
        <f t="array" ref="M196">_xlfn.IFS(HR_Data[[#This Row],[Salary]]&lt;40000,"Low",HR_Data[[#This Row],[Salary]]&lt;70000,"Medium",HR_Data[[#This Row],[Salary]]&lt;100000,"High",TRUE(),"Very High")</f>
        <v>Medium</v>
      </c>
      <c r="N196" t="str">
        <f t="array" ref="N196">_xlfn.IFS(HR_Data[[#This Row],[Age]]&lt;25,"18-24",HR_Data[[#This Row],[Age]]&lt;35,"25-34",HR_Data[[#This Row],[Age]]&lt;45,"35-44",TRUE(),"45+")</f>
        <v>25-34</v>
      </c>
      <c r="O196">
        <f>YEAR(HR_Data[[#This Row],[Joining Date]])</f>
        <v>2024</v>
      </c>
      <c r="P196" t="str">
        <f>TEXT(HR_Data[[#This Row],[Joining Date]],"mmmm")</f>
        <v>August</v>
      </c>
      <c r="Q196">
        <f t="array" ref="Q19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96">
        <f>HR_Data[[#This Row],[Salary]]*HR_Data[[#This Row],[Bonus %]]</f>
        <v>6868.7000000000007</v>
      </c>
      <c r="S196">
        <f>HR_Data[[#This Row],[Salary]]+HR_Data[[#This Row],[Bonus Amount]]</f>
        <v>75555.7</v>
      </c>
      <c r="T196" t="str">
        <f>IF(HR_Data[[#This Row],[Attrition]]="Yes","Inactive","Active")</f>
        <v>Inactive</v>
      </c>
      <c r="U196" t="str">
        <f t="array" ref="U196">_xlfn.IFS(HR_Data[[#This Row],[Salary]]&gt;=100000,"A",HR_Data[[#This Row],[Salary]]&gt;=70000,"B",HR_Data[[#This Row],[Salary]]&gt;=50000,"C",TRUE(),"D")</f>
        <v>C</v>
      </c>
      <c r="V196" t="str">
        <f t="array" ref="V196">_xlfn.IFS(HR_Data[[#This Row],[Experience]]&gt;=15,"Expert",HR_Data[[#This Row],[Experience]]&gt;=8,"Senior",HR_Data[[#This Row],[Experience]]&gt;=3,"Mid-Level",TRUE(),"Junior")</f>
        <v>Senior</v>
      </c>
    </row>
    <row r="197" spans="1:22" ht="14.25" customHeight="1" x14ac:dyDescent="0.3">
      <c r="A197" t="s">
        <v>555</v>
      </c>
      <c r="B197" t="s">
        <v>124</v>
      </c>
      <c r="C197" t="s">
        <v>24</v>
      </c>
      <c r="D197" t="s">
        <v>33</v>
      </c>
      <c r="E197">
        <v>34</v>
      </c>
      <c r="F197">
        <v>73545</v>
      </c>
      <c r="G197">
        <v>15</v>
      </c>
      <c r="H197" t="s">
        <v>556</v>
      </c>
      <c r="I197" t="s">
        <v>80</v>
      </c>
      <c r="J197" t="s">
        <v>28</v>
      </c>
      <c r="K197" t="s">
        <v>29</v>
      </c>
      <c r="L197" t="str">
        <f t="array" ref="L197">_xlfn.IFS(HR_Data[[#This Row],[Experience]]&lt;2,"0-2 Years",HR_Data[[#This Row],[Experience]]&lt;5,"2-5 Years",HR_Data[[#This Row],[Experience]]&lt;10,"5-10 Years",TRUE(),"10+ Years")</f>
        <v>10+ Years</v>
      </c>
      <c r="M197" t="str">
        <f t="array" ref="M197">_xlfn.IFS(HR_Data[[#This Row],[Salary]]&lt;40000,"Low",HR_Data[[#This Row],[Salary]]&lt;70000,"Medium",HR_Data[[#This Row],[Salary]]&lt;100000,"High",TRUE(),"Very High")</f>
        <v>High</v>
      </c>
      <c r="N197" t="str">
        <f t="array" ref="N197">_xlfn.IFS(HR_Data[[#This Row],[Age]]&lt;25,"18-24",HR_Data[[#This Row],[Age]]&lt;35,"25-34",HR_Data[[#This Row],[Age]]&lt;45,"35-44",TRUE(),"45+")</f>
        <v>25-34</v>
      </c>
      <c r="O197">
        <f>YEAR(HR_Data[[#This Row],[Joining Date]])</f>
        <v>2023</v>
      </c>
      <c r="P197" t="str">
        <f>TEXT(HR_Data[[#This Row],[Joining Date]],"mmmm")</f>
        <v>August</v>
      </c>
      <c r="Q197">
        <f t="array" ref="Q19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197">
        <f>HR_Data[[#This Row],[Salary]]*HR_Data[[#This Row],[Bonus %]]</f>
        <v>11031.75</v>
      </c>
      <c r="S197">
        <f>HR_Data[[#This Row],[Salary]]+HR_Data[[#This Row],[Bonus Amount]]</f>
        <v>84576.75</v>
      </c>
      <c r="T197" t="str">
        <f>IF(HR_Data[[#This Row],[Attrition]]="Yes","Inactive","Active")</f>
        <v>Active</v>
      </c>
      <c r="U197" t="str">
        <f t="array" ref="U197">_xlfn.IFS(HR_Data[[#This Row],[Salary]]&gt;=100000,"A",HR_Data[[#This Row],[Salary]]&gt;=70000,"B",HR_Data[[#This Row],[Salary]]&gt;=50000,"C",TRUE(),"D")</f>
        <v>B</v>
      </c>
      <c r="V197" t="str">
        <f t="array" ref="V197">_xlfn.IFS(HR_Data[[#This Row],[Experience]]&gt;=15,"Expert",HR_Data[[#This Row],[Experience]]&gt;=8,"Senior",HR_Data[[#This Row],[Experience]]&gt;=3,"Mid-Level",TRUE(),"Junior")</f>
        <v>Expert</v>
      </c>
    </row>
    <row r="198" spans="1:22" ht="14.25" customHeight="1" x14ac:dyDescent="0.3">
      <c r="A198" t="s">
        <v>557</v>
      </c>
      <c r="B198" t="s">
        <v>558</v>
      </c>
      <c r="C198" t="s">
        <v>75</v>
      </c>
      <c r="D198" t="s">
        <v>25</v>
      </c>
      <c r="E198">
        <v>53</v>
      </c>
      <c r="F198">
        <v>98343</v>
      </c>
      <c r="G198">
        <v>23</v>
      </c>
      <c r="H198" t="s">
        <v>559</v>
      </c>
      <c r="I198" t="s">
        <v>42</v>
      </c>
      <c r="J198" t="s">
        <v>36</v>
      </c>
      <c r="K198" t="s">
        <v>29</v>
      </c>
      <c r="L198" t="str">
        <f t="array" ref="L198">_xlfn.IFS(HR_Data[[#This Row],[Experience]]&lt;2,"0-2 Years",HR_Data[[#This Row],[Experience]]&lt;5,"2-5 Years",HR_Data[[#This Row],[Experience]]&lt;10,"5-10 Years",TRUE(),"10+ Years")</f>
        <v>10+ Years</v>
      </c>
      <c r="M198" t="str">
        <f t="array" ref="M198">_xlfn.IFS(HR_Data[[#This Row],[Salary]]&lt;40000,"Low",HR_Data[[#This Row],[Salary]]&lt;70000,"Medium",HR_Data[[#This Row],[Salary]]&lt;100000,"High",TRUE(),"Very High")</f>
        <v>High</v>
      </c>
      <c r="N198" t="str">
        <f t="array" ref="N198">_xlfn.IFS(HR_Data[[#This Row],[Age]]&lt;25,"18-24",HR_Data[[#This Row],[Age]]&lt;35,"25-34",HR_Data[[#This Row],[Age]]&lt;45,"35-44",TRUE(),"45+")</f>
        <v>45+</v>
      </c>
      <c r="O198">
        <f>YEAR(HR_Data[[#This Row],[Joining Date]])</f>
        <v>2016</v>
      </c>
      <c r="P198" t="str">
        <f>TEXT(HR_Data[[#This Row],[Joining Date]],"mmmm")</f>
        <v>May</v>
      </c>
      <c r="Q198">
        <f t="array" ref="Q19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98">
        <f>HR_Data[[#This Row],[Salary]]*HR_Data[[#This Row],[Bonus %]]</f>
        <v>9834.3000000000011</v>
      </c>
      <c r="S198">
        <f>HR_Data[[#This Row],[Salary]]+HR_Data[[#This Row],[Bonus Amount]]</f>
        <v>108177.3</v>
      </c>
      <c r="T198" t="str">
        <f>IF(HR_Data[[#This Row],[Attrition]]="Yes","Inactive","Active")</f>
        <v>Active</v>
      </c>
      <c r="U198" t="str">
        <f t="array" ref="U198">_xlfn.IFS(HR_Data[[#This Row],[Salary]]&gt;=100000,"A",HR_Data[[#This Row],[Salary]]&gt;=70000,"B",HR_Data[[#This Row],[Salary]]&gt;=50000,"C",TRUE(),"D")</f>
        <v>B</v>
      </c>
      <c r="V198" t="str">
        <f t="array" ref="V198">_xlfn.IFS(HR_Data[[#This Row],[Experience]]&gt;=15,"Expert",HR_Data[[#This Row],[Experience]]&gt;=8,"Senior",HR_Data[[#This Row],[Experience]]&gt;=3,"Mid-Level",TRUE(),"Junior")</f>
        <v>Expert</v>
      </c>
    </row>
    <row r="199" spans="1:22" ht="14.25" customHeight="1" x14ac:dyDescent="0.3">
      <c r="A199" t="s">
        <v>560</v>
      </c>
      <c r="B199" t="s">
        <v>561</v>
      </c>
      <c r="C199" t="s">
        <v>55</v>
      </c>
      <c r="D199" t="s">
        <v>25</v>
      </c>
      <c r="E199">
        <v>42</v>
      </c>
      <c r="F199">
        <v>81836</v>
      </c>
      <c r="G199">
        <v>18</v>
      </c>
      <c r="H199" t="s">
        <v>562</v>
      </c>
      <c r="I199" t="s">
        <v>45</v>
      </c>
      <c r="J199" t="s">
        <v>90</v>
      </c>
      <c r="K199" t="s">
        <v>29</v>
      </c>
      <c r="L199" t="str">
        <f t="array" ref="L199">_xlfn.IFS(HR_Data[[#This Row],[Experience]]&lt;2,"0-2 Years",HR_Data[[#This Row],[Experience]]&lt;5,"2-5 Years",HR_Data[[#This Row],[Experience]]&lt;10,"5-10 Years",TRUE(),"10+ Years")</f>
        <v>10+ Years</v>
      </c>
      <c r="M199" t="str">
        <f t="array" ref="M199">_xlfn.IFS(HR_Data[[#This Row],[Salary]]&lt;40000,"Low",HR_Data[[#This Row],[Salary]]&lt;70000,"Medium",HR_Data[[#This Row],[Salary]]&lt;100000,"High",TRUE(),"Very High")</f>
        <v>High</v>
      </c>
      <c r="N199" t="str">
        <f t="array" ref="N199">_xlfn.IFS(HR_Data[[#This Row],[Age]]&lt;25,"18-24",HR_Data[[#This Row],[Age]]&lt;35,"25-34",HR_Data[[#This Row],[Age]]&lt;45,"35-44",TRUE(),"45+")</f>
        <v>35-44</v>
      </c>
      <c r="O199">
        <f>YEAR(HR_Data[[#This Row],[Joining Date]])</f>
        <v>2019</v>
      </c>
      <c r="P199" t="str">
        <f>TEXT(HR_Data[[#This Row],[Joining Date]],"mmmm")</f>
        <v>December</v>
      </c>
      <c r="Q199">
        <f t="array" ref="Q199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199">
        <f>HR_Data[[#This Row],[Salary]]*HR_Data[[#This Row],[Bonus %]]</f>
        <v>0</v>
      </c>
      <c r="S199">
        <f>HR_Data[[#This Row],[Salary]]+HR_Data[[#This Row],[Bonus Amount]]</f>
        <v>81836</v>
      </c>
      <c r="T199" t="str">
        <f>IF(HR_Data[[#This Row],[Attrition]]="Yes","Inactive","Active")</f>
        <v>Active</v>
      </c>
      <c r="U199" t="str">
        <f t="array" ref="U199">_xlfn.IFS(HR_Data[[#This Row],[Salary]]&gt;=100000,"A",HR_Data[[#This Row],[Salary]]&gt;=70000,"B",HR_Data[[#This Row],[Salary]]&gt;=50000,"C",TRUE(),"D")</f>
        <v>B</v>
      </c>
      <c r="V199" t="str">
        <f t="array" ref="V199">_xlfn.IFS(HR_Data[[#This Row],[Experience]]&gt;=15,"Expert",HR_Data[[#This Row],[Experience]]&gt;=8,"Senior",HR_Data[[#This Row],[Experience]]&gt;=3,"Mid-Level",TRUE(),"Junior")</f>
        <v>Expert</v>
      </c>
    </row>
    <row r="200" spans="1:22" ht="14.25" customHeight="1" x14ac:dyDescent="0.3">
      <c r="A200" t="s">
        <v>563</v>
      </c>
      <c r="B200" t="s">
        <v>406</v>
      </c>
      <c r="C200" t="s">
        <v>93</v>
      </c>
      <c r="D200" t="s">
        <v>25</v>
      </c>
      <c r="E200">
        <v>57</v>
      </c>
      <c r="F200">
        <v>120156</v>
      </c>
      <c r="G200">
        <v>30</v>
      </c>
      <c r="H200" t="s">
        <v>564</v>
      </c>
      <c r="I200" t="s">
        <v>42</v>
      </c>
      <c r="J200" t="s">
        <v>36</v>
      </c>
      <c r="K200" t="s">
        <v>29</v>
      </c>
      <c r="L200" t="str">
        <f t="array" ref="L200">_xlfn.IFS(HR_Data[[#This Row],[Experience]]&lt;2,"0-2 Years",HR_Data[[#This Row],[Experience]]&lt;5,"2-5 Years",HR_Data[[#This Row],[Experience]]&lt;10,"5-10 Years",TRUE(),"10+ Years")</f>
        <v>10+ Years</v>
      </c>
      <c r="M200" t="str">
        <f t="array" ref="M200">_xlfn.IFS(HR_Data[[#This Row],[Salary]]&lt;40000,"Low",HR_Data[[#This Row],[Salary]]&lt;70000,"Medium",HR_Data[[#This Row],[Salary]]&lt;100000,"High",TRUE(),"Very High")</f>
        <v>Very High</v>
      </c>
      <c r="N200" t="str">
        <f t="array" ref="N200">_xlfn.IFS(HR_Data[[#This Row],[Age]]&lt;25,"18-24",HR_Data[[#This Row],[Age]]&lt;35,"25-34",HR_Data[[#This Row],[Age]]&lt;45,"35-44",TRUE(),"45+")</f>
        <v>45+</v>
      </c>
      <c r="O200">
        <f>YEAR(HR_Data[[#This Row],[Joining Date]])</f>
        <v>2020</v>
      </c>
      <c r="P200" t="str">
        <f>TEXT(HR_Data[[#This Row],[Joining Date]],"mmmm")</f>
        <v>July</v>
      </c>
      <c r="Q200">
        <f t="array" ref="Q20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00">
        <f>HR_Data[[#This Row],[Salary]]*HR_Data[[#This Row],[Bonus %]]</f>
        <v>12015.6</v>
      </c>
      <c r="S200">
        <f>HR_Data[[#This Row],[Salary]]+HR_Data[[#This Row],[Bonus Amount]]</f>
        <v>132171.6</v>
      </c>
      <c r="T200" t="str">
        <f>IF(HR_Data[[#This Row],[Attrition]]="Yes","Inactive","Active")</f>
        <v>Active</v>
      </c>
      <c r="U200" t="str">
        <f t="array" ref="U200">_xlfn.IFS(HR_Data[[#This Row],[Salary]]&gt;=100000,"A",HR_Data[[#This Row],[Salary]]&gt;=70000,"B",HR_Data[[#This Row],[Salary]]&gt;=50000,"C",TRUE(),"D")</f>
        <v>A</v>
      </c>
      <c r="V200" t="str">
        <f t="array" ref="V200">_xlfn.IFS(HR_Data[[#This Row],[Experience]]&gt;=15,"Expert",HR_Data[[#This Row],[Experience]]&gt;=8,"Senior",HR_Data[[#This Row],[Experience]]&gt;=3,"Mid-Level",TRUE(),"Junior")</f>
        <v>Expert</v>
      </c>
    </row>
    <row r="201" spans="1:22" ht="14.25" customHeight="1" x14ac:dyDescent="0.3">
      <c r="A201" t="s">
        <v>565</v>
      </c>
      <c r="B201" t="s">
        <v>566</v>
      </c>
      <c r="C201" t="s">
        <v>75</v>
      </c>
      <c r="D201" t="s">
        <v>25</v>
      </c>
      <c r="E201">
        <v>26</v>
      </c>
      <c r="F201">
        <v>57345</v>
      </c>
      <c r="G201">
        <v>7</v>
      </c>
      <c r="H201" t="s">
        <v>509</v>
      </c>
      <c r="I201" t="s">
        <v>42</v>
      </c>
      <c r="J201" t="s">
        <v>28</v>
      </c>
      <c r="K201" t="s">
        <v>29</v>
      </c>
      <c r="L201" t="str">
        <f t="array" ref="L201">_xlfn.IFS(HR_Data[[#This Row],[Experience]]&lt;2,"0-2 Years",HR_Data[[#This Row],[Experience]]&lt;5,"2-5 Years",HR_Data[[#This Row],[Experience]]&lt;10,"5-10 Years",TRUE(),"10+ Years")</f>
        <v>5-10 Years</v>
      </c>
      <c r="M201" t="str">
        <f t="array" ref="M201">_xlfn.IFS(HR_Data[[#This Row],[Salary]]&lt;40000,"Low",HR_Data[[#This Row],[Salary]]&lt;70000,"Medium",HR_Data[[#This Row],[Salary]]&lt;100000,"High",TRUE(),"Very High")</f>
        <v>Medium</v>
      </c>
      <c r="N201" t="str">
        <f t="array" ref="N201">_xlfn.IFS(HR_Data[[#This Row],[Age]]&lt;25,"18-24",HR_Data[[#This Row],[Age]]&lt;35,"25-34",HR_Data[[#This Row],[Age]]&lt;45,"35-44",TRUE(),"45+")</f>
        <v>25-34</v>
      </c>
      <c r="O201">
        <f>YEAR(HR_Data[[#This Row],[Joining Date]])</f>
        <v>2026</v>
      </c>
      <c r="P201" t="str">
        <f>TEXT(HR_Data[[#This Row],[Joining Date]],"mmmm")</f>
        <v>May</v>
      </c>
      <c r="Q201">
        <f t="array" ref="Q201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01">
        <f>HR_Data[[#This Row],[Salary]]*HR_Data[[#This Row],[Bonus %]]</f>
        <v>8601.75</v>
      </c>
      <c r="S201">
        <f>HR_Data[[#This Row],[Salary]]+HR_Data[[#This Row],[Bonus Amount]]</f>
        <v>65946.75</v>
      </c>
      <c r="T201" t="str">
        <f>IF(HR_Data[[#This Row],[Attrition]]="Yes","Inactive","Active")</f>
        <v>Active</v>
      </c>
      <c r="U201" t="str">
        <f t="array" ref="U201">_xlfn.IFS(HR_Data[[#This Row],[Salary]]&gt;=100000,"A",HR_Data[[#This Row],[Salary]]&gt;=70000,"B",HR_Data[[#This Row],[Salary]]&gt;=50000,"C",TRUE(),"D")</f>
        <v>C</v>
      </c>
      <c r="V201" t="str">
        <f t="array" ref="V201">_xlfn.IFS(HR_Data[[#This Row],[Experience]]&gt;=15,"Expert",HR_Data[[#This Row],[Experience]]&gt;=8,"Senior",HR_Data[[#This Row],[Experience]]&gt;=3,"Mid-Level",TRUE(),"Junior")</f>
        <v>Mid-Level</v>
      </c>
    </row>
    <row r="202" spans="1:22" ht="14.25" customHeight="1" x14ac:dyDescent="0.3">
      <c r="A202" t="s">
        <v>567</v>
      </c>
      <c r="B202" t="s">
        <v>352</v>
      </c>
      <c r="C202" t="s">
        <v>70</v>
      </c>
      <c r="D202" t="s">
        <v>25</v>
      </c>
      <c r="E202">
        <v>43</v>
      </c>
      <c r="F202">
        <v>77708</v>
      </c>
      <c r="G202">
        <v>13</v>
      </c>
      <c r="H202" t="s">
        <v>568</v>
      </c>
      <c r="I202" t="s">
        <v>35</v>
      </c>
      <c r="J202" t="s">
        <v>63</v>
      </c>
      <c r="K202" t="s">
        <v>29</v>
      </c>
      <c r="L202" t="str">
        <f t="array" ref="L202">_xlfn.IFS(HR_Data[[#This Row],[Experience]]&lt;2,"0-2 Years",HR_Data[[#This Row],[Experience]]&lt;5,"2-5 Years",HR_Data[[#This Row],[Experience]]&lt;10,"5-10 Years",TRUE(),"10+ Years")</f>
        <v>10+ Years</v>
      </c>
      <c r="M202" t="str">
        <f t="array" ref="M202">_xlfn.IFS(HR_Data[[#This Row],[Salary]]&lt;40000,"Low",HR_Data[[#This Row],[Salary]]&lt;70000,"Medium",HR_Data[[#This Row],[Salary]]&lt;100000,"High",TRUE(),"Very High")</f>
        <v>High</v>
      </c>
      <c r="N202" t="str">
        <f t="array" ref="N202">_xlfn.IFS(HR_Data[[#This Row],[Age]]&lt;25,"18-24",HR_Data[[#This Row],[Age]]&lt;35,"25-34",HR_Data[[#This Row],[Age]]&lt;45,"35-44",TRUE(),"45+")</f>
        <v>35-44</v>
      </c>
      <c r="O202">
        <f>YEAR(HR_Data[[#This Row],[Joining Date]])</f>
        <v>2025</v>
      </c>
      <c r="P202" t="str">
        <f>TEXT(HR_Data[[#This Row],[Joining Date]],"mmmm")</f>
        <v>December</v>
      </c>
      <c r="Q202">
        <f t="array" ref="Q202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202">
        <f>HR_Data[[#This Row],[Salary]]*HR_Data[[#This Row],[Bonus %]]</f>
        <v>15541.6</v>
      </c>
      <c r="S202">
        <f>HR_Data[[#This Row],[Salary]]+HR_Data[[#This Row],[Bonus Amount]]</f>
        <v>93249.600000000006</v>
      </c>
      <c r="T202" t="str">
        <f>IF(HR_Data[[#This Row],[Attrition]]="Yes","Inactive","Active")</f>
        <v>Active</v>
      </c>
      <c r="U202" t="str">
        <f t="array" ref="U202">_xlfn.IFS(HR_Data[[#This Row],[Salary]]&gt;=100000,"A",HR_Data[[#This Row],[Salary]]&gt;=70000,"B",HR_Data[[#This Row],[Salary]]&gt;=50000,"C",TRUE(),"D")</f>
        <v>B</v>
      </c>
      <c r="V202" t="str">
        <f t="array" ref="V202">_xlfn.IFS(HR_Data[[#This Row],[Experience]]&gt;=15,"Expert",HR_Data[[#This Row],[Experience]]&gt;=8,"Senior",HR_Data[[#This Row],[Experience]]&gt;=3,"Mid-Level",TRUE(),"Junior")</f>
        <v>Senior</v>
      </c>
    </row>
    <row r="203" spans="1:22" ht="14.25" customHeight="1" x14ac:dyDescent="0.3">
      <c r="A203" t="s">
        <v>569</v>
      </c>
      <c r="B203" t="s">
        <v>570</v>
      </c>
      <c r="C203" t="s">
        <v>24</v>
      </c>
      <c r="D203" t="s">
        <v>33</v>
      </c>
      <c r="E203">
        <v>30</v>
      </c>
      <c r="F203">
        <v>41751</v>
      </c>
      <c r="G203">
        <v>3</v>
      </c>
      <c r="H203" t="s">
        <v>571</v>
      </c>
      <c r="I203" t="s">
        <v>27</v>
      </c>
      <c r="J203" t="s">
        <v>36</v>
      </c>
      <c r="K203" t="s">
        <v>29</v>
      </c>
      <c r="L203" t="str">
        <f t="array" ref="L203">_xlfn.IFS(HR_Data[[#This Row],[Experience]]&lt;2,"0-2 Years",HR_Data[[#This Row],[Experience]]&lt;5,"2-5 Years",HR_Data[[#This Row],[Experience]]&lt;10,"5-10 Years",TRUE(),"10+ Years")</f>
        <v>2-5 Years</v>
      </c>
      <c r="M203" t="str">
        <f t="array" ref="M203">_xlfn.IFS(HR_Data[[#This Row],[Salary]]&lt;40000,"Low",HR_Data[[#This Row],[Salary]]&lt;70000,"Medium",HR_Data[[#This Row],[Salary]]&lt;100000,"High",TRUE(),"Very High")</f>
        <v>Medium</v>
      </c>
      <c r="N203" t="str">
        <f t="array" ref="N203">_xlfn.IFS(HR_Data[[#This Row],[Age]]&lt;25,"18-24",HR_Data[[#This Row],[Age]]&lt;35,"25-34",HR_Data[[#This Row],[Age]]&lt;45,"35-44",TRUE(),"45+")</f>
        <v>25-34</v>
      </c>
      <c r="O203">
        <f>YEAR(HR_Data[[#This Row],[Joining Date]])</f>
        <v>2021</v>
      </c>
      <c r="P203" t="str">
        <f>TEXT(HR_Data[[#This Row],[Joining Date]],"mmmm")</f>
        <v>November</v>
      </c>
      <c r="Q203">
        <f t="array" ref="Q203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03">
        <f>HR_Data[[#This Row],[Salary]]*HR_Data[[#This Row],[Bonus %]]</f>
        <v>4175.1000000000004</v>
      </c>
      <c r="S203">
        <f>HR_Data[[#This Row],[Salary]]+HR_Data[[#This Row],[Bonus Amount]]</f>
        <v>45926.1</v>
      </c>
      <c r="T203" t="str">
        <f>IF(HR_Data[[#This Row],[Attrition]]="Yes","Inactive","Active")</f>
        <v>Active</v>
      </c>
      <c r="U203" t="str">
        <f t="array" ref="U203">_xlfn.IFS(HR_Data[[#This Row],[Salary]]&gt;=100000,"A",HR_Data[[#This Row],[Salary]]&gt;=70000,"B",HR_Data[[#This Row],[Salary]]&gt;=50000,"C",TRUE(),"D")</f>
        <v>D</v>
      </c>
      <c r="V203" t="str">
        <f t="array" ref="V203">_xlfn.IFS(HR_Data[[#This Row],[Experience]]&gt;=15,"Expert",HR_Data[[#This Row],[Experience]]&gt;=8,"Senior",HR_Data[[#This Row],[Experience]]&gt;=3,"Mid-Level",TRUE(),"Junior")</f>
        <v>Mid-Level</v>
      </c>
    </row>
    <row r="204" spans="1:22" ht="14.25" customHeight="1" x14ac:dyDescent="0.3">
      <c r="A204" t="s">
        <v>572</v>
      </c>
      <c r="B204" t="s">
        <v>573</v>
      </c>
      <c r="C204" t="s">
        <v>134</v>
      </c>
      <c r="D204" t="s">
        <v>25</v>
      </c>
      <c r="E204">
        <v>51</v>
      </c>
      <c r="F204">
        <v>105489</v>
      </c>
      <c r="G204">
        <v>27</v>
      </c>
      <c r="H204" t="s">
        <v>574</v>
      </c>
      <c r="I204" t="s">
        <v>132</v>
      </c>
      <c r="J204" t="s">
        <v>90</v>
      </c>
      <c r="K204" t="s">
        <v>37</v>
      </c>
      <c r="L204" t="str">
        <f t="array" ref="L204">_xlfn.IFS(HR_Data[[#This Row],[Experience]]&lt;2,"0-2 Years",HR_Data[[#This Row],[Experience]]&lt;5,"2-5 Years",HR_Data[[#This Row],[Experience]]&lt;10,"5-10 Years",TRUE(),"10+ Years")</f>
        <v>10+ Years</v>
      </c>
      <c r="M204" t="str">
        <f t="array" ref="M204">_xlfn.IFS(HR_Data[[#This Row],[Salary]]&lt;40000,"Low",HR_Data[[#This Row],[Salary]]&lt;70000,"Medium",HR_Data[[#This Row],[Salary]]&lt;100000,"High",TRUE(),"Very High")</f>
        <v>Very High</v>
      </c>
      <c r="N204" t="str">
        <f t="array" ref="N204">_xlfn.IFS(HR_Data[[#This Row],[Age]]&lt;25,"18-24",HR_Data[[#This Row],[Age]]&lt;35,"25-34",HR_Data[[#This Row],[Age]]&lt;45,"35-44",TRUE(),"45+")</f>
        <v>45+</v>
      </c>
      <c r="O204">
        <f>YEAR(HR_Data[[#This Row],[Joining Date]])</f>
        <v>2016</v>
      </c>
      <c r="P204" t="str">
        <f>TEXT(HR_Data[[#This Row],[Joining Date]],"mmmm")</f>
        <v>May</v>
      </c>
      <c r="Q204">
        <f t="array" ref="Q204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204">
        <f>HR_Data[[#This Row],[Salary]]*HR_Data[[#This Row],[Bonus %]]</f>
        <v>0</v>
      </c>
      <c r="S204">
        <f>HR_Data[[#This Row],[Salary]]+HR_Data[[#This Row],[Bonus Amount]]</f>
        <v>105489</v>
      </c>
      <c r="T204" t="str">
        <f>IF(HR_Data[[#This Row],[Attrition]]="Yes","Inactive","Active")</f>
        <v>Inactive</v>
      </c>
      <c r="U204" t="str">
        <f t="array" ref="U204">_xlfn.IFS(HR_Data[[#This Row],[Salary]]&gt;=100000,"A",HR_Data[[#This Row],[Salary]]&gt;=70000,"B",HR_Data[[#This Row],[Salary]]&gt;=50000,"C",TRUE(),"D")</f>
        <v>A</v>
      </c>
      <c r="V204" t="str">
        <f t="array" ref="V204">_xlfn.IFS(HR_Data[[#This Row],[Experience]]&gt;=15,"Expert",HR_Data[[#This Row],[Experience]]&gt;=8,"Senior",HR_Data[[#This Row],[Experience]]&gt;=3,"Mid-Level",TRUE(),"Junior")</f>
        <v>Expert</v>
      </c>
    </row>
    <row r="205" spans="1:22" ht="14.25" customHeight="1" x14ac:dyDescent="0.3">
      <c r="A205" t="s">
        <v>575</v>
      </c>
      <c r="B205" t="s">
        <v>409</v>
      </c>
      <c r="C205" t="s">
        <v>40</v>
      </c>
      <c r="D205" t="s">
        <v>33</v>
      </c>
      <c r="E205">
        <v>37</v>
      </c>
      <c r="F205">
        <v>56374</v>
      </c>
      <c r="G205">
        <v>8</v>
      </c>
      <c r="H205" t="s">
        <v>576</v>
      </c>
      <c r="I205" t="s">
        <v>67</v>
      </c>
      <c r="J205" t="s">
        <v>90</v>
      </c>
      <c r="K205" t="s">
        <v>29</v>
      </c>
      <c r="L205" t="str">
        <f t="array" ref="L205">_xlfn.IFS(HR_Data[[#This Row],[Experience]]&lt;2,"0-2 Years",HR_Data[[#This Row],[Experience]]&lt;5,"2-5 Years",HR_Data[[#This Row],[Experience]]&lt;10,"5-10 Years",TRUE(),"10+ Years")</f>
        <v>5-10 Years</v>
      </c>
      <c r="M205" t="str">
        <f t="array" ref="M205">_xlfn.IFS(HR_Data[[#This Row],[Salary]]&lt;40000,"Low",HR_Data[[#This Row],[Salary]]&lt;70000,"Medium",HR_Data[[#This Row],[Salary]]&lt;100000,"High",TRUE(),"Very High")</f>
        <v>Medium</v>
      </c>
      <c r="N205" t="str">
        <f t="array" ref="N205">_xlfn.IFS(HR_Data[[#This Row],[Age]]&lt;25,"18-24",HR_Data[[#This Row],[Age]]&lt;35,"25-34",HR_Data[[#This Row],[Age]]&lt;45,"35-44",TRUE(),"45+")</f>
        <v>35-44</v>
      </c>
      <c r="O205">
        <f>YEAR(HR_Data[[#This Row],[Joining Date]])</f>
        <v>2023</v>
      </c>
      <c r="P205" t="str">
        <f>TEXT(HR_Data[[#This Row],[Joining Date]],"mmmm")</f>
        <v>May</v>
      </c>
      <c r="Q205">
        <f t="array" ref="Q205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205">
        <f>HR_Data[[#This Row],[Salary]]*HR_Data[[#This Row],[Bonus %]]</f>
        <v>0</v>
      </c>
      <c r="S205">
        <f>HR_Data[[#This Row],[Salary]]+HR_Data[[#This Row],[Bonus Amount]]</f>
        <v>56374</v>
      </c>
      <c r="T205" t="str">
        <f>IF(HR_Data[[#This Row],[Attrition]]="Yes","Inactive","Active")</f>
        <v>Active</v>
      </c>
      <c r="U205" t="str">
        <f t="array" ref="U205">_xlfn.IFS(HR_Data[[#This Row],[Salary]]&gt;=100000,"A",HR_Data[[#This Row],[Salary]]&gt;=70000,"B",HR_Data[[#This Row],[Salary]]&gt;=50000,"C",TRUE(),"D")</f>
        <v>C</v>
      </c>
      <c r="V205" t="str">
        <f t="array" ref="V205">_xlfn.IFS(HR_Data[[#This Row],[Experience]]&gt;=15,"Expert",HR_Data[[#This Row],[Experience]]&gt;=8,"Senior",HR_Data[[#This Row],[Experience]]&gt;=3,"Mid-Level",TRUE(),"Junior")</f>
        <v>Senior</v>
      </c>
    </row>
    <row r="206" spans="1:22" ht="14.25" customHeight="1" x14ac:dyDescent="0.3">
      <c r="A206" t="s">
        <v>577</v>
      </c>
      <c r="B206" t="s">
        <v>96</v>
      </c>
      <c r="C206" t="s">
        <v>112</v>
      </c>
      <c r="D206" t="s">
        <v>25</v>
      </c>
      <c r="E206">
        <v>28</v>
      </c>
      <c r="F206">
        <v>57004</v>
      </c>
      <c r="G206">
        <v>7</v>
      </c>
      <c r="H206" t="s">
        <v>578</v>
      </c>
      <c r="I206" t="s">
        <v>35</v>
      </c>
      <c r="J206" t="s">
        <v>36</v>
      </c>
      <c r="K206" t="s">
        <v>29</v>
      </c>
      <c r="L206" t="str">
        <f t="array" ref="L206">_xlfn.IFS(HR_Data[[#This Row],[Experience]]&lt;2,"0-2 Years",HR_Data[[#This Row],[Experience]]&lt;5,"2-5 Years",HR_Data[[#This Row],[Experience]]&lt;10,"5-10 Years",TRUE(),"10+ Years")</f>
        <v>5-10 Years</v>
      </c>
      <c r="M206" t="str">
        <f t="array" ref="M206">_xlfn.IFS(HR_Data[[#This Row],[Salary]]&lt;40000,"Low",HR_Data[[#This Row],[Salary]]&lt;70000,"Medium",HR_Data[[#This Row],[Salary]]&lt;100000,"High",TRUE(),"Very High")</f>
        <v>Medium</v>
      </c>
      <c r="N206" t="str">
        <f t="array" ref="N206">_xlfn.IFS(HR_Data[[#This Row],[Age]]&lt;25,"18-24",HR_Data[[#This Row],[Age]]&lt;35,"25-34",HR_Data[[#This Row],[Age]]&lt;45,"35-44",TRUE(),"45+")</f>
        <v>25-34</v>
      </c>
      <c r="O206">
        <f>YEAR(HR_Data[[#This Row],[Joining Date]])</f>
        <v>2023</v>
      </c>
      <c r="P206" t="str">
        <f>TEXT(HR_Data[[#This Row],[Joining Date]],"mmmm")</f>
        <v>October</v>
      </c>
      <c r="Q206">
        <f t="array" ref="Q20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06">
        <f>HR_Data[[#This Row],[Salary]]*HR_Data[[#This Row],[Bonus %]]</f>
        <v>5700.4000000000005</v>
      </c>
      <c r="S206">
        <f>HR_Data[[#This Row],[Salary]]+HR_Data[[#This Row],[Bonus Amount]]</f>
        <v>62704.4</v>
      </c>
      <c r="T206" t="str">
        <f>IF(HR_Data[[#This Row],[Attrition]]="Yes","Inactive","Active")</f>
        <v>Active</v>
      </c>
      <c r="U206" t="str">
        <f t="array" ref="U206">_xlfn.IFS(HR_Data[[#This Row],[Salary]]&gt;=100000,"A",HR_Data[[#This Row],[Salary]]&gt;=70000,"B",HR_Data[[#This Row],[Salary]]&gt;=50000,"C",TRUE(),"D")</f>
        <v>C</v>
      </c>
      <c r="V206" t="str">
        <f t="array" ref="V206">_xlfn.IFS(HR_Data[[#This Row],[Experience]]&gt;=15,"Expert",HR_Data[[#This Row],[Experience]]&gt;=8,"Senior",HR_Data[[#This Row],[Experience]]&gt;=3,"Mid-Level",TRUE(),"Junior")</f>
        <v>Mid-Level</v>
      </c>
    </row>
    <row r="207" spans="1:22" ht="14.25" customHeight="1" x14ac:dyDescent="0.3">
      <c r="A207" t="s">
        <v>579</v>
      </c>
      <c r="B207" t="s">
        <v>395</v>
      </c>
      <c r="C207" t="s">
        <v>134</v>
      </c>
      <c r="D207" t="s">
        <v>33</v>
      </c>
      <c r="E207">
        <v>59</v>
      </c>
      <c r="F207">
        <v>143230</v>
      </c>
      <c r="G207">
        <v>34</v>
      </c>
      <c r="H207" t="s">
        <v>580</v>
      </c>
      <c r="I207" t="s">
        <v>42</v>
      </c>
      <c r="J207" t="s">
        <v>46</v>
      </c>
      <c r="K207" t="s">
        <v>29</v>
      </c>
      <c r="L207" t="str">
        <f t="array" ref="L207">_xlfn.IFS(HR_Data[[#This Row],[Experience]]&lt;2,"0-2 Years",HR_Data[[#This Row],[Experience]]&lt;5,"2-5 Years",HR_Data[[#This Row],[Experience]]&lt;10,"5-10 Years",TRUE(),"10+ Years")</f>
        <v>10+ Years</v>
      </c>
      <c r="M207" t="str">
        <f t="array" ref="M207">_xlfn.IFS(HR_Data[[#This Row],[Salary]]&lt;40000,"Low",HR_Data[[#This Row],[Salary]]&lt;70000,"Medium",HR_Data[[#This Row],[Salary]]&lt;100000,"High",TRUE(),"Very High")</f>
        <v>Very High</v>
      </c>
      <c r="N207" t="str">
        <f t="array" ref="N207">_xlfn.IFS(HR_Data[[#This Row],[Age]]&lt;25,"18-24",HR_Data[[#This Row],[Age]]&lt;35,"25-34",HR_Data[[#This Row],[Age]]&lt;45,"35-44",TRUE(),"45+")</f>
        <v>45+</v>
      </c>
      <c r="O207">
        <f>YEAR(HR_Data[[#This Row],[Joining Date]])</f>
        <v>2023</v>
      </c>
      <c r="P207" t="str">
        <f>TEXT(HR_Data[[#This Row],[Joining Date]],"mmmm")</f>
        <v>July</v>
      </c>
      <c r="Q207">
        <f t="array" ref="Q207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207">
        <f>HR_Data[[#This Row],[Salary]]*HR_Data[[#This Row],[Bonus %]]</f>
        <v>7161.5</v>
      </c>
      <c r="S207">
        <f>HR_Data[[#This Row],[Salary]]+HR_Data[[#This Row],[Bonus Amount]]</f>
        <v>150391.5</v>
      </c>
      <c r="T207" t="str">
        <f>IF(HR_Data[[#This Row],[Attrition]]="Yes","Inactive","Active")</f>
        <v>Active</v>
      </c>
      <c r="U207" t="str">
        <f t="array" ref="U207">_xlfn.IFS(HR_Data[[#This Row],[Salary]]&gt;=100000,"A",HR_Data[[#This Row],[Salary]]&gt;=70000,"B",HR_Data[[#This Row],[Salary]]&gt;=50000,"C",TRUE(),"D")</f>
        <v>A</v>
      </c>
      <c r="V207" t="str">
        <f t="array" ref="V207">_xlfn.IFS(HR_Data[[#This Row],[Experience]]&gt;=15,"Expert",HR_Data[[#This Row],[Experience]]&gt;=8,"Senior",HR_Data[[#This Row],[Experience]]&gt;=3,"Mid-Level",TRUE(),"Junior")</f>
        <v>Expert</v>
      </c>
    </row>
    <row r="208" spans="1:22" ht="14.25" customHeight="1" x14ac:dyDescent="0.3">
      <c r="A208" t="s">
        <v>581</v>
      </c>
      <c r="B208" t="s">
        <v>582</v>
      </c>
      <c r="C208" t="s">
        <v>93</v>
      </c>
      <c r="D208" t="s">
        <v>33</v>
      </c>
      <c r="E208">
        <v>31</v>
      </c>
      <c r="F208">
        <v>37137</v>
      </c>
      <c r="G208">
        <v>2</v>
      </c>
      <c r="H208" t="s">
        <v>583</v>
      </c>
      <c r="I208" t="s">
        <v>57</v>
      </c>
      <c r="J208" t="s">
        <v>28</v>
      </c>
      <c r="K208" t="s">
        <v>37</v>
      </c>
      <c r="L208" t="str">
        <f t="array" ref="L208">_xlfn.IFS(HR_Data[[#This Row],[Experience]]&lt;2,"0-2 Years",HR_Data[[#This Row],[Experience]]&lt;5,"2-5 Years",HR_Data[[#This Row],[Experience]]&lt;10,"5-10 Years",TRUE(),"10+ Years")</f>
        <v>2-5 Years</v>
      </c>
      <c r="M208" t="str">
        <f t="array" ref="M208">_xlfn.IFS(HR_Data[[#This Row],[Salary]]&lt;40000,"Low",HR_Data[[#This Row],[Salary]]&lt;70000,"Medium",HR_Data[[#This Row],[Salary]]&lt;100000,"High",TRUE(),"Very High")</f>
        <v>Low</v>
      </c>
      <c r="N208" t="str">
        <f t="array" ref="N208">_xlfn.IFS(HR_Data[[#This Row],[Age]]&lt;25,"18-24",HR_Data[[#This Row],[Age]]&lt;35,"25-34",HR_Data[[#This Row],[Age]]&lt;45,"35-44",TRUE(),"45+")</f>
        <v>25-34</v>
      </c>
      <c r="O208">
        <f>YEAR(HR_Data[[#This Row],[Joining Date]])</f>
        <v>2015</v>
      </c>
      <c r="P208" t="str">
        <f>TEXT(HR_Data[[#This Row],[Joining Date]],"mmmm")</f>
        <v>May</v>
      </c>
      <c r="Q208">
        <f t="array" ref="Q208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08">
        <f>HR_Data[[#This Row],[Salary]]*HR_Data[[#This Row],[Bonus %]]</f>
        <v>5570.55</v>
      </c>
      <c r="S208">
        <f>HR_Data[[#This Row],[Salary]]+HR_Data[[#This Row],[Bonus Amount]]</f>
        <v>42707.55</v>
      </c>
      <c r="T208" t="str">
        <f>IF(HR_Data[[#This Row],[Attrition]]="Yes","Inactive","Active")</f>
        <v>Inactive</v>
      </c>
      <c r="U208" t="str">
        <f t="array" ref="U208">_xlfn.IFS(HR_Data[[#This Row],[Salary]]&gt;=100000,"A",HR_Data[[#This Row],[Salary]]&gt;=70000,"B",HR_Data[[#This Row],[Salary]]&gt;=50000,"C",TRUE(),"D")</f>
        <v>D</v>
      </c>
      <c r="V208" t="str">
        <f t="array" ref="V208">_xlfn.IFS(HR_Data[[#This Row],[Experience]]&gt;=15,"Expert",HR_Data[[#This Row],[Experience]]&gt;=8,"Senior",HR_Data[[#This Row],[Experience]]&gt;=3,"Mid-Level",TRUE(),"Junior")</f>
        <v>Junior</v>
      </c>
    </row>
    <row r="209" spans="1:22" ht="14.25" customHeight="1" x14ac:dyDescent="0.3">
      <c r="A209" t="s">
        <v>584</v>
      </c>
      <c r="B209" t="s">
        <v>585</v>
      </c>
      <c r="C209" t="s">
        <v>75</v>
      </c>
      <c r="D209" t="s">
        <v>25</v>
      </c>
      <c r="E209">
        <v>27</v>
      </c>
      <c r="F209">
        <v>37783</v>
      </c>
      <c r="G209">
        <v>2</v>
      </c>
      <c r="H209" t="s">
        <v>586</v>
      </c>
      <c r="I209" t="s">
        <v>57</v>
      </c>
      <c r="J209" t="s">
        <v>36</v>
      </c>
      <c r="K209" t="s">
        <v>29</v>
      </c>
      <c r="L209" t="str">
        <f t="array" ref="L209">_xlfn.IFS(HR_Data[[#This Row],[Experience]]&lt;2,"0-2 Years",HR_Data[[#This Row],[Experience]]&lt;5,"2-5 Years",HR_Data[[#This Row],[Experience]]&lt;10,"5-10 Years",TRUE(),"10+ Years")</f>
        <v>2-5 Years</v>
      </c>
      <c r="M209" t="str">
        <f t="array" ref="M209">_xlfn.IFS(HR_Data[[#This Row],[Salary]]&lt;40000,"Low",HR_Data[[#This Row],[Salary]]&lt;70000,"Medium",HR_Data[[#This Row],[Salary]]&lt;100000,"High",TRUE(),"Very High")</f>
        <v>Low</v>
      </c>
      <c r="N209" t="str">
        <f t="array" ref="N209">_xlfn.IFS(HR_Data[[#This Row],[Age]]&lt;25,"18-24",HR_Data[[#This Row],[Age]]&lt;35,"25-34",HR_Data[[#This Row],[Age]]&lt;45,"35-44",TRUE(),"45+")</f>
        <v>25-34</v>
      </c>
      <c r="O209">
        <f>YEAR(HR_Data[[#This Row],[Joining Date]])</f>
        <v>2020</v>
      </c>
      <c r="P209" t="str">
        <f>TEXT(HR_Data[[#This Row],[Joining Date]],"mmmm")</f>
        <v>April</v>
      </c>
      <c r="Q209">
        <f t="array" ref="Q20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09">
        <f>HR_Data[[#This Row],[Salary]]*HR_Data[[#This Row],[Bonus %]]</f>
        <v>3778.3</v>
      </c>
      <c r="S209">
        <f>HR_Data[[#This Row],[Salary]]+HR_Data[[#This Row],[Bonus Amount]]</f>
        <v>41561.300000000003</v>
      </c>
      <c r="T209" t="str">
        <f>IF(HR_Data[[#This Row],[Attrition]]="Yes","Inactive","Active")</f>
        <v>Active</v>
      </c>
      <c r="U209" t="str">
        <f t="array" ref="U209">_xlfn.IFS(HR_Data[[#This Row],[Salary]]&gt;=100000,"A",HR_Data[[#This Row],[Salary]]&gt;=70000,"B",HR_Data[[#This Row],[Salary]]&gt;=50000,"C",TRUE(),"D")</f>
        <v>D</v>
      </c>
      <c r="V209" t="str">
        <f t="array" ref="V209">_xlfn.IFS(HR_Data[[#This Row],[Experience]]&gt;=15,"Expert",HR_Data[[#This Row],[Experience]]&gt;=8,"Senior",HR_Data[[#This Row],[Experience]]&gt;=3,"Mid-Level",TRUE(),"Junior")</f>
        <v>Junior</v>
      </c>
    </row>
    <row r="210" spans="1:22" ht="14.25" customHeight="1" x14ac:dyDescent="0.3">
      <c r="A210" t="s">
        <v>587</v>
      </c>
      <c r="B210" t="s">
        <v>538</v>
      </c>
      <c r="C210" t="s">
        <v>32</v>
      </c>
      <c r="D210" t="s">
        <v>25</v>
      </c>
      <c r="E210">
        <v>48</v>
      </c>
      <c r="F210">
        <v>100592</v>
      </c>
      <c r="G210">
        <v>20</v>
      </c>
      <c r="H210" t="s">
        <v>588</v>
      </c>
      <c r="I210" t="s">
        <v>80</v>
      </c>
      <c r="J210" t="s">
        <v>28</v>
      </c>
      <c r="K210" t="s">
        <v>29</v>
      </c>
      <c r="L210" t="str">
        <f t="array" ref="L210">_xlfn.IFS(HR_Data[[#This Row],[Experience]]&lt;2,"0-2 Years",HR_Data[[#This Row],[Experience]]&lt;5,"2-5 Years",HR_Data[[#This Row],[Experience]]&lt;10,"5-10 Years",TRUE(),"10+ Years")</f>
        <v>10+ Years</v>
      </c>
      <c r="M210" t="str">
        <f t="array" ref="M210">_xlfn.IFS(HR_Data[[#This Row],[Salary]]&lt;40000,"Low",HR_Data[[#This Row],[Salary]]&lt;70000,"Medium",HR_Data[[#This Row],[Salary]]&lt;100000,"High",TRUE(),"Very High")</f>
        <v>Very High</v>
      </c>
      <c r="N210" t="str">
        <f t="array" ref="N210">_xlfn.IFS(HR_Data[[#This Row],[Age]]&lt;25,"18-24",HR_Data[[#This Row],[Age]]&lt;35,"25-34",HR_Data[[#This Row],[Age]]&lt;45,"35-44",TRUE(),"45+")</f>
        <v>45+</v>
      </c>
      <c r="O210">
        <f>YEAR(HR_Data[[#This Row],[Joining Date]])</f>
        <v>2022</v>
      </c>
      <c r="P210" t="str">
        <f>TEXT(HR_Data[[#This Row],[Joining Date]],"mmmm")</f>
        <v>March</v>
      </c>
      <c r="Q210">
        <f t="array" ref="Q210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10">
        <f>HR_Data[[#This Row],[Salary]]*HR_Data[[#This Row],[Bonus %]]</f>
        <v>15088.8</v>
      </c>
      <c r="S210">
        <f>HR_Data[[#This Row],[Salary]]+HR_Data[[#This Row],[Bonus Amount]]</f>
        <v>115680.8</v>
      </c>
      <c r="T210" t="str">
        <f>IF(HR_Data[[#This Row],[Attrition]]="Yes","Inactive","Active")</f>
        <v>Active</v>
      </c>
      <c r="U210" t="str">
        <f t="array" ref="U210">_xlfn.IFS(HR_Data[[#This Row],[Salary]]&gt;=100000,"A",HR_Data[[#This Row],[Salary]]&gt;=70000,"B",HR_Data[[#This Row],[Salary]]&gt;=50000,"C",TRUE(),"D")</f>
        <v>A</v>
      </c>
      <c r="V210" t="str">
        <f t="array" ref="V210">_xlfn.IFS(HR_Data[[#This Row],[Experience]]&gt;=15,"Expert",HR_Data[[#This Row],[Experience]]&gt;=8,"Senior",HR_Data[[#This Row],[Experience]]&gt;=3,"Mid-Level",TRUE(),"Junior")</f>
        <v>Expert</v>
      </c>
    </row>
    <row r="211" spans="1:22" ht="14.25" customHeight="1" x14ac:dyDescent="0.3">
      <c r="A211" t="s">
        <v>589</v>
      </c>
      <c r="B211" t="s">
        <v>573</v>
      </c>
      <c r="C211" t="s">
        <v>55</v>
      </c>
      <c r="D211" t="s">
        <v>25</v>
      </c>
      <c r="E211">
        <v>30</v>
      </c>
      <c r="F211">
        <v>45987</v>
      </c>
      <c r="G211">
        <v>3</v>
      </c>
      <c r="H211" t="s">
        <v>590</v>
      </c>
      <c r="I211" t="s">
        <v>45</v>
      </c>
      <c r="J211" t="s">
        <v>36</v>
      </c>
      <c r="K211" t="s">
        <v>29</v>
      </c>
      <c r="L211" t="str">
        <f t="array" ref="L211">_xlfn.IFS(HR_Data[[#This Row],[Experience]]&lt;2,"0-2 Years",HR_Data[[#This Row],[Experience]]&lt;5,"2-5 Years",HR_Data[[#This Row],[Experience]]&lt;10,"5-10 Years",TRUE(),"10+ Years")</f>
        <v>2-5 Years</v>
      </c>
      <c r="M211" t="str">
        <f t="array" ref="M211">_xlfn.IFS(HR_Data[[#This Row],[Salary]]&lt;40000,"Low",HR_Data[[#This Row],[Salary]]&lt;70000,"Medium",HR_Data[[#This Row],[Salary]]&lt;100000,"High",TRUE(),"Very High")</f>
        <v>Medium</v>
      </c>
      <c r="N211" t="str">
        <f t="array" ref="N211">_xlfn.IFS(HR_Data[[#This Row],[Age]]&lt;25,"18-24",HR_Data[[#This Row],[Age]]&lt;35,"25-34",HR_Data[[#This Row],[Age]]&lt;45,"35-44",TRUE(),"45+")</f>
        <v>25-34</v>
      </c>
      <c r="O211">
        <f>YEAR(HR_Data[[#This Row],[Joining Date]])</f>
        <v>2018</v>
      </c>
      <c r="P211" t="str">
        <f>TEXT(HR_Data[[#This Row],[Joining Date]],"mmmm")</f>
        <v>December</v>
      </c>
      <c r="Q211">
        <f t="array" ref="Q21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11">
        <f>HR_Data[[#This Row],[Salary]]*HR_Data[[#This Row],[Bonus %]]</f>
        <v>4598.7</v>
      </c>
      <c r="S211">
        <f>HR_Data[[#This Row],[Salary]]+HR_Data[[#This Row],[Bonus Amount]]</f>
        <v>50585.7</v>
      </c>
      <c r="T211" t="str">
        <f>IF(HR_Data[[#This Row],[Attrition]]="Yes","Inactive","Active")</f>
        <v>Active</v>
      </c>
      <c r="U211" t="str">
        <f t="array" ref="U211">_xlfn.IFS(HR_Data[[#This Row],[Salary]]&gt;=100000,"A",HR_Data[[#This Row],[Salary]]&gt;=70000,"B",HR_Data[[#This Row],[Salary]]&gt;=50000,"C",TRUE(),"D")</f>
        <v>D</v>
      </c>
      <c r="V211" t="str">
        <f t="array" ref="V211">_xlfn.IFS(HR_Data[[#This Row],[Experience]]&gt;=15,"Expert",HR_Data[[#This Row],[Experience]]&gt;=8,"Senior",HR_Data[[#This Row],[Experience]]&gt;=3,"Mid-Level",TRUE(),"Junior")</f>
        <v>Mid-Level</v>
      </c>
    </row>
    <row r="212" spans="1:22" ht="14.25" customHeight="1" x14ac:dyDescent="0.3">
      <c r="A212" t="s">
        <v>591</v>
      </c>
      <c r="B212" t="s">
        <v>115</v>
      </c>
      <c r="C212" t="s">
        <v>60</v>
      </c>
      <c r="D212" t="s">
        <v>33</v>
      </c>
      <c r="E212">
        <v>50</v>
      </c>
      <c r="F212">
        <v>94642</v>
      </c>
      <c r="G212">
        <v>20</v>
      </c>
      <c r="H212" t="s">
        <v>592</v>
      </c>
      <c r="I212" t="s">
        <v>80</v>
      </c>
      <c r="J212" t="s">
        <v>63</v>
      </c>
      <c r="K212" t="s">
        <v>29</v>
      </c>
      <c r="L212" t="str">
        <f t="array" ref="L212">_xlfn.IFS(HR_Data[[#This Row],[Experience]]&lt;2,"0-2 Years",HR_Data[[#This Row],[Experience]]&lt;5,"2-5 Years",HR_Data[[#This Row],[Experience]]&lt;10,"5-10 Years",TRUE(),"10+ Years")</f>
        <v>10+ Years</v>
      </c>
      <c r="M212" t="str">
        <f t="array" ref="M212">_xlfn.IFS(HR_Data[[#This Row],[Salary]]&lt;40000,"Low",HR_Data[[#This Row],[Salary]]&lt;70000,"Medium",HR_Data[[#This Row],[Salary]]&lt;100000,"High",TRUE(),"Very High")</f>
        <v>High</v>
      </c>
      <c r="N212" t="str">
        <f t="array" ref="N212">_xlfn.IFS(HR_Data[[#This Row],[Age]]&lt;25,"18-24",HR_Data[[#This Row],[Age]]&lt;35,"25-34",HR_Data[[#This Row],[Age]]&lt;45,"35-44",TRUE(),"45+")</f>
        <v>45+</v>
      </c>
      <c r="O212">
        <f>YEAR(HR_Data[[#This Row],[Joining Date]])</f>
        <v>2024</v>
      </c>
      <c r="P212" t="str">
        <f>TEXT(HR_Data[[#This Row],[Joining Date]],"mmmm")</f>
        <v>February</v>
      </c>
      <c r="Q212">
        <f t="array" ref="Q212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212">
        <f>HR_Data[[#This Row],[Salary]]*HR_Data[[#This Row],[Bonus %]]</f>
        <v>18928.400000000001</v>
      </c>
      <c r="S212">
        <f>HR_Data[[#This Row],[Salary]]+HR_Data[[#This Row],[Bonus Amount]]</f>
        <v>113570.4</v>
      </c>
      <c r="T212" t="str">
        <f>IF(HR_Data[[#This Row],[Attrition]]="Yes","Inactive","Active")</f>
        <v>Active</v>
      </c>
      <c r="U212" t="str">
        <f t="array" ref="U212">_xlfn.IFS(HR_Data[[#This Row],[Salary]]&gt;=100000,"A",HR_Data[[#This Row],[Salary]]&gt;=70000,"B",HR_Data[[#This Row],[Salary]]&gt;=50000,"C",TRUE(),"D")</f>
        <v>B</v>
      </c>
      <c r="V212" t="str">
        <f t="array" ref="V212">_xlfn.IFS(HR_Data[[#This Row],[Experience]]&gt;=15,"Expert",HR_Data[[#This Row],[Experience]]&gt;=8,"Senior",HR_Data[[#This Row],[Experience]]&gt;=3,"Mid-Level",TRUE(),"Junior")</f>
        <v>Expert</v>
      </c>
    </row>
    <row r="213" spans="1:22" ht="14.25" customHeight="1" x14ac:dyDescent="0.3">
      <c r="A213" t="s">
        <v>593</v>
      </c>
      <c r="B213" t="s">
        <v>594</v>
      </c>
      <c r="C213" t="s">
        <v>60</v>
      </c>
      <c r="D213" t="s">
        <v>25</v>
      </c>
      <c r="E213">
        <v>35</v>
      </c>
      <c r="F213">
        <v>47688</v>
      </c>
      <c r="G213">
        <v>9</v>
      </c>
      <c r="H213" t="s">
        <v>595</v>
      </c>
      <c r="I213" t="s">
        <v>57</v>
      </c>
      <c r="J213" t="s">
        <v>90</v>
      </c>
      <c r="K213" t="s">
        <v>29</v>
      </c>
      <c r="L213" t="str">
        <f t="array" ref="L213">_xlfn.IFS(HR_Data[[#This Row],[Experience]]&lt;2,"0-2 Years",HR_Data[[#This Row],[Experience]]&lt;5,"2-5 Years",HR_Data[[#This Row],[Experience]]&lt;10,"5-10 Years",TRUE(),"10+ Years")</f>
        <v>5-10 Years</v>
      </c>
      <c r="M213" t="str">
        <f t="array" ref="M213">_xlfn.IFS(HR_Data[[#This Row],[Salary]]&lt;40000,"Low",HR_Data[[#This Row],[Salary]]&lt;70000,"Medium",HR_Data[[#This Row],[Salary]]&lt;100000,"High",TRUE(),"Very High")</f>
        <v>Medium</v>
      </c>
      <c r="N213" t="str">
        <f t="array" ref="N213">_xlfn.IFS(HR_Data[[#This Row],[Age]]&lt;25,"18-24",HR_Data[[#This Row],[Age]]&lt;35,"25-34",HR_Data[[#This Row],[Age]]&lt;45,"35-44",TRUE(),"45+")</f>
        <v>35-44</v>
      </c>
      <c r="O213">
        <f>YEAR(HR_Data[[#This Row],[Joining Date]])</f>
        <v>2024</v>
      </c>
      <c r="P213" t="str">
        <f>TEXT(HR_Data[[#This Row],[Joining Date]],"mmmm")</f>
        <v>April</v>
      </c>
      <c r="Q213">
        <f t="array" ref="Q213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213">
        <f>HR_Data[[#This Row],[Salary]]*HR_Data[[#This Row],[Bonus %]]</f>
        <v>0</v>
      </c>
      <c r="S213">
        <f>HR_Data[[#This Row],[Salary]]+HR_Data[[#This Row],[Bonus Amount]]</f>
        <v>47688</v>
      </c>
      <c r="T213" t="str">
        <f>IF(HR_Data[[#This Row],[Attrition]]="Yes","Inactive","Active")</f>
        <v>Active</v>
      </c>
      <c r="U213" t="str">
        <f t="array" ref="U213">_xlfn.IFS(HR_Data[[#This Row],[Salary]]&gt;=100000,"A",HR_Data[[#This Row],[Salary]]&gt;=70000,"B",HR_Data[[#This Row],[Salary]]&gt;=50000,"C",TRUE(),"D")</f>
        <v>D</v>
      </c>
      <c r="V213" t="str">
        <f t="array" ref="V213">_xlfn.IFS(HR_Data[[#This Row],[Experience]]&gt;=15,"Expert",HR_Data[[#This Row],[Experience]]&gt;=8,"Senior",HR_Data[[#This Row],[Experience]]&gt;=3,"Mid-Level",TRUE(),"Junior")</f>
        <v>Senior</v>
      </c>
    </row>
    <row r="214" spans="1:22" ht="14.25" customHeight="1" x14ac:dyDescent="0.3">
      <c r="A214" t="s">
        <v>596</v>
      </c>
      <c r="B214" t="s">
        <v>454</v>
      </c>
      <c r="C214" t="s">
        <v>134</v>
      </c>
      <c r="D214" t="s">
        <v>25</v>
      </c>
      <c r="E214">
        <v>50</v>
      </c>
      <c r="F214">
        <v>86790</v>
      </c>
      <c r="G214">
        <v>21</v>
      </c>
      <c r="H214" t="s">
        <v>404</v>
      </c>
      <c r="I214" t="s">
        <v>72</v>
      </c>
      <c r="J214" t="s">
        <v>46</v>
      </c>
      <c r="K214" t="s">
        <v>37</v>
      </c>
      <c r="L214" t="str">
        <f t="array" ref="L214">_xlfn.IFS(HR_Data[[#This Row],[Experience]]&lt;2,"0-2 Years",HR_Data[[#This Row],[Experience]]&lt;5,"2-5 Years",HR_Data[[#This Row],[Experience]]&lt;10,"5-10 Years",TRUE(),"10+ Years")</f>
        <v>10+ Years</v>
      </c>
      <c r="M214" t="str">
        <f t="array" ref="M214">_xlfn.IFS(HR_Data[[#This Row],[Salary]]&lt;40000,"Low",HR_Data[[#This Row],[Salary]]&lt;70000,"Medium",HR_Data[[#This Row],[Salary]]&lt;100000,"High",TRUE(),"Very High")</f>
        <v>High</v>
      </c>
      <c r="N214" t="str">
        <f t="array" ref="N214">_xlfn.IFS(HR_Data[[#This Row],[Age]]&lt;25,"18-24",HR_Data[[#This Row],[Age]]&lt;35,"25-34",HR_Data[[#This Row],[Age]]&lt;45,"35-44",TRUE(),"45+")</f>
        <v>45+</v>
      </c>
      <c r="O214">
        <f>YEAR(HR_Data[[#This Row],[Joining Date]])</f>
        <v>2025</v>
      </c>
      <c r="P214" t="str">
        <f>TEXT(HR_Data[[#This Row],[Joining Date]],"mmmm")</f>
        <v>February</v>
      </c>
      <c r="Q214">
        <f t="array" ref="Q214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214">
        <f>HR_Data[[#This Row],[Salary]]*HR_Data[[#This Row],[Bonus %]]</f>
        <v>4339.5</v>
      </c>
      <c r="S214">
        <f>HR_Data[[#This Row],[Salary]]+HR_Data[[#This Row],[Bonus Amount]]</f>
        <v>91129.5</v>
      </c>
      <c r="T214" t="str">
        <f>IF(HR_Data[[#This Row],[Attrition]]="Yes","Inactive","Active")</f>
        <v>Inactive</v>
      </c>
      <c r="U214" t="str">
        <f t="array" ref="U214">_xlfn.IFS(HR_Data[[#This Row],[Salary]]&gt;=100000,"A",HR_Data[[#This Row],[Salary]]&gt;=70000,"B",HR_Data[[#This Row],[Salary]]&gt;=50000,"C",TRUE(),"D")</f>
        <v>B</v>
      </c>
      <c r="V214" t="str">
        <f t="array" ref="V214">_xlfn.IFS(HR_Data[[#This Row],[Experience]]&gt;=15,"Expert",HR_Data[[#This Row],[Experience]]&gt;=8,"Senior",HR_Data[[#This Row],[Experience]]&gt;=3,"Mid-Level",TRUE(),"Junior")</f>
        <v>Expert</v>
      </c>
    </row>
    <row r="215" spans="1:22" ht="14.25" customHeight="1" x14ac:dyDescent="0.3">
      <c r="A215" t="s">
        <v>597</v>
      </c>
      <c r="B215" t="s">
        <v>124</v>
      </c>
      <c r="C215" t="s">
        <v>112</v>
      </c>
      <c r="D215" t="s">
        <v>33</v>
      </c>
      <c r="E215">
        <v>22</v>
      </c>
      <c r="F215">
        <v>29565</v>
      </c>
      <c r="G215">
        <v>2</v>
      </c>
      <c r="H215" t="s">
        <v>598</v>
      </c>
      <c r="I215" t="s">
        <v>57</v>
      </c>
      <c r="J215" t="s">
        <v>36</v>
      </c>
      <c r="K215" t="s">
        <v>29</v>
      </c>
      <c r="L215" t="str">
        <f t="array" ref="L215">_xlfn.IFS(HR_Data[[#This Row],[Experience]]&lt;2,"0-2 Years",HR_Data[[#This Row],[Experience]]&lt;5,"2-5 Years",HR_Data[[#This Row],[Experience]]&lt;10,"5-10 Years",TRUE(),"10+ Years")</f>
        <v>2-5 Years</v>
      </c>
      <c r="M215" t="str">
        <f t="array" ref="M215">_xlfn.IFS(HR_Data[[#This Row],[Salary]]&lt;40000,"Low",HR_Data[[#This Row],[Salary]]&lt;70000,"Medium",HR_Data[[#This Row],[Salary]]&lt;100000,"High",TRUE(),"Very High")</f>
        <v>Low</v>
      </c>
      <c r="N215" t="str">
        <f t="array" ref="N215">_xlfn.IFS(HR_Data[[#This Row],[Age]]&lt;25,"18-24",HR_Data[[#This Row],[Age]]&lt;35,"25-34",HR_Data[[#This Row],[Age]]&lt;45,"35-44",TRUE(),"45+")</f>
        <v>18-24</v>
      </c>
      <c r="O215">
        <f>YEAR(HR_Data[[#This Row],[Joining Date]])</f>
        <v>2019</v>
      </c>
      <c r="P215" t="str">
        <f>TEXT(HR_Data[[#This Row],[Joining Date]],"mmmm")</f>
        <v>November</v>
      </c>
      <c r="Q215">
        <f t="array" ref="Q21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15">
        <f>HR_Data[[#This Row],[Salary]]*HR_Data[[#This Row],[Bonus %]]</f>
        <v>2956.5</v>
      </c>
      <c r="S215">
        <f>HR_Data[[#This Row],[Salary]]+HR_Data[[#This Row],[Bonus Amount]]</f>
        <v>32521.5</v>
      </c>
      <c r="T215" t="str">
        <f>IF(HR_Data[[#This Row],[Attrition]]="Yes","Inactive","Active")</f>
        <v>Active</v>
      </c>
      <c r="U215" t="str">
        <f t="array" ref="U215">_xlfn.IFS(HR_Data[[#This Row],[Salary]]&gt;=100000,"A",HR_Data[[#This Row],[Salary]]&gt;=70000,"B",HR_Data[[#This Row],[Salary]]&gt;=50000,"C",TRUE(),"D")</f>
        <v>D</v>
      </c>
      <c r="V215" t="str">
        <f t="array" ref="V215">_xlfn.IFS(HR_Data[[#This Row],[Experience]]&gt;=15,"Expert",HR_Data[[#This Row],[Experience]]&gt;=8,"Senior",HR_Data[[#This Row],[Experience]]&gt;=3,"Mid-Level",TRUE(),"Junior")</f>
        <v>Junior</v>
      </c>
    </row>
    <row r="216" spans="1:22" ht="14.25" customHeight="1" x14ac:dyDescent="0.3">
      <c r="A216" t="s">
        <v>599</v>
      </c>
      <c r="B216" t="s">
        <v>600</v>
      </c>
      <c r="C216" t="s">
        <v>75</v>
      </c>
      <c r="D216" t="s">
        <v>25</v>
      </c>
      <c r="E216">
        <v>37</v>
      </c>
      <c r="F216">
        <v>55093</v>
      </c>
      <c r="G216">
        <v>7</v>
      </c>
      <c r="H216" t="s">
        <v>601</v>
      </c>
      <c r="I216" t="s">
        <v>80</v>
      </c>
      <c r="J216" t="s">
        <v>36</v>
      </c>
      <c r="K216" t="s">
        <v>29</v>
      </c>
      <c r="L216" t="str">
        <f t="array" ref="L216">_xlfn.IFS(HR_Data[[#This Row],[Experience]]&lt;2,"0-2 Years",HR_Data[[#This Row],[Experience]]&lt;5,"2-5 Years",HR_Data[[#This Row],[Experience]]&lt;10,"5-10 Years",TRUE(),"10+ Years")</f>
        <v>5-10 Years</v>
      </c>
      <c r="M216" t="str">
        <f t="array" ref="M216">_xlfn.IFS(HR_Data[[#This Row],[Salary]]&lt;40000,"Low",HR_Data[[#This Row],[Salary]]&lt;70000,"Medium",HR_Data[[#This Row],[Salary]]&lt;100000,"High",TRUE(),"Very High")</f>
        <v>Medium</v>
      </c>
      <c r="N216" t="str">
        <f t="array" ref="N216">_xlfn.IFS(HR_Data[[#This Row],[Age]]&lt;25,"18-24",HR_Data[[#This Row],[Age]]&lt;35,"25-34",HR_Data[[#This Row],[Age]]&lt;45,"35-44",TRUE(),"45+")</f>
        <v>35-44</v>
      </c>
      <c r="O216">
        <f>YEAR(HR_Data[[#This Row],[Joining Date]])</f>
        <v>2020</v>
      </c>
      <c r="P216" t="str">
        <f>TEXT(HR_Data[[#This Row],[Joining Date]],"mmmm")</f>
        <v>June</v>
      </c>
      <c r="Q216">
        <f t="array" ref="Q21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16">
        <f>HR_Data[[#This Row],[Salary]]*HR_Data[[#This Row],[Bonus %]]</f>
        <v>5509.3</v>
      </c>
      <c r="S216">
        <f>HR_Data[[#This Row],[Salary]]+HR_Data[[#This Row],[Bonus Amount]]</f>
        <v>60602.3</v>
      </c>
      <c r="T216" t="str">
        <f>IF(HR_Data[[#This Row],[Attrition]]="Yes","Inactive","Active")</f>
        <v>Active</v>
      </c>
      <c r="U216" t="str">
        <f t="array" ref="U216">_xlfn.IFS(HR_Data[[#This Row],[Salary]]&gt;=100000,"A",HR_Data[[#This Row],[Salary]]&gt;=70000,"B",HR_Data[[#This Row],[Salary]]&gt;=50000,"C",TRUE(),"D")</f>
        <v>C</v>
      </c>
      <c r="V216" t="str">
        <f t="array" ref="V216">_xlfn.IFS(HR_Data[[#This Row],[Experience]]&gt;=15,"Expert",HR_Data[[#This Row],[Experience]]&gt;=8,"Senior",HR_Data[[#This Row],[Experience]]&gt;=3,"Mid-Level",TRUE(),"Junior")</f>
        <v>Mid-Level</v>
      </c>
    </row>
    <row r="217" spans="1:22" ht="14.25" customHeight="1" x14ac:dyDescent="0.3">
      <c r="A217" t="s">
        <v>602</v>
      </c>
      <c r="B217" t="s">
        <v>185</v>
      </c>
      <c r="C217" t="s">
        <v>40</v>
      </c>
      <c r="D217" t="s">
        <v>25</v>
      </c>
      <c r="E217">
        <v>50</v>
      </c>
      <c r="F217">
        <v>111286</v>
      </c>
      <c r="G217">
        <v>24</v>
      </c>
      <c r="H217" t="s">
        <v>603</v>
      </c>
      <c r="I217" t="s">
        <v>67</v>
      </c>
      <c r="J217" t="s">
        <v>28</v>
      </c>
      <c r="K217" t="s">
        <v>29</v>
      </c>
      <c r="L217" t="str">
        <f t="array" ref="L217">_xlfn.IFS(HR_Data[[#This Row],[Experience]]&lt;2,"0-2 Years",HR_Data[[#This Row],[Experience]]&lt;5,"2-5 Years",HR_Data[[#This Row],[Experience]]&lt;10,"5-10 Years",TRUE(),"10+ Years")</f>
        <v>10+ Years</v>
      </c>
      <c r="M217" t="str">
        <f t="array" ref="M217">_xlfn.IFS(HR_Data[[#This Row],[Salary]]&lt;40000,"Low",HR_Data[[#This Row],[Salary]]&lt;70000,"Medium",HR_Data[[#This Row],[Salary]]&lt;100000,"High",TRUE(),"Very High")</f>
        <v>Very High</v>
      </c>
      <c r="N217" t="str">
        <f t="array" ref="N217">_xlfn.IFS(HR_Data[[#This Row],[Age]]&lt;25,"18-24",HR_Data[[#This Row],[Age]]&lt;35,"25-34",HR_Data[[#This Row],[Age]]&lt;45,"35-44",TRUE(),"45+")</f>
        <v>45+</v>
      </c>
      <c r="O217">
        <f>YEAR(HR_Data[[#This Row],[Joining Date]])</f>
        <v>2023</v>
      </c>
      <c r="P217" t="str">
        <f>TEXT(HR_Data[[#This Row],[Joining Date]],"mmmm")</f>
        <v>January</v>
      </c>
      <c r="Q217">
        <f t="array" ref="Q21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17">
        <f>HR_Data[[#This Row],[Salary]]*HR_Data[[#This Row],[Bonus %]]</f>
        <v>16692.899999999998</v>
      </c>
      <c r="S217">
        <f>HR_Data[[#This Row],[Salary]]+HR_Data[[#This Row],[Bonus Amount]]</f>
        <v>127978.9</v>
      </c>
      <c r="T217" t="str">
        <f>IF(HR_Data[[#This Row],[Attrition]]="Yes","Inactive","Active")</f>
        <v>Active</v>
      </c>
      <c r="U217" t="str">
        <f t="array" ref="U217">_xlfn.IFS(HR_Data[[#This Row],[Salary]]&gt;=100000,"A",HR_Data[[#This Row],[Salary]]&gt;=70000,"B",HR_Data[[#This Row],[Salary]]&gt;=50000,"C",TRUE(),"D")</f>
        <v>A</v>
      </c>
      <c r="V217" t="str">
        <f t="array" ref="V217">_xlfn.IFS(HR_Data[[#This Row],[Experience]]&gt;=15,"Expert",HR_Data[[#This Row],[Experience]]&gt;=8,"Senior",HR_Data[[#This Row],[Experience]]&gt;=3,"Mid-Level",TRUE(),"Junior")</f>
        <v>Expert</v>
      </c>
    </row>
    <row r="218" spans="1:22" ht="14.25" customHeight="1" x14ac:dyDescent="0.3">
      <c r="A218" t="s">
        <v>604</v>
      </c>
      <c r="B218" t="s">
        <v>605</v>
      </c>
      <c r="C218" t="s">
        <v>134</v>
      </c>
      <c r="D218" t="s">
        <v>25</v>
      </c>
      <c r="E218">
        <v>37</v>
      </c>
      <c r="F218">
        <v>68853</v>
      </c>
      <c r="G218">
        <v>13</v>
      </c>
      <c r="H218" t="s">
        <v>606</v>
      </c>
      <c r="I218" t="s">
        <v>80</v>
      </c>
      <c r="J218" t="s">
        <v>63</v>
      </c>
      <c r="K218" t="s">
        <v>29</v>
      </c>
      <c r="L218" t="str">
        <f t="array" ref="L218">_xlfn.IFS(HR_Data[[#This Row],[Experience]]&lt;2,"0-2 Years",HR_Data[[#This Row],[Experience]]&lt;5,"2-5 Years",HR_Data[[#This Row],[Experience]]&lt;10,"5-10 Years",TRUE(),"10+ Years")</f>
        <v>10+ Years</v>
      </c>
      <c r="M218" t="str">
        <f t="array" ref="M218">_xlfn.IFS(HR_Data[[#This Row],[Salary]]&lt;40000,"Low",HR_Data[[#This Row],[Salary]]&lt;70000,"Medium",HR_Data[[#This Row],[Salary]]&lt;100000,"High",TRUE(),"Very High")</f>
        <v>Medium</v>
      </c>
      <c r="N218" t="str">
        <f t="array" ref="N218">_xlfn.IFS(HR_Data[[#This Row],[Age]]&lt;25,"18-24",HR_Data[[#This Row],[Age]]&lt;35,"25-34",HR_Data[[#This Row],[Age]]&lt;45,"35-44",TRUE(),"45+")</f>
        <v>35-44</v>
      </c>
      <c r="O218">
        <f>YEAR(HR_Data[[#This Row],[Joining Date]])</f>
        <v>2024</v>
      </c>
      <c r="P218" t="str">
        <f>TEXT(HR_Data[[#This Row],[Joining Date]],"mmmm")</f>
        <v>April</v>
      </c>
      <c r="Q218">
        <f t="array" ref="Q218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218">
        <f>HR_Data[[#This Row],[Salary]]*HR_Data[[#This Row],[Bonus %]]</f>
        <v>13770.6</v>
      </c>
      <c r="S218">
        <f>HR_Data[[#This Row],[Salary]]+HR_Data[[#This Row],[Bonus Amount]]</f>
        <v>82623.600000000006</v>
      </c>
      <c r="T218" t="str">
        <f>IF(HR_Data[[#This Row],[Attrition]]="Yes","Inactive","Active")</f>
        <v>Active</v>
      </c>
      <c r="U218" t="str">
        <f t="array" ref="U218">_xlfn.IFS(HR_Data[[#This Row],[Salary]]&gt;=100000,"A",HR_Data[[#This Row],[Salary]]&gt;=70000,"B",HR_Data[[#This Row],[Salary]]&gt;=50000,"C",TRUE(),"D")</f>
        <v>C</v>
      </c>
      <c r="V218" t="str">
        <f t="array" ref="V218">_xlfn.IFS(HR_Data[[#This Row],[Experience]]&gt;=15,"Expert",HR_Data[[#This Row],[Experience]]&gt;=8,"Senior",HR_Data[[#This Row],[Experience]]&gt;=3,"Mid-Level",TRUE(),"Junior")</f>
        <v>Senior</v>
      </c>
    </row>
    <row r="219" spans="1:22" ht="14.25" customHeight="1" x14ac:dyDescent="0.3">
      <c r="A219" t="s">
        <v>607</v>
      </c>
      <c r="B219" t="s">
        <v>228</v>
      </c>
      <c r="C219" t="s">
        <v>55</v>
      </c>
      <c r="D219" t="s">
        <v>25</v>
      </c>
      <c r="E219">
        <v>31</v>
      </c>
      <c r="F219">
        <v>56609</v>
      </c>
      <c r="G219">
        <v>9</v>
      </c>
      <c r="H219" t="s">
        <v>608</v>
      </c>
      <c r="I219" t="s">
        <v>35</v>
      </c>
      <c r="J219" t="s">
        <v>28</v>
      </c>
      <c r="K219" t="s">
        <v>29</v>
      </c>
      <c r="L219" t="str">
        <f t="array" ref="L219">_xlfn.IFS(HR_Data[[#This Row],[Experience]]&lt;2,"0-2 Years",HR_Data[[#This Row],[Experience]]&lt;5,"2-5 Years",HR_Data[[#This Row],[Experience]]&lt;10,"5-10 Years",TRUE(),"10+ Years")</f>
        <v>5-10 Years</v>
      </c>
      <c r="M219" t="str">
        <f t="array" ref="M219">_xlfn.IFS(HR_Data[[#This Row],[Salary]]&lt;40000,"Low",HR_Data[[#This Row],[Salary]]&lt;70000,"Medium",HR_Data[[#This Row],[Salary]]&lt;100000,"High",TRUE(),"Very High")</f>
        <v>Medium</v>
      </c>
      <c r="N219" t="str">
        <f t="array" ref="N219">_xlfn.IFS(HR_Data[[#This Row],[Age]]&lt;25,"18-24",HR_Data[[#This Row],[Age]]&lt;35,"25-34",HR_Data[[#This Row],[Age]]&lt;45,"35-44",TRUE(),"45+")</f>
        <v>25-34</v>
      </c>
      <c r="O219">
        <f>YEAR(HR_Data[[#This Row],[Joining Date]])</f>
        <v>2020</v>
      </c>
      <c r="P219" t="str">
        <f>TEXT(HR_Data[[#This Row],[Joining Date]],"mmmm")</f>
        <v>February</v>
      </c>
      <c r="Q219">
        <f t="array" ref="Q21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19">
        <f>HR_Data[[#This Row],[Salary]]*HR_Data[[#This Row],[Bonus %]]</f>
        <v>8491.35</v>
      </c>
      <c r="S219">
        <f>HR_Data[[#This Row],[Salary]]+HR_Data[[#This Row],[Bonus Amount]]</f>
        <v>65100.35</v>
      </c>
      <c r="T219" t="str">
        <f>IF(HR_Data[[#This Row],[Attrition]]="Yes","Inactive","Active")</f>
        <v>Active</v>
      </c>
      <c r="U219" t="str">
        <f t="array" ref="U219">_xlfn.IFS(HR_Data[[#This Row],[Salary]]&gt;=100000,"A",HR_Data[[#This Row],[Salary]]&gt;=70000,"B",HR_Data[[#This Row],[Salary]]&gt;=50000,"C",TRUE(),"D")</f>
        <v>C</v>
      </c>
      <c r="V219" t="str">
        <f t="array" ref="V219">_xlfn.IFS(HR_Data[[#This Row],[Experience]]&gt;=15,"Expert",HR_Data[[#This Row],[Experience]]&gt;=8,"Senior",HR_Data[[#This Row],[Experience]]&gt;=3,"Mid-Level",TRUE(),"Junior")</f>
        <v>Senior</v>
      </c>
    </row>
    <row r="220" spans="1:22" ht="14.25" customHeight="1" x14ac:dyDescent="0.3">
      <c r="A220" t="s">
        <v>609</v>
      </c>
      <c r="B220" t="s">
        <v>436</v>
      </c>
      <c r="C220" t="s">
        <v>75</v>
      </c>
      <c r="D220" t="s">
        <v>33</v>
      </c>
      <c r="E220">
        <v>57</v>
      </c>
      <c r="F220">
        <v>121712</v>
      </c>
      <c r="G220">
        <v>31</v>
      </c>
      <c r="H220" t="s">
        <v>610</v>
      </c>
      <c r="I220" t="s">
        <v>45</v>
      </c>
      <c r="J220" t="s">
        <v>28</v>
      </c>
      <c r="K220" t="s">
        <v>29</v>
      </c>
      <c r="L220" t="str">
        <f t="array" ref="L220">_xlfn.IFS(HR_Data[[#This Row],[Experience]]&lt;2,"0-2 Years",HR_Data[[#This Row],[Experience]]&lt;5,"2-5 Years",HR_Data[[#This Row],[Experience]]&lt;10,"5-10 Years",TRUE(),"10+ Years")</f>
        <v>10+ Years</v>
      </c>
      <c r="M220" t="str">
        <f t="array" ref="M220">_xlfn.IFS(HR_Data[[#This Row],[Salary]]&lt;40000,"Low",HR_Data[[#This Row],[Salary]]&lt;70000,"Medium",HR_Data[[#This Row],[Salary]]&lt;100000,"High",TRUE(),"Very High")</f>
        <v>Very High</v>
      </c>
      <c r="N220" t="str">
        <f t="array" ref="N220">_xlfn.IFS(HR_Data[[#This Row],[Age]]&lt;25,"18-24",HR_Data[[#This Row],[Age]]&lt;35,"25-34",HR_Data[[#This Row],[Age]]&lt;45,"35-44",TRUE(),"45+")</f>
        <v>45+</v>
      </c>
      <c r="O220">
        <f>YEAR(HR_Data[[#This Row],[Joining Date]])</f>
        <v>2022</v>
      </c>
      <c r="P220" t="str">
        <f>TEXT(HR_Data[[#This Row],[Joining Date]],"mmmm")</f>
        <v>November</v>
      </c>
      <c r="Q220">
        <f t="array" ref="Q220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20">
        <f>HR_Data[[#This Row],[Salary]]*HR_Data[[#This Row],[Bonus %]]</f>
        <v>18256.8</v>
      </c>
      <c r="S220">
        <f>HR_Data[[#This Row],[Salary]]+HR_Data[[#This Row],[Bonus Amount]]</f>
        <v>139968.79999999999</v>
      </c>
      <c r="T220" t="str">
        <f>IF(HR_Data[[#This Row],[Attrition]]="Yes","Inactive","Active")</f>
        <v>Active</v>
      </c>
      <c r="U220" t="str">
        <f t="array" ref="U220">_xlfn.IFS(HR_Data[[#This Row],[Salary]]&gt;=100000,"A",HR_Data[[#This Row],[Salary]]&gt;=70000,"B",HR_Data[[#This Row],[Salary]]&gt;=50000,"C",TRUE(),"D")</f>
        <v>A</v>
      </c>
      <c r="V220" t="str">
        <f t="array" ref="V220">_xlfn.IFS(HR_Data[[#This Row],[Experience]]&gt;=15,"Expert",HR_Data[[#This Row],[Experience]]&gt;=8,"Senior",HR_Data[[#This Row],[Experience]]&gt;=3,"Mid-Level",TRUE(),"Junior")</f>
        <v>Expert</v>
      </c>
    </row>
    <row r="221" spans="1:22" ht="14.25" customHeight="1" x14ac:dyDescent="0.3">
      <c r="A221" t="s">
        <v>611</v>
      </c>
      <c r="B221" t="s">
        <v>216</v>
      </c>
      <c r="C221" t="s">
        <v>70</v>
      </c>
      <c r="D221" t="s">
        <v>33</v>
      </c>
      <c r="E221">
        <v>22</v>
      </c>
      <c r="F221">
        <v>25000</v>
      </c>
      <c r="G221">
        <v>2</v>
      </c>
      <c r="H221" t="s">
        <v>612</v>
      </c>
      <c r="I221" t="s">
        <v>57</v>
      </c>
      <c r="J221" t="s">
        <v>36</v>
      </c>
      <c r="K221" t="s">
        <v>29</v>
      </c>
      <c r="L221" t="str">
        <f t="array" ref="L221">_xlfn.IFS(HR_Data[[#This Row],[Experience]]&lt;2,"0-2 Years",HR_Data[[#This Row],[Experience]]&lt;5,"2-5 Years",HR_Data[[#This Row],[Experience]]&lt;10,"5-10 Years",TRUE(),"10+ Years")</f>
        <v>2-5 Years</v>
      </c>
      <c r="M221" t="str">
        <f t="array" ref="M221">_xlfn.IFS(HR_Data[[#This Row],[Salary]]&lt;40000,"Low",HR_Data[[#This Row],[Salary]]&lt;70000,"Medium",HR_Data[[#This Row],[Salary]]&lt;100000,"High",TRUE(),"Very High")</f>
        <v>Low</v>
      </c>
      <c r="N221" t="str">
        <f t="array" ref="N221">_xlfn.IFS(HR_Data[[#This Row],[Age]]&lt;25,"18-24",HR_Data[[#This Row],[Age]]&lt;35,"25-34",HR_Data[[#This Row],[Age]]&lt;45,"35-44",TRUE(),"45+")</f>
        <v>18-24</v>
      </c>
      <c r="O221">
        <f>YEAR(HR_Data[[#This Row],[Joining Date]])</f>
        <v>2015</v>
      </c>
      <c r="P221" t="str">
        <f>TEXT(HR_Data[[#This Row],[Joining Date]],"mmmm")</f>
        <v>February</v>
      </c>
      <c r="Q221">
        <f t="array" ref="Q22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21">
        <f>HR_Data[[#This Row],[Salary]]*HR_Data[[#This Row],[Bonus %]]</f>
        <v>2500</v>
      </c>
      <c r="S221">
        <f>HR_Data[[#This Row],[Salary]]+HR_Data[[#This Row],[Bonus Amount]]</f>
        <v>27500</v>
      </c>
      <c r="T221" t="str">
        <f>IF(HR_Data[[#This Row],[Attrition]]="Yes","Inactive","Active")</f>
        <v>Active</v>
      </c>
      <c r="U221" t="str">
        <f t="array" ref="U221">_xlfn.IFS(HR_Data[[#This Row],[Salary]]&gt;=100000,"A",HR_Data[[#This Row],[Salary]]&gt;=70000,"B",HR_Data[[#This Row],[Salary]]&gt;=50000,"C",TRUE(),"D")</f>
        <v>D</v>
      </c>
      <c r="V221" t="str">
        <f t="array" ref="V221">_xlfn.IFS(HR_Data[[#This Row],[Experience]]&gt;=15,"Expert",HR_Data[[#This Row],[Experience]]&gt;=8,"Senior",HR_Data[[#This Row],[Experience]]&gt;=3,"Mid-Level",TRUE(),"Junior")</f>
        <v>Junior</v>
      </c>
    </row>
    <row r="222" spans="1:22" ht="14.25" customHeight="1" x14ac:dyDescent="0.3">
      <c r="A222" t="s">
        <v>613</v>
      </c>
      <c r="B222" t="s">
        <v>390</v>
      </c>
      <c r="C222" t="s">
        <v>93</v>
      </c>
      <c r="D222" t="s">
        <v>33</v>
      </c>
      <c r="E222">
        <v>58</v>
      </c>
      <c r="F222">
        <v>131629</v>
      </c>
      <c r="G222">
        <v>32</v>
      </c>
      <c r="H222" t="s">
        <v>614</v>
      </c>
      <c r="I222" t="s">
        <v>27</v>
      </c>
      <c r="J222" t="s">
        <v>36</v>
      </c>
      <c r="K222" t="s">
        <v>29</v>
      </c>
      <c r="L222" t="str">
        <f t="array" ref="L222">_xlfn.IFS(HR_Data[[#This Row],[Experience]]&lt;2,"0-2 Years",HR_Data[[#This Row],[Experience]]&lt;5,"2-5 Years",HR_Data[[#This Row],[Experience]]&lt;10,"5-10 Years",TRUE(),"10+ Years")</f>
        <v>10+ Years</v>
      </c>
      <c r="M222" t="str">
        <f t="array" ref="M222">_xlfn.IFS(HR_Data[[#This Row],[Salary]]&lt;40000,"Low",HR_Data[[#This Row],[Salary]]&lt;70000,"Medium",HR_Data[[#This Row],[Salary]]&lt;100000,"High",TRUE(),"Very High")</f>
        <v>Very High</v>
      </c>
      <c r="N222" t="str">
        <f t="array" ref="N222">_xlfn.IFS(HR_Data[[#This Row],[Age]]&lt;25,"18-24",HR_Data[[#This Row],[Age]]&lt;35,"25-34",HR_Data[[#This Row],[Age]]&lt;45,"35-44",TRUE(),"45+")</f>
        <v>45+</v>
      </c>
      <c r="O222">
        <f>YEAR(HR_Data[[#This Row],[Joining Date]])</f>
        <v>2016</v>
      </c>
      <c r="P222" t="str">
        <f>TEXT(HR_Data[[#This Row],[Joining Date]],"mmmm")</f>
        <v>May</v>
      </c>
      <c r="Q222">
        <f t="array" ref="Q22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22">
        <f>HR_Data[[#This Row],[Salary]]*HR_Data[[#This Row],[Bonus %]]</f>
        <v>13162.900000000001</v>
      </c>
      <c r="S222">
        <f>HR_Data[[#This Row],[Salary]]+HR_Data[[#This Row],[Bonus Amount]]</f>
        <v>144791.9</v>
      </c>
      <c r="T222" t="str">
        <f>IF(HR_Data[[#This Row],[Attrition]]="Yes","Inactive","Active")</f>
        <v>Active</v>
      </c>
      <c r="U222" t="str">
        <f t="array" ref="U222">_xlfn.IFS(HR_Data[[#This Row],[Salary]]&gt;=100000,"A",HR_Data[[#This Row],[Salary]]&gt;=70000,"B",HR_Data[[#This Row],[Salary]]&gt;=50000,"C",TRUE(),"D")</f>
        <v>A</v>
      </c>
      <c r="V222" t="str">
        <f t="array" ref="V222">_xlfn.IFS(HR_Data[[#This Row],[Experience]]&gt;=15,"Expert",HR_Data[[#This Row],[Experience]]&gt;=8,"Senior",HR_Data[[#This Row],[Experience]]&gt;=3,"Mid-Level",TRUE(),"Junior")</f>
        <v>Expert</v>
      </c>
    </row>
    <row r="223" spans="1:22" ht="14.25" customHeight="1" x14ac:dyDescent="0.3">
      <c r="A223" t="s">
        <v>615</v>
      </c>
      <c r="B223" t="s">
        <v>513</v>
      </c>
      <c r="C223" t="s">
        <v>112</v>
      </c>
      <c r="D223" t="s">
        <v>25</v>
      </c>
      <c r="E223">
        <v>60</v>
      </c>
      <c r="F223">
        <v>139278</v>
      </c>
      <c r="G223">
        <v>34</v>
      </c>
      <c r="H223" t="s">
        <v>616</v>
      </c>
      <c r="I223" t="s">
        <v>132</v>
      </c>
      <c r="J223" t="s">
        <v>63</v>
      </c>
      <c r="K223" t="s">
        <v>29</v>
      </c>
      <c r="L223" t="str">
        <f t="array" ref="L223">_xlfn.IFS(HR_Data[[#This Row],[Experience]]&lt;2,"0-2 Years",HR_Data[[#This Row],[Experience]]&lt;5,"2-5 Years",HR_Data[[#This Row],[Experience]]&lt;10,"5-10 Years",TRUE(),"10+ Years")</f>
        <v>10+ Years</v>
      </c>
      <c r="M223" t="str">
        <f t="array" ref="M223">_xlfn.IFS(HR_Data[[#This Row],[Salary]]&lt;40000,"Low",HR_Data[[#This Row],[Salary]]&lt;70000,"Medium",HR_Data[[#This Row],[Salary]]&lt;100000,"High",TRUE(),"Very High")</f>
        <v>Very High</v>
      </c>
      <c r="N223" t="str">
        <f t="array" ref="N223">_xlfn.IFS(HR_Data[[#This Row],[Age]]&lt;25,"18-24",HR_Data[[#This Row],[Age]]&lt;35,"25-34",HR_Data[[#This Row],[Age]]&lt;45,"35-44",TRUE(),"45+")</f>
        <v>45+</v>
      </c>
      <c r="O223">
        <f>YEAR(HR_Data[[#This Row],[Joining Date]])</f>
        <v>2015</v>
      </c>
      <c r="P223" t="str">
        <f>TEXT(HR_Data[[#This Row],[Joining Date]],"mmmm")</f>
        <v>April</v>
      </c>
      <c r="Q223">
        <f t="array" ref="Q223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223">
        <f>HR_Data[[#This Row],[Salary]]*HR_Data[[#This Row],[Bonus %]]</f>
        <v>27855.600000000002</v>
      </c>
      <c r="S223">
        <f>HR_Data[[#This Row],[Salary]]+HR_Data[[#This Row],[Bonus Amount]]</f>
        <v>167133.6</v>
      </c>
      <c r="T223" t="str">
        <f>IF(HR_Data[[#This Row],[Attrition]]="Yes","Inactive","Active")</f>
        <v>Active</v>
      </c>
      <c r="U223" t="str">
        <f t="array" ref="U223">_xlfn.IFS(HR_Data[[#This Row],[Salary]]&gt;=100000,"A",HR_Data[[#This Row],[Salary]]&gt;=70000,"B",HR_Data[[#This Row],[Salary]]&gt;=50000,"C",TRUE(),"D")</f>
        <v>A</v>
      </c>
      <c r="V223" t="str">
        <f t="array" ref="V223">_xlfn.IFS(HR_Data[[#This Row],[Experience]]&gt;=15,"Expert",HR_Data[[#This Row],[Experience]]&gt;=8,"Senior",HR_Data[[#This Row],[Experience]]&gt;=3,"Mid-Level",TRUE(),"Junior")</f>
        <v>Expert</v>
      </c>
    </row>
    <row r="224" spans="1:22" ht="14.25" customHeight="1" x14ac:dyDescent="0.3">
      <c r="A224" t="s">
        <v>617</v>
      </c>
      <c r="B224" t="s">
        <v>618</v>
      </c>
      <c r="C224" t="s">
        <v>134</v>
      </c>
      <c r="D224" t="s">
        <v>25</v>
      </c>
      <c r="E224">
        <v>26</v>
      </c>
      <c r="F224">
        <v>53383</v>
      </c>
      <c r="G224">
        <v>6</v>
      </c>
      <c r="H224" t="s">
        <v>619</v>
      </c>
      <c r="I224" t="s">
        <v>42</v>
      </c>
      <c r="J224" t="s">
        <v>28</v>
      </c>
      <c r="K224" t="s">
        <v>29</v>
      </c>
      <c r="L224" t="str">
        <f t="array" ref="L224">_xlfn.IFS(HR_Data[[#This Row],[Experience]]&lt;2,"0-2 Years",HR_Data[[#This Row],[Experience]]&lt;5,"2-5 Years",HR_Data[[#This Row],[Experience]]&lt;10,"5-10 Years",TRUE(),"10+ Years")</f>
        <v>5-10 Years</v>
      </c>
      <c r="M224" t="str">
        <f t="array" ref="M224">_xlfn.IFS(HR_Data[[#This Row],[Salary]]&lt;40000,"Low",HR_Data[[#This Row],[Salary]]&lt;70000,"Medium",HR_Data[[#This Row],[Salary]]&lt;100000,"High",TRUE(),"Very High")</f>
        <v>Medium</v>
      </c>
      <c r="N224" t="str">
        <f t="array" ref="N224">_xlfn.IFS(HR_Data[[#This Row],[Age]]&lt;25,"18-24",HR_Data[[#This Row],[Age]]&lt;35,"25-34",HR_Data[[#This Row],[Age]]&lt;45,"35-44",TRUE(),"45+")</f>
        <v>25-34</v>
      </c>
      <c r="O224">
        <f>YEAR(HR_Data[[#This Row],[Joining Date]])</f>
        <v>2018</v>
      </c>
      <c r="P224" t="str">
        <f>TEXT(HR_Data[[#This Row],[Joining Date]],"mmmm")</f>
        <v>May</v>
      </c>
      <c r="Q224">
        <f t="array" ref="Q224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24">
        <f>HR_Data[[#This Row],[Salary]]*HR_Data[[#This Row],[Bonus %]]</f>
        <v>8007.45</v>
      </c>
      <c r="S224">
        <f>HR_Data[[#This Row],[Salary]]+HR_Data[[#This Row],[Bonus Amount]]</f>
        <v>61390.45</v>
      </c>
      <c r="T224" t="str">
        <f>IF(HR_Data[[#This Row],[Attrition]]="Yes","Inactive","Active")</f>
        <v>Active</v>
      </c>
      <c r="U224" t="str">
        <f t="array" ref="U224">_xlfn.IFS(HR_Data[[#This Row],[Salary]]&gt;=100000,"A",HR_Data[[#This Row],[Salary]]&gt;=70000,"B",HR_Data[[#This Row],[Salary]]&gt;=50000,"C",TRUE(),"D")</f>
        <v>C</v>
      </c>
      <c r="V224" t="str">
        <f t="array" ref="V224">_xlfn.IFS(HR_Data[[#This Row],[Experience]]&gt;=15,"Expert",HR_Data[[#This Row],[Experience]]&gt;=8,"Senior",HR_Data[[#This Row],[Experience]]&gt;=3,"Mid-Level",TRUE(),"Junior")</f>
        <v>Mid-Level</v>
      </c>
    </row>
    <row r="225" spans="1:22" ht="14.25" customHeight="1" x14ac:dyDescent="0.3">
      <c r="A225" t="s">
        <v>620</v>
      </c>
      <c r="B225" t="s">
        <v>127</v>
      </c>
      <c r="C225" t="s">
        <v>40</v>
      </c>
      <c r="D225" t="s">
        <v>25</v>
      </c>
      <c r="E225">
        <v>48</v>
      </c>
      <c r="F225">
        <v>105640</v>
      </c>
      <c r="G225">
        <v>23</v>
      </c>
      <c r="H225" t="s">
        <v>621</v>
      </c>
      <c r="I225" t="s">
        <v>62</v>
      </c>
      <c r="J225" t="s">
        <v>90</v>
      </c>
      <c r="K225" t="s">
        <v>29</v>
      </c>
      <c r="L225" t="str">
        <f t="array" ref="L225">_xlfn.IFS(HR_Data[[#This Row],[Experience]]&lt;2,"0-2 Years",HR_Data[[#This Row],[Experience]]&lt;5,"2-5 Years",HR_Data[[#This Row],[Experience]]&lt;10,"5-10 Years",TRUE(),"10+ Years")</f>
        <v>10+ Years</v>
      </c>
      <c r="M225" t="str">
        <f t="array" ref="M225">_xlfn.IFS(HR_Data[[#This Row],[Salary]]&lt;40000,"Low",HR_Data[[#This Row],[Salary]]&lt;70000,"Medium",HR_Data[[#This Row],[Salary]]&lt;100000,"High",TRUE(),"Very High")</f>
        <v>Very High</v>
      </c>
      <c r="N225" t="str">
        <f t="array" ref="N225">_xlfn.IFS(HR_Data[[#This Row],[Age]]&lt;25,"18-24",HR_Data[[#This Row],[Age]]&lt;35,"25-34",HR_Data[[#This Row],[Age]]&lt;45,"35-44",TRUE(),"45+")</f>
        <v>45+</v>
      </c>
      <c r="O225">
        <f>YEAR(HR_Data[[#This Row],[Joining Date]])</f>
        <v>2020</v>
      </c>
      <c r="P225" t="str">
        <f>TEXT(HR_Data[[#This Row],[Joining Date]],"mmmm")</f>
        <v>June</v>
      </c>
      <c r="Q225">
        <f t="array" ref="Q225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225">
        <f>HR_Data[[#This Row],[Salary]]*HR_Data[[#This Row],[Bonus %]]</f>
        <v>0</v>
      </c>
      <c r="S225">
        <f>HR_Data[[#This Row],[Salary]]+HR_Data[[#This Row],[Bonus Amount]]</f>
        <v>105640</v>
      </c>
      <c r="T225" t="str">
        <f>IF(HR_Data[[#This Row],[Attrition]]="Yes","Inactive","Active")</f>
        <v>Active</v>
      </c>
      <c r="U225" t="str">
        <f t="array" ref="U225">_xlfn.IFS(HR_Data[[#This Row],[Salary]]&gt;=100000,"A",HR_Data[[#This Row],[Salary]]&gt;=70000,"B",HR_Data[[#This Row],[Salary]]&gt;=50000,"C",TRUE(),"D")</f>
        <v>A</v>
      </c>
      <c r="V225" t="str">
        <f t="array" ref="V225">_xlfn.IFS(HR_Data[[#This Row],[Experience]]&gt;=15,"Expert",HR_Data[[#This Row],[Experience]]&gt;=8,"Senior",HR_Data[[#This Row],[Experience]]&gt;=3,"Mid-Level",TRUE(),"Junior")</f>
        <v>Expert</v>
      </c>
    </row>
    <row r="226" spans="1:22" ht="14.25" customHeight="1" x14ac:dyDescent="0.3">
      <c r="A226" t="s">
        <v>622</v>
      </c>
      <c r="B226" t="s">
        <v>108</v>
      </c>
      <c r="C226" t="s">
        <v>32</v>
      </c>
      <c r="D226" t="s">
        <v>25</v>
      </c>
      <c r="E226">
        <v>51</v>
      </c>
      <c r="F226">
        <v>109397</v>
      </c>
      <c r="G226">
        <v>24</v>
      </c>
      <c r="H226" t="s">
        <v>623</v>
      </c>
      <c r="I226" t="s">
        <v>72</v>
      </c>
      <c r="J226" t="s">
        <v>36</v>
      </c>
      <c r="K226" t="s">
        <v>29</v>
      </c>
      <c r="L226" t="str">
        <f t="array" ref="L226">_xlfn.IFS(HR_Data[[#This Row],[Experience]]&lt;2,"0-2 Years",HR_Data[[#This Row],[Experience]]&lt;5,"2-5 Years",HR_Data[[#This Row],[Experience]]&lt;10,"5-10 Years",TRUE(),"10+ Years")</f>
        <v>10+ Years</v>
      </c>
      <c r="M226" t="str">
        <f t="array" ref="M226">_xlfn.IFS(HR_Data[[#This Row],[Salary]]&lt;40000,"Low",HR_Data[[#This Row],[Salary]]&lt;70000,"Medium",HR_Data[[#This Row],[Salary]]&lt;100000,"High",TRUE(),"Very High")</f>
        <v>Very High</v>
      </c>
      <c r="N226" t="str">
        <f t="array" ref="N226">_xlfn.IFS(HR_Data[[#This Row],[Age]]&lt;25,"18-24",HR_Data[[#This Row],[Age]]&lt;35,"25-34",HR_Data[[#This Row],[Age]]&lt;45,"35-44",TRUE(),"45+")</f>
        <v>45+</v>
      </c>
      <c r="O226">
        <f>YEAR(HR_Data[[#This Row],[Joining Date]])</f>
        <v>2016</v>
      </c>
      <c r="P226" t="str">
        <f>TEXT(HR_Data[[#This Row],[Joining Date]],"mmmm")</f>
        <v>April</v>
      </c>
      <c r="Q226">
        <f t="array" ref="Q22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26">
        <f>HR_Data[[#This Row],[Salary]]*HR_Data[[#This Row],[Bonus %]]</f>
        <v>10939.7</v>
      </c>
      <c r="S226">
        <f>HR_Data[[#This Row],[Salary]]+HR_Data[[#This Row],[Bonus Amount]]</f>
        <v>120336.7</v>
      </c>
      <c r="T226" t="str">
        <f>IF(HR_Data[[#This Row],[Attrition]]="Yes","Inactive","Active")</f>
        <v>Active</v>
      </c>
      <c r="U226" t="str">
        <f t="array" ref="U226">_xlfn.IFS(HR_Data[[#This Row],[Salary]]&gt;=100000,"A",HR_Data[[#This Row],[Salary]]&gt;=70000,"B",HR_Data[[#This Row],[Salary]]&gt;=50000,"C",TRUE(),"D")</f>
        <v>A</v>
      </c>
      <c r="V226" t="str">
        <f t="array" ref="V226">_xlfn.IFS(HR_Data[[#This Row],[Experience]]&gt;=15,"Expert",HR_Data[[#This Row],[Experience]]&gt;=8,"Senior",HR_Data[[#This Row],[Experience]]&gt;=3,"Mid-Level",TRUE(),"Junior")</f>
        <v>Expert</v>
      </c>
    </row>
    <row r="227" spans="1:22" ht="14.25" customHeight="1" x14ac:dyDescent="0.3">
      <c r="A227" t="s">
        <v>624</v>
      </c>
      <c r="B227" t="s">
        <v>118</v>
      </c>
      <c r="C227" t="s">
        <v>134</v>
      </c>
      <c r="D227" t="s">
        <v>33</v>
      </c>
      <c r="E227">
        <v>33</v>
      </c>
      <c r="F227">
        <v>37594</v>
      </c>
      <c r="G227">
        <v>6</v>
      </c>
      <c r="H227" t="s">
        <v>625</v>
      </c>
      <c r="I227" t="s">
        <v>42</v>
      </c>
      <c r="J227" t="s">
        <v>28</v>
      </c>
      <c r="K227" t="s">
        <v>29</v>
      </c>
      <c r="L227" t="str">
        <f t="array" ref="L227">_xlfn.IFS(HR_Data[[#This Row],[Experience]]&lt;2,"0-2 Years",HR_Data[[#This Row],[Experience]]&lt;5,"2-5 Years",HR_Data[[#This Row],[Experience]]&lt;10,"5-10 Years",TRUE(),"10+ Years")</f>
        <v>5-10 Years</v>
      </c>
      <c r="M227" t="str">
        <f t="array" ref="M227">_xlfn.IFS(HR_Data[[#This Row],[Salary]]&lt;40000,"Low",HR_Data[[#This Row],[Salary]]&lt;70000,"Medium",HR_Data[[#This Row],[Salary]]&lt;100000,"High",TRUE(),"Very High")</f>
        <v>Low</v>
      </c>
      <c r="N227" t="str">
        <f t="array" ref="N227">_xlfn.IFS(HR_Data[[#This Row],[Age]]&lt;25,"18-24",HR_Data[[#This Row],[Age]]&lt;35,"25-34",HR_Data[[#This Row],[Age]]&lt;45,"35-44",TRUE(),"45+")</f>
        <v>25-34</v>
      </c>
      <c r="O227">
        <f>YEAR(HR_Data[[#This Row],[Joining Date]])</f>
        <v>2020</v>
      </c>
      <c r="P227" t="str">
        <f>TEXT(HR_Data[[#This Row],[Joining Date]],"mmmm")</f>
        <v>February</v>
      </c>
      <c r="Q227">
        <f t="array" ref="Q22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27">
        <f>HR_Data[[#This Row],[Salary]]*HR_Data[[#This Row],[Bonus %]]</f>
        <v>5639.0999999999995</v>
      </c>
      <c r="S227">
        <f>HR_Data[[#This Row],[Salary]]+HR_Data[[#This Row],[Bonus Amount]]</f>
        <v>43233.1</v>
      </c>
      <c r="T227" t="str">
        <f>IF(HR_Data[[#This Row],[Attrition]]="Yes","Inactive","Active")</f>
        <v>Active</v>
      </c>
      <c r="U227" t="str">
        <f t="array" ref="U227">_xlfn.IFS(HR_Data[[#This Row],[Salary]]&gt;=100000,"A",HR_Data[[#This Row],[Salary]]&gt;=70000,"B",HR_Data[[#This Row],[Salary]]&gt;=50000,"C",TRUE(),"D")</f>
        <v>D</v>
      </c>
      <c r="V227" t="str">
        <f t="array" ref="V227">_xlfn.IFS(HR_Data[[#This Row],[Experience]]&gt;=15,"Expert",HR_Data[[#This Row],[Experience]]&gt;=8,"Senior",HR_Data[[#This Row],[Experience]]&gt;=3,"Mid-Level",TRUE(),"Junior")</f>
        <v>Mid-Level</v>
      </c>
    </row>
    <row r="228" spans="1:22" ht="14.25" customHeight="1" x14ac:dyDescent="0.3">
      <c r="A228" t="s">
        <v>626</v>
      </c>
      <c r="B228" t="s">
        <v>570</v>
      </c>
      <c r="C228" t="s">
        <v>24</v>
      </c>
      <c r="D228" t="s">
        <v>33</v>
      </c>
      <c r="E228">
        <v>44</v>
      </c>
      <c r="F228">
        <v>89865</v>
      </c>
      <c r="G228">
        <v>17</v>
      </c>
      <c r="H228" t="s">
        <v>627</v>
      </c>
      <c r="I228" t="s">
        <v>62</v>
      </c>
      <c r="J228" t="s">
        <v>28</v>
      </c>
      <c r="K228" t="s">
        <v>29</v>
      </c>
      <c r="L228" t="str">
        <f t="array" ref="L228">_xlfn.IFS(HR_Data[[#This Row],[Experience]]&lt;2,"0-2 Years",HR_Data[[#This Row],[Experience]]&lt;5,"2-5 Years",HR_Data[[#This Row],[Experience]]&lt;10,"5-10 Years",TRUE(),"10+ Years")</f>
        <v>10+ Years</v>
      </c>
      <c r="M228" t="str">
        <f t="array" ref="M228">_xlfn.IFS(HR_Data[[#This Row],[Salary]]&lt;40000,"Low",HR_Data[[#This Row],[Salary]]&lt;70000,"Medium",HR_Data[[#This Row],[Salary]]&lt;100000,"High",TRUE(),"Very High")</f>
        <v>High</v>
      </c>
      <c r="N228" t="str">
        <f t="array" ref="N228">_xlfn.IFS(HR_Data[[#This Row],[Age]]&lt;25,"18-24",HR_Data[[#This Row],[Age]]&lt;35,"25-34",HR_Data[[#This Row],[Age]]&lt;45,"35-44",TRUE(),"45+")</f>
        <v>35-44</v>
      </c>
      <c r="O228">
        <f>YEAR(HR_Data[[#This Row],[Joining Date]])</f>
        <v>2015</v>
      </c>
      <c r="P228" t="str">
        <f>TEXT(HR_Data[[#This Row],[Joining Date]],"mmmm")</f>
        <v>September</v>
      </c>
      <c r="Q228">
        <f t="array" ref="Q228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28">
        <f>HR_Data[[#This Row],[Salary]]*HR_Data[[#This Row],[Bonus %]]</f>
        <v>13479.75</v>
      </c>
      <c r="S228">
        <f>HR_Data[[#This Row],[Salary]]+HR_Data[[#This Row],[Bonus Amount]]</f>
        <v>103344.75</v>
      </c>
      <c r="T228" t="str">
        <f>IF(HR_Data[[#This Row],[Attrition]]="Yes","Inactive","Active")</f>
        <v>Active</v>
      </c>
      <c r="U228" t="str">
        <f t="array" ref="U228">_xlfn.IFS(HR_Data[[#This Row],[Salary]]&gt;=100000,"A",HR_Data[[#This Row],[Salary]]&gt;=70000,"B",HR_Data[[#This Row],[Salary]]&gt;=50000,"C",TRUE(),"D")</f>
        <v>B</v>
      </c>
      <c r="V228" t="str">
        <f t="array" ref="V228">_xlfn.IFS(HR_Data[[#This Row],[Experience]]&gt;=15,"Expert",HR_Data[[#This Row],[Experience]]&gt;=8,"Senior",HR_Data[[#This Row],[Experience]]&gt;=3,"Mid-Level",TRUE(),"Junior")</f>
        <v>Expert</v>
      </c>
    </row>
    <row r="229" spans="1:22" ht="14.25" customHeight="1" x14ac:dyDescent="0.3">
      <c r="A229" t="s">
        <v>628</v>
      </c>
      <c r="B229" t="s">
        <v>528</v>
      </c>
      <c r="C229" t="s">
        <v>32</v>
      </c>
      <c r="D229" t="s">
        <v>33</v>
      </c>
      <c r="E229">
        <v>27</v>
      </c>
      <c r="F229">
        <v>35123</v>
      </c>
      <c r="G229">
        <v>4</v>
      </c>
      <c r="H229" t="s">
        <v>629</v>
      </c>
      <c r="I229" t="s">
        <v>42</v>
      </c>
      <c r="J229" t="s">
        <v>36</v>
      </c>
      <c r="K229" t="s">
        <v>29</v>
      </c>
      <c r="L229" t="str">
        <f t="array" ref="L229">_xlfn.IFS(HR_Data[[#This Row],[Experience]]&lt;2,"0-2 Years",HR_Data[[#This Row],[Experience]]&lt;5,"2-5 Years",HR_Data[[#This Row],[Experience]]&lt;10,"5-10 Years",TRUE(),"10+ Years")</f>
        <v>2-5 Years</v>
      </c>
      <c r="M229" t="str">
        <f t="array" ref="M229">_xlfn.IFS(HR_Data[[#This Row],[Salary]]&lt;40000,"Low",HR_Data[[#This Row],[Salary]]&lt;70000,"Medium",HR_Data[[#This Row],[Salary]]&lt;100000,"High",TRUE(),"Very High")</f>
        <v>Low</v>
      </c>
      <c r="N229" t="str">
        <f t="array" ref="N229">_xlfn.IFS(HR_Data[[#This Row],[Age]]&lt;25,"18-24",HR_Data[[#This Row],[Age]]&lt;35,"25-34",HR_Data[[#This Row],[Age]]&lt;45,"35-44",TRUE(),"45+")</f>
        <v>25-34</v>
      </c>
      <c r="O229">
        <f>YEAR(HR_Data[[#This Row],[Joining Date]])</f>
        <v>2020</v>
      </c>
      <c r="P229" t="str">
        <f>TEXT(HR_Data[[#This Row],[Joining Date]],"mmmm")</f>
        <v>May</v>
      </c>
      <c r="Q229">
        <f t="array" ref="Q22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29">
        <f>HR_Data[[#This Row],[Salary]]*HR_Data[[#This Row],[Bonus %]]</f>
        <v>3512.3</v>
      </c>
      <c r="S229">
        <f>HR_Data[[#This Row],[Salary]]+HR_Data[[#This Row],[Bonus Amount]]</f>
        <v>38635.300000000003</v>
      </c>
      <c r="T229" t="str">
        <f>IF(HR_Data[[#This Row],[Attrition]]="Yes","Inactive","Active")</f>
        <v>Active</v>
      </c>
      <c r="U229" t="str">
        <f t="array" ref="U229">_xlfn.IFS(HR_Data[[#This Row],[Salary]]&gt;=100000,"A",HR_Data[[#This Row],[Salary]]&gt;=70000,"B",HR_Data[[#This Row],[Salary]]&gt;=50000,"C",TRUE(),"D")</f>
        <v>D</v>
      </c>
      <c r="V229" t="str">
        <f t="array" ref="V229">_xlfn.IFS(HR_Data[[#This Row],[Experience]]&gt;=15,"Expert",HR_Data[[#This Row],[Experience]]&gt;=8,"Senior",HR_Data[[#This Row],[Experience]]&gt;=3,"Mid-Level",TRUE(),"Junior")</f>
        <v>Mid-Level</v>
      </c>
    </row>
    <row r="230" spans="1:22" ht="14.25" customHeight="1" x14ac:dyDescent="0.3">
      <c r="A230" t="s">
        <v>630</v>
      </c>
      <c r="B230" t="s">
        <v>433</v>
      </c>
      <c r="C230" t="s">
        <v>24</v>
      </c>
      <c r="D230" t="s">
        <v>25</v>
      </c>
      <c r="E230">
        <v>60</v>
      </c>
      <c r="F230">
        <v>130733</v>
      </c>
      <c r="G230">
        <v>32</v>
      </c>
      <c r="H230" t="s">
        <v>631</v>
      </c>
      <c r="I230" t="s">
        <v>67</v>
      </c>
      <c r="J230" t="s">
        <v>63</v>
      </c>
      <c r="K230" t="s">
        <v>29</v>
      </c>
      <c r="L230" t="str">
        <f t="array" ref="L230">_xlfn.IFS(HR_Data[[#This Row],[Experience]]&lt;2,"0-2 Years",HR_Data[[#This Row],[Experience]]&lt;5,"2-5 Years",HR_Data[[#This Row],[Experience]]&lt;10,"5-10 Years",TRUE(),"10+ Years")</f>
        <v>10+ Years</v>
      </c>
      <c r="M230" t="str">
        <f t="array" ref="M230">_xlfn.IFS(HR_Data[[#This Row],[Salary]]&lt;40000,"Low",HR_Data[[#This Row],[Salary]]&lt;70000,"Medium",HR_Data[[#This Row],[Salary]]&lt;100000,"High",TRUE(),"Very High")</f>
        <v>Very High</v>
      </c>
      <c r="N230" t="str">
        <f t="array" ref="N230">_xlfn.IFS(HR_Data[[#This Row],[Age]]&lt;25,"18-24",HR_Data[[#This Row],[Age]]&lt;35,"25-34",HR_Data[[#This Row],[Age]]&lt;45,"35-44",TRUE(),"45+")</f>
        <v>45+</v>
      </c>
      <c r="O230">
        <f>YEAR(HR_Data[[#This Row],[Joining Date]])</f>
        <v>2016</v>
      </c>
      <c r="P230" t="str">
        <f>TEXT(HR_Data[[#This Row],[Joining Date]],"mmmm")</f>
        <v>March</v>
      </c>
      <c r="Q230">
        <f t="array" ref="Q230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230">
        <f>HR_Data[[#This Row],[Salary]]*HR_Data[[#This Row],[Bonus %]]</f>
        <v>26146.600000000002</v>
      </c>
      <c r="S230">
        <f>HR_Data[[#This Row],[Salary]]+HR_Data[[#This Row],[Bonus Amount]]</f>
        <v>156879.6</v>
      </c>
      <c r="T230" t="str">
        <f>IF(HR_Data[[#This Row],[Attrition]]="Yes","Inactive","Active")</f>
        <v>Active</v>
      </c>
      <c r="U230" t="str">
        <f t="array" ref="U230">_xlfn.IFS(HR_Data[[#This Row],[Salary]]&gt;=100000,"A",HR_Data[[#This Row],[Salary]]&gt;=70000,"B",HR_Data[[#This Row],[Salary]]&gt;=50000,"C",TRUE(),"D")</f>
        <v>A</v>
      </c>
      <c r="V230" t="str">
        <f t="array" ref="V230">_xlfn.IFS(HR_Data[[#This Row],[Experience]]&gt;=15,"Expert",HR_Data[[#This Row],[Experience]]&gt;=8,"Senior",HR_Data[[#This Row],[Experience]]&gt;=3,"Mid-Level",TRUE(),"Junior")</f>
        <v>Expert</v>
      </c>
    </row>
    <row r="231" spans="1:22" ht="14.25" customHeight="1" x14ac:dyDescent="0.3">
      <c r="A231" t="s">
        <v>632</v>
      </c>
      <c r="B231" t="s">
        <v>409</v>
      </c>
      <c r="C231" t="s">
        <v>70</v>
      </c>
      <c r="D231" t="s">
        <v>25</v>
      </c>
      <c r="E231">
        <v>30</v>
      </c>
      <c r="F231">
        <v>29156</v>
      </c>
      <c r="G231">
        <v>1</v>
      </c>
      <c r="H231" t="s">
        <v>633</v>
      </c>
      <c r="I231" t="s">
        <v>42</v>
      </c>
      <c r="J231" t="s">
        <v>36</v>
      </c>
      <c r="K231" t="s">
        <v>29</v>
      </c>
      <c r="L231" t="str">
        <f t="array" ref="L231">_xlfn.IFS(HR_Data[[#This Row],[Experience]]&lt;2,"0-2 Years",HR_Data[[#This Row],[Experience]]&lt;5,"2-5 Years",HR_Data[[#This Row],[Experience]]&lt;10,"5-10 Years",TRUE(),"10+ Years")</f>
        <v>0-2 Years</v>
      </c>
      <c r="M231" t="str">
        <f t="array" ref="M231">_xlfn.IFS(HR_Data[[#This Row],[Salary]]&lt;40000,"Low",HR_Data[[#This Row],[Salary]]&lt;70000,"Medium",HR_Data[[#This Row],[Salary]]&lt;100000,"High",TRUE(),"Very High")</f>
        <v>Low</v>
      </c>
      <c r="N231" t="str">
        <f t="array" ref="N231">_xlfn.IFS(HR_Data[[#This Row],[Age]]&lt;25,"18-24",HR_Data[[#This Row],[Age]]&lt;35,"25-34",HR_Data[[#This Row],[Age]]&lt;45,"35-44",TRUE(),"45+")</f>
        <v>25-34</v>
      </c>
      <c r="O231">
        <f>YEAR(HR_Data[[#This Row],[Joining Date]])</f>
        <v>2025</v>
      </c>
      <c r="P231" t="str">
        <f>TEXT(HR_Data[[#This Row],[Joining Date]],"mmmm")</f>
        <v>February</v>
      </c>
      <c r="Q231">
        <f t="array" ref="Q23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31">
        <f>HR_Data[[#This Row],[Salary]]*HR_Data[[#This Row],[Bonus %]]</f>
        <v>2915.6000000000004</v>
      </c>
      <c r="S231">
        <f>HR_Data[[#This Row],[Salary]]+HR_Data[[#This Row],[Bonus Amount]]</f>
        <v>32071.599999999999</v>
      </c>
      <c r="T231" t="str">
        <f>IF(HR_Data[[#This Row],[Attrition]]="Yes","Inactive","Active")</f>
        <v>Active</v>
      </c>
      <c r="U231" t="str">
        <f t="array" ref="U231">_xlfn.IFS(HR_Data[[#This Row],[Salary]]&gt;=100000,"A",HR_Data[[#This Row],[Salary]]&gt;=70000,"B",HR_Data[[#This Row],[Salary]]&gt;=50000,"C",TRUE(),"D")</f>
        <v>D</v>
      </c>
      <c r="V231" t="str">
        <f t="array" ref="V231">_xlfn.IFS(HR_Data[[#This Row],[Experience]]&gt;=15,"Expert",HR_Data[[#This Row],[Experience]]&gt;=8,"Senior",HR_Data[[#This Row],[Experience]]&gt;=3,"Mid-Level",TRUE(),"Junior")</f>
        <v>Junior</v>
      </c>
    </row>
    <row r="232" spans="1:22" ht="14.25" customHeight="1" x14ac:dyDescent="0.3">
      <c r="A232" t="s">
        <v>634</v>
      </c>
      <c r="B232" t="s">
        <v>594</v>
      </c>
      <c r="C232" t="s">
        <v>55</v>
      </c>
      <c r="D232" t="s">
        <v>25</v>
      </c>
      <c r="E232">
        <v>40</v>
      </c>
      <c r="F232">
        <v>77008</v>
      </c>
      <c r="G232">
        <v>18</v>
      </c>
      <c r="H232" t="s">
        <v>635</v>
      </c>
      <c r="I232" t="s">
        <v>42</v>
      </c>
      <c r="J232" t="s">
        <v>28</v>
      </c>
      <c r="K232" t="s">
        <v>29</v>
      </c>
      <c r="L232" t="str">
        <f t="array" ref="L232">_xlfn.IFS(HR_Data[[#This Row],[Experience]]&lt;2,"0-2 Years",HR_Data[[#This Row],[Experience]]&lt;5,"2-5 Years",HR_Data[[#This Row],[Experience]]&lt;10,"5-10 Years",TRUE(),"10+ Years")</f>
        <v>10+ Years</v>
      </c>
      <c r="M232" t="str">
        <f t="array" ref="M232">_xlfn.IFS(HR_Data[[#This Row],[Salary]]&lt;40000,"Low",HR_Data[[#This Row],[Salary]]&lt;70000,"Medium",HR_Data[[#This Row],[Salary]]&lt;100000,"High",TRUE(),"Very High")</f>
        <v>High</v>
      </c>
      <c r="N232" t="str">
        <f t="array" ref="N232">_xlfn.IFS(HR_Data[[#This Row],[Age]]&lt;25,"18-24",HR_Data[[#This Row],[Age]]&lt;35,"25-34",HR_Data[[#This Row],[Age]]&lt;45,"35-44",TRUE(),"45+")</f>
        <v>35-44</v>
      </c>
      <c r="O232">
        <f>YEAR(HR_Data[[#This Row],[Joining Date]])</f>
        <v>2016</v>
      </c>
      <c r="P232" t="str">
        <f>TEXT(HR_Data[[#This Row],[Joining Date]],"mmmm")</f>
        <v>November</v>
      </c>
      <c r="Q232">
        <f t="array" ref="Q232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32">
        <f>HR_Data[[#This Row],[Salary]]*HR_Data[[#This Row],[Bonus %]]</f>
        <v>11551.199999999999</v>
      </c>
      <c r="S232">
        <f>HR_Data[[#This Row],[Salary]]+HR_Data[[#This Row],[Bonus Amount]]</f>
        <v>88559.2</v>
      </c>
      <c r="T232" t="str">
        <f>IF(HR_Data[[#This Row],[Attrition]]="Yes","Inactive","Active")</f>
        <v>Active</v>
      </c>
      <c r="U232" t="str">
        <f t="array" ref="U232">_xlfn.IFS(HR_Data[[#This Row],[Salary]]&gt;=100000,"A",HR_Data[[#This Row],[Salary]]&gt;=70000,"B",HR_Data[[#This Row],[Salary]]&gt;=50000,"C",TRUE(),"D")</f>
        <v>B</v>
      </c>
      <c r="V232" t="str">
        <f t="array" ref="V232">_xlfn.IFS(HR_Data[[#This Row],[Experience]]&gt;=15,"Expert",HR_Data[[#This Row],[Experience]]&gt;=8,"Senior",HR_Data[[#This Row],[Experience]]&gt;=3,"Mid-Level",TRUE(),"Junior")</f>
        <v>Expert</v>
      </c>
    </row>
    <row r="233" spans="1:22" ht="14.25" customHeight="1" x14ac:dyDescent="0.3">
      <c r="A233" t="s">
        <v>636</v>
      </c>
      <c r="B233" t="s">
        <v>257</v>
      </c>
      <c r="C233" t="s">
        <v>70</v>
      </c>
      <c r="D233" t="s">
        <v>25</v>
      </c>
      <c r="E233">
        <v>24</v>
      </c>
      <c r="F233">
        <v>43101</v>
      </c>
      <c r="G233">
        <v>5</v>
      </c>
      <c r="H233" t="s">
        <v>637</v>
      </c>
      <c r="I233" t="s">
        <v>35</v>
      </c>
      <c r="J233" t="s">
        <v>28</v>
      </c>
      <c r="K233" t="s">
        <v>29</v>
      </c>
      <c r="L233" t="str">
        <f t="array" ref="L233">_xlfn.IFS(HR_Data[[#This Row],[Experience]]&lt;2,"0-2 Years",HR_Data[[#This Row],[Experience]]&lt;5,"2-5 Years",HR_Data[[#This Row],[Experience]]&lt;10,"5-10 Years",TRUE(),"10+ Years")</f>
        <v>5-10 Years</v>
      </c>
      <c r="M233" t="str">
        <f t="array" ref="M233">_xlfn.IFS(HR_Data[[#This Row],[Salary]]&lt;40000,"Low",HR_Data[[#This Row],[Salary]]&lt;70000,"Medium",HR_Data[[#This Row],[Salary]]&lt;100000,"High",TRUE(),"Very High")</f>
        <v>Medium</v>
      </c>
      <c r="N233" t="str">
        <f t="array" ref="N233">_xlfn.IFS(HR_Data[[#This Row],[Age]]&lt;25,"18-24",HR_Data[[#This Row],[Age]]&lt;35,"25-34",HR_Data[[#This Row],[Age]]&lt;45,"35-44",TRUE(),"45+")</f>
        <v>18-24</v>
      </c>
      <c r="O233">
        <f>YEAR(HR_Data[[#This Row],[Joining Date]])</f>
        <v>2024</v>
      </c>
      <c r="P233" t="str">
        <f>TEXT(HR_Data[[#This Row],[Joining Date]],"mmmm")</f>
        <v>December</v>
      </c>
      <c r="Q233">
        <f t="array" ref="Q23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33">
        <f>HR_Data[[#This Row],[Salary]]*HR_Data[[#This Row],[Bonus %]]</f>
        <v>6465.15</v>
      </c>
      <c r="S233">
        <f>HR_Data[[#This Row],[Salary]]+HR_Data[[#This Row],[Bonus Amount]]</f>
        <v>49566.15</v>
      </c>
      <c r="T233" t="str">
        <f>IF(HR_Data[[#This Row],[Attrition]]="Yes","Inactive","Active")</f>
        <v>Active</v>
      </c>
      <c r="U233" t="str">
        <f t="array" ref="U233">_xlfn.IFS(HR_Data[[#This Row],[Salary]]&gt;=100000,"A",HR_Data[[#This Row],[Salary]]&gt;=70000,"B",HR_Data[[#This Row],[Salary]]&gt;=50000,"C",TRUE(),"D")</f>
        <v>D</v>
      </c>
      <c r="V233" t="str">
        <f t="array" ref="V233">_xlfn.IFS(HR_Data[[#This Row],[Experience]]&gt;=15,"Expert",HR_Data[[#This Row],[Experience]]&gt;=8,"Senior",HR_Data[[#This Row],[Experience]]&gt;=3,"Mid-Level",TRUE(),"Junior")</f>
        <v>Mid-Level</v>
      </c>
    </row>
    <row r="234" spans="1:22" ht="14.25" customHeight="1" x14ac:dyDescent="0.3">
      <c r="A234" t="s">
        <v>638</v>
      </c>
      <c r="B234" t="s">
        <v>23</v>
      </c>
      <c r="C234" t="s">
        <v>24</v>
      </c>
      <c r="D234" t="s">
        <v>25</v>
      </c>
      <c r="E234">
        <v>60</v>
      </c>
      <c r="F234">
        <v>145791</v>
      </c>
      <c r="G234">
        <v>35</v>
      </c>
      <c r="H234" t="s">
        <v>639</v>
      </c>
      <c r="I234" t="s">
        <v>62</v>
      </c>
      <c r="J234" t="s">
        <v>63</v>
      </c>
      <c r="K234" t="s">
        <v>37</v>
      </c>
      <c r="L234" t="str">
        <f t="array" ref="L234">_xlfn.IFS(HR_Data[[#This Row],[Experience]]&lt;2,"0-2 Years",HR_Data[[#This Row],[Experience]]&lt;5,"2-5 Years",HR_Data[[#This Row],[Experience]]&lt;10,"5-10 Years",TRUE(),"10+ Years")</f>
        <v>10+ Years</v>
      </c>
      <c r="M234" t="str">
        <f t="array" ref="M234">_xlfn.IFS(HR_Data[[#This Row],[Salary]]&lt;40000,"Low",HR_Data[[#This Row],[Salary]]&lt;70000,"Medium",HR_Data[[#This Row],[Salary]]&lt;100000,"High",TRUE(),"Very High")</f>
        <v>Very High</v>
      </c>
      <c r="N234" t="str">
        <f t="array" ref="N234">_xlfn.IFS(HR_Data[[#This Row],[Age]]&lt;25,"18-24",HR_Data[[#This Row],[Age]]&lt;35,"25-34",HR_Data[[#This Row],[Age]]&lt;45,"35-44",TRUE(),"45+")</f>
        <v>45+</v>
      </c>
      <c r="O234">
        <f>YEAR(HR_Data[[#This Row],[Joining Date]])</f>
        <v>2024</v>
      </c>
      <c r="P234" t="str">
        <f>TEXT(HR_Data[[#This Row],[Joining Date]],"mmmm")</f>
        <v>February</v>
      </c>
      <c r="Q234">
        <f t="array" ref="Q234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234">
        <f>HR_Data[[#This Row],[Salary]]*HR_Data[[#This Row],[Bonus %]]</f>
        <v>29158.2</v>
      </c>
      <c r="S234">
        <f>HR_Data[[#This Row],[Salary]]+HR_Data[[#This Row],[Bonus Amount]]</f>
        <v>174949.2</v>
      </c>
      <c r="T234" t="str">
        <f>IF(HR_Data[[#This Row],[Attrition]]="Yes","Inactive","Active")</f>
        <v>Inactive</v>
      </c>
      <c r="U234" t="str">
        <f t="array" ref="U234">_xlfn.IFS(HR_Data[[#This Row],[Salary]]&gt;=100000,"A",HR_Data[[#This Row],[Salary]]&gt;=70000,"B",HR_Data[[#This Row],[Salary]]&gt;=50000,"C",TRUE(),"D")</f>
        <v>A</v>
      </c>
      <c r="V234" t="str">
        <f t="array" ref="V234">_xlfn.IFS(HR_Data[[#This Row],[Experience]]&gt;=15,"Expert",HR_Data[[#This Row],[Experience]]&gt;=8,"Senior",HR_Data[[#This Row],[Experience]]&gt;=3,"Mid-Level",TRUE(),"Junior")</f>
        <v>Expert</v>
      </c>
    </row>
    <row r="235" spans="1:22" ht="14.25" customHeight="1" x14ac:dyDescent="0.3">
      <c r="A235" t="s">
        <v>640</v>
      </c>
      <c r="B235" t="s">
        <v>54</v>
      </c>
      <c r="C235" t="s">
        <v>24</v>
      </c>
      <c r="D235" t="s">
        <v>33</v>
      </c>
      <c r="E235">
        <v>23</v>
      </c>
      <c r="F235">
        <v>30559</v>
      </c>
      <c r="G235">
        <v>0</v>
      </c>
      <c r="H235" t="s">
        <v>641</v>
      </c>
      <c r="I235" t="s">
        <v>62</v>
      </c>
      <c r="J235" t="s">
        <v>46</v>
      </c>
      <c r="K235" t="s">
        <v>29</v>
      </c>
      <c r="L235" t="str">
        <f t="array" ref="L235">_xlfn.IFS(HR_Data[[#This Row],[Experience]]&lt;2,"0-2 Years",HR_Data[[#This Row],[Experience]]&lt;5,"2-5 Years",HR_Data[[#This Row],[Experience]]&lt;10,"5-10 Years",TRUE(),"10+ Years")</f>
        <v>0-2 Years</v>
      </c>
      <c r="M235" t="str">
        <f t="array" ref="M235">_xlfn.IFS(HR_Data[[#This Row],[Salary]]&lt;40000,"Low",HR_Data[[#This Row],[Salary]]&lt;70000,"Medium",HR_Data[[#This Row],[Salary]]&lt;100000,"High",TRUE(),"Very High")</f>
        <v>Low</v>
      </c>
      <c r="N235" t="str">
        <f t="array" ref="N235">_xlfn.IFS(HR_Data[[#This Row],[Age]]&lt;25,"18-24",HR_Data[[#This Row],[Age]]&lt;35,"25-34",HR_Data[[#This Row],[Age]]&lt;45,"35-44",TRUE(),"45+")</f>
        <v>18-24</v>
      </c>
      <c r="O235">
        <f>YEAR(HR_Data[[#This Row],[Joining Date]])</f>
        <v>2023</v>
      </c>
      <c r="P235" t="str">
        <f>TEXT(HR_Data[[#This Row],[Joining Date]],"mmmm")</f>
        <v>September</v>
      </c>
      <c r="Q235">
        <f t="array" ref="Q235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235">
        <f>HR_Data[[#This Row],[Salary]]*HR_Data[[#This Row],[Bonus %]]</f>
        <v>1527.95</v>
      </c>
      <c r="S235">
        <f>HR_Data[[#This Row],[Salary]]+HR_Data[[#This Row],[Bonus Amount]]</f>
        <v>32086.95</v>
      </c>
      <c r="T235" t="str">
        <f>IF(HR_Data[[#This Row],[Attrition]]="Yes","Inactive","Active")</f>
        <v>Active</v>
      </c>
      <c r="U235" t="str">
        <f t="array" ref="U235">_xlfn.IFS(HR_Data[[#This Row],[Salary]]&gt;=100000,"A",HR_Data[[#This Row],[Salary]]&gt;=70000,"B",HR_Data[[#This Row],[Salary]]&gt;=50000,"C",TRUE(),"D")</f>
        <v>D</v>
      </c>
      <c r="V235" t="str">
        <f t="array" ref="V235">_xlfn.IFS(HR_Data[[#This Row],[Experience]]&gt;=15,"Expert",HR_Data[[#This Row],[Experience]]&gt;=8,"Senior",HR_Data[[#This Row],[Experience]]&gt;=3,"Mid-Level",TRUE(),"Junior")</f>
        <v>Junior</v>
      </c>
    </row>
    <row r="236" spans="1:22" ht="14.25" customHeight="1" x14ac:dyDescent="0.3">
      <c r="A236" t="s">
        <v>642</v>
      </c>
      <c r="B236" t="s">
        <v>558</v>
      </c>
      <c r="C236" t="s">
        <v>134</v>
      </c>
      <c r="D236" t="s">
        <v>25</v>
      </c>
      <c r="E236">
        <v>31</v>
      </c>
      <c r="F236">
        <v>57811</v>
      </c>
      <c r="G236">
        <v>10</v>
      </c>
      <c r="H236" t="s">
        <v>643</v>
      </c>
      <c r="I236" t="s">
        <v>80</v>
      </c>
      <c r="J236" t="s">
        <v>28</v>
      </c>
      <c r="K236" t="s">
        <v>29</v>
      </c>
      <c r="L236" t="str">
        <f t="array" ref="L236">_xlfn.IFS(HR_Data[[#This Row],[Experience]]&lt;2,"0-2 Years",HR_Data[[#This Row],[Experience]]&lt;5,"2-5 Years",HR_Data[[#This Row],[Experience]]&lt;10,"5-10 Years",TRUE(),"10+ Years")</f>
        <v>10+ Years</v>
      </c>
      <c r="M236" t="str">
        <f t="array" ref="M236">_xlfn.IFS(HR_Data[[#This Row],[Salary]]&lt;40000,"Low",HR_Data[[#This Row],[Salary]]&lt;70000,"Medium",HR_Data[[#This Row],[Salary]]&lt;100000,"High",TRUE(),"Very High")</f>
        <v>Medium</v>
      </c>
      <c r="N236" t="str">
        <f t="array" ref="N236">_xlfn.IFS(HR_Data[[#This Row],[Age]]&lt;25,"18-24",HR_Data[[#This Row],[Age]]&lt;35,"25-34",HR_Data[[#This Row],[Age]]&lt;45,"35-44",TRUE(),"45+")</f>
        <v>25-34</v>
      </c>
      <c r="O236">
        <f>YEAR(HR_Data[[#This Row],[Joining Date]])</f>
        <v>2021</v>
      </c>
      <c r="P236" t="str">
        <f>TEXT(HR_Data[[#This Row],[Joining Date]],"mmmm")</f>
        <v>October</v>
      </c>
      <c r="Q236">
        <f t="array" ref="Q236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36">
        <f>HR_Data[[#This Row],[Salary]]*HR_Data[[#This Row],[Bonus %]]</f>
        <v>8671.65</v>
      </c>
      <c r="S236">
        <f>HR_Data[[#This Row],[Salary]]+HR_Data[[#This Row],[Bonus Amount]]</f>
        <v>66482.649999999994</v>
      </c>
      <c r="T236" t="str">
        <f>IF(HR_Data[[#This Row],[Attrition]]="Yes","Inactive","Active")</f>
        <v>Active</v>
      </c>
      <c r="U236" t="str">
        <f t="array" ref="U236">_xlfn.IFS(HR_Data[[#This Row],[Salary]]&gt;=100000,"A",HR_Data[[#This Row],[Salary]]&gt;=70000,"B",HR_Data[[#This Row],[Salary]]&gt;=50000,"C",TRUE(),"D")</f>
        <v>C</v>
      </c>
      <c r="V236" t="str">
        <f t="array" ref="V236">_xlfn.IFS(HR_Data[[#This Row],[Experience]]&gt;=15,"Expert",HR_Data[[#This Row],[Experience]]&gt;=8,"Senior",HR_Data[[#This Row],[Experience]]&gt;=3,"Mid-Level",TRUE(),"Junior")</f>
        <v>Senior</v>
      </c>
    </row>
    <row r="237" spans="1:22" ht="14.25" customHeight="1" x14ac:dyDescent="0.3">
      <c r="A237" t="s">
        <v>644</v>
      </c>
      <c r="B237" t="s">
        <v>378</v>
      </c>
      <c r="C237" t="s">
        <v>24</v>
      </c>
      <c r="D237" t="s">
        <v>33</v>
      </c>
      <c r="E237">
        <v>50</v>
      </c>
      <c r="F237">
        <v>124833</v>
      </c>
      <c r="G237">
        <v>30</v>
      </c>
      <c r="H237" t="s">
        <v>645</v>
      </c>
      <c r="I237" t="s">
        <v>35</v>
      </c>
      <c r="J237" t="s">
        <v>90</v>
      </c>
      <c r="K237" t="s">
        <v>29</v>
      </c>
      <c r="L237" t="str">
        <f t="array" ref="L237">_xlfn.IFS(HR_Data[[#This Row],[Experience]]&lt;2,"0-2 Years",HR_Data[[#This Row],[Experience]]&lt;5,"2-5 Years",HR_Data[[#This Row],[Experience]]&lt;10,"5-10 Years",TRUE(),"10+ Years")</f>
        <v>10+ Years</v>
      </c>
      <c r="M237" t="str">
        <f t="array" ref="M237">_xlfn.IFS(HR_Data[[#This Row],[Salary]]&lt;40000,"Low",HR_Data[[#This Row],[Salary]]&lt;70000,"Medium",HR_Data[[#This Row],[Salary]]&lt;100000,"High",TRUE(),"Very High")</f>
        <v>Very High</v>
      </c>
      <c r="N237" t="str">
        <f t="array" ref="N237">_xlfn.IFS(HR_Data[[#This Row],[Age]]&lt;25,"18-24",HR_Data[[#This Row],[Age]]&lt;35,"25-34",HR_Data[[#This Row],[Age]]&lt;45,"35-44",TRUE(),"45+")</f>
        <v>45+</v>
      </c>
      <c r="O237">
        <f>YEAR(HR_Data[[#This Row],[Joining Date]])</f>
        <v>2020</v>
      </c>
      <c r="P237" t="str">
        <f>TEXT(HR_Data[[#This Row],[Joining Date]],"mmmm")</f>
        <v>August</v>
      </c>
      <c r="Q237">
        <f t="array" ref="Q237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237">
        <f>HR_Data[[#This Row],[Salary]]*HR_Data[[#This Row],[Bonus %]]</f>
        <v>0</v>
      </c>
      <c r="S237">
        <f>HR_Data[[#This Row],[Salary]]+HR_Data[[#This Row],[Bonus Amount]]</f>
        <v>124833</v>
      </c>
      <c r="T237" t="str">
        <f>IF(HR_Data[[#This Row],[Attrition]]="Yes","Inactive","Active")</f>
        <v>Active</v>
      </c>
      <c r="U237" t="str">
        <f t="array" ref="U237">_xlfn.IFS(HR_Data[[#This Row],[Salary]]&gt;=100000,"A",HR_Data[[#This Row],[Salary]]&gt;=70000,"B",HR_Data[[#This Row],[Salary]]&gt;=50000,"C",TRUE(),"D")</f>
        <v>A</v>
      </c>
      <c r="V237" t="str">
        <f t="array" ref="V237">_xlfn.IFS(HR_Data[[#This Row],[Experience]]&gt;=15,"Expert",HR_Data[[#This Row],[Experience]]&gt;=8,"Senior",HR_Data[[#This Row],[Experience]]&gt;=3,"Mid-Level",TRUE(),"Junior")</f>
        <v>Expert</v>
      </c>
    </row>
    <row r="238" spans="1:22" ht="14.25" customHeight="1" x14ac:dyDescent="0.3">
      <c r="A238" t="s">
        <v>646</v>
      </c>
      <c r="B238" t="s">
        <v>647</v>
      </c>
      <c r="C238" t="s">
        <v>55</v>
      </c>
      <c r="D238" t="s">
        <v>25</v>
      </c>
      <c r="E238">
        <v>27</v>
      </c>
      <c r="F238">
        <v>46183</v>
      </c>
      <c r="G238">
        <v>6</v>
      </c>
      <c r="H238" t="s">
        <v>648</v>
      </c>
      <c r="I238" t="s">
        <v>67</v>
      </c>
      <c r="J238" t="s">
        <v>90</v>
      </c>
      <c r="K238" t="s">
        <v>29</v>
      </c>
      <c r="L238" t="str">
        <f t="array" ref="L238">_xlfn.IFS(HR_Data[[#This Row],[Experience]]&lt;2,"0-2 Years",HR_Data[[#This Row],[Experience]]&lt;5,"2-5 Years",HR_Data[[#This Row],[Experience]]&lt;10,"5-10 Years",TRUE(),"10+ Years")</f>
        <v>5-10 Years</v>
      </c>
      <c r="M238" t="str">
        <f t="array" ref="M238">_xlfn.IFS(HR_Data[[#This Row],[Salary]]&lt;40000,"Low",HR_Data[[#This Row],[Salary]]&lt;70000,"Medium",HR_Data[[#This Row],[Salary]]&lt;100000,"High",TRUE(),"Very High")</f>
        <v>Medium</v>
      </c>
      <c r="N238" t="str">
        <f t="array" ref="N238">_xlfn.IFS(HR_Data[[#This Row],[Age]]&lt;25,"18-24",HR_Data[[#This Row],[Age]]&lt;35,"25-34",HR_Data[[#This Row],[Age]]&lt;45,"35-44",TRUE(),"45+")</f>
        <v>25-34</v>
      </c>
      <c r="O238">
        <f>YEAR(HR_Data[[#This Row],[Joining Date]])</f>
        <v>2015</v>
      </c>
      <c r="P238" t="str">
        <f>TEXT(HR_Data[[#This Row],[Joining Date]],"mmmm")</f>
        <v>February</v>
      </c>
      <c r="Q238">
        <f t="array" ref="Q238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238">
        <f>HR_Data[[#This Row],[Salary]]*HR_Data[[#This Row],[Bonus %]]</f>
        <v>0</v>
      </c>
      <c r="S238">
        <f>HR_Data[[#This Row],[Salary]]+HR_Data[[#This Row],[Bonus Amount]]</f>
        <v>46183</v>
      </c>
      <c r="T238" t="str">
        <f>IF(HR_Data[[#This Row],[Attrition]]="Yes","Inactive","Active")</f>
        <v>Active</v>
      </c>
      <c r="U238" t="str">
        <f t="array" ref="U238">_xlfn.IFS(HR_Data[[#This Row],[Salary]]&gt;=100000,"A",HR_Data[[#This Row],[Salary]]&gt;=70000,"B",HR_Data[[#This Row],[Salary]]&gt;=50000,"C",TRUE(),"D")</f>
        <v>D</v>
      </c>
      <c r="V238" t="str">
        <f t="array" ref="V238">_xlfn.IFS(HR_Data[[#This Row],[Experience]]&gt;=15,"Expert",HR_Data[[#This Row],[Experience]]&gt;=8,"Senior",HR_Data[[#This Row],[Experience]]&gt;=3,"Mid-Level",TRUE(),"Junior")</f>
        <v>Mid-Level</v>
      </c>
    </row>
    <row r="239" spans="1:22" ht="14.25" customHeight="1" x14ac:dyDescent="0.3">
      <c r="A239" t="s">
        <v>649</v>
      </c>
      <c r="B239" t="s">
        <v>650</v>
      </c>
      <c r="C239" t="s">
        <v>55</v>
      </c>
      <c r="D239" t="s">
        <v>33</v>
      </c>
      <c r="E239">
        <v>56</v>
      </c>
      <c r="F239">
        <v>122877</v>
      </c>
      <c r="G239">
        <v>27</v>
      </c>
      <c r="H239" t="s">
        <v>651</v>
      </c>
      <c r="I239" t="s">
        <v>62</v>
      </c>
      <c r="J239" t="s">
        <v>28</v>
      </c>
      <c r="K239" t="s">
        <v>29</v>
      </c>
      <c r="L239" t="str">
        <f t="array" ref="L239">_xlfn.IFS(HR_Data[[#This Row],[Experience]]&lt;2,"0-2 Years",HR_Data[[#This Row],[Experience]]&lt;5,"2-5 Years",HR_Data[[#This Row],[Experience]]&lt;10,"5-10 Years",TRUE(),"10+ Years")</f>
        <v>10+ Years</v>
      </c>
      <c r="M239" t="str">
        <f t="array" ref="M239">_xlfn.IFS(HR_Data[[#This Row],[Salary]]&lt;40000,"Low",HR_Data[[#This Row],[Salary]]&lt;70000,"Medium",HR_Data[[#This Row],[Salary]]&lt;100000,"High",TRUE(),"Very High")</f>
        <v>Very High</v>
      </c>
      <c r="N239" t="str">
        <f t="array" ref="N239">_xlfn.IFS(HR_Data[[#This Row],[Age]]&lt;25,"18-24",HR_Data[[#This Row],[Age]]&lt;35,"25-34",HR_Data[[#This Row],[Age]]&lt;45,"35-44",TRUE(),"45+")</f>
        <v>45+</v>
      </c>
      <c r="O239">
        <f>YEAR(HR_Data[[#This Row],[Joining Date]])</f>
        <v>2018</v>
      </c>
      <c r="P239" t="str">
        <f>TEXT(HR_Data[[#This Row],[Joining Date]],"mmmm")</f>
        <v>January</v>
      </c>
      <c r="Q239">
        <f t="array" ref="Q23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39">
        <f>HR_Data[[#This Row],[Salary]]*HR_Data[[#This Row],[Bonus %]]</f>
        <v>18431.55</v>
      </c>
      <c r="S239">
        <f>HR_Data[[#This Row],[Salary]]+HR_Data[[#This Row],[Bonus Amount]]</f>
        <v>141308.54999999999</v>
      </c>
      <c r="T239" t="str">
        <f>IF(HR_Data[[#This Row],[Attrition]]="Yes","Inactive","Active")</f>
        <v>Active</v>
      </c>
      <c r="U239" t="str">
        <f t="array" ref="U239">_xlfn.IFS(HR_Data[[#This Row],[Salary]]&gt;=100000,"A",HR_Data[[#This Row],[Salary]]&gt;=70000,"B",HR_Data[[#This Row],[Salary]]&gt;=50000,"C",TRUE(),"D")</f>
        <v>A</v>
      </c>
      <c r="V239" t="str">
        <f t="array" ref="V239">_xlfn.IFS(HR_Data[[#This Row],[Experience]]&gt;=15,"Expert",HR_Data[[#This Row],[Experience]]&gt;=8,"Senior",HR_Data[[#This Row],[Experience]]&gt;=3,"Mid-Level",TRUE(),"Junior")</f>
        <v>Expert</v>
      </c>
    </row>
    <row r="240" spans="1:22" ht="14.25" customHeight="1" x14ac:dyDescent="0.3">
      <c r="A240" t="s">
        <v>652</v>
      </c>
      <c r="B240" t="s">
        <v>155</v>
      </c>
      <c r="C240" t="s">
        <v>40</v>
      </c>
      <c r="D240" t="s">
        <v>33</v>
      </c>
      <c r="E240">
        <v>43</v>
      </c>
      <c r="F240">
        <v>97089</v>
      </c>
      <c r="G240">
        <v>20</v>
      </c>
      <c r="H240" t="s">
        <v>653</v>
      </c>
      <c r="I240" t="s">
        <v>72</v>
      </c>
      <c r="J240" t="s">
        <v>28</v>
      </c>
      <c r="K240" t="s">
        <v>29</v>
      </c>
      <c r="L240" t="str">
        <f t="array" ref="L240">_xlfn.IFS(HR_Data[[#This Row],[Experience]]&lt;2,"0-2 Years",HR_Data[[#This Row],[Experience]]&lt;5,"2-5 Years",HR_Data[[#This Row],[Experience]]&lt;10,"5-10 Years",TRUE(),"10+ Years")</f>
        <v>10+ Years</v>
      </c>
      <c r="M240" t="str">
        <f t="array" ref="M240">_xlfn.IFS(HR_Data[[#This Row],[Salary]]&lt;40000,"Low",HR_Data[[#This Row],[Salary]]&lt;70000,"Medium",HR_Data[[#This Row],[Salary]]&lt;100000,"High",TRUE(),"Very High")</f>
        <v>High</v>
      </c>
      <c r="N240" t="str">
        <f t="array" ref="N240">_xlfn.IFS(HR_Data[[#This Row],[Age]]&lt;25,"18-24",HR_Data[[#This Row],[Age]]&lt;35,"25-34",HR_Data[[#This Row],[Age]]&lt;45,"35-44",TRUE(),"45+")</f>
        <v>35-44</v>
      </c>
      <c r="O240">
        <f>YEAR(HR_Data[[#This Row],[Joining Date]])</f>
        <v>2020</v>
      </c>
      <c r="P240" t="str">
        <f>TEXT(HR_Data[[#This Row],[Joining Date]],"mmmm")</f>
        <v>June</v>
      </c>
      <c r="Q240">
        <f t="array" ref="Q240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40">
        <f>HR_Data[[#This Row],[Salary]]*HR_Data[[#This Row],[Bonus %]]</f>
        <v>14563.35</v>
      </c>
      <c r="S240">
        <f>HR_Data[[#This Row],[Salary]]+HR_Data[[#This Row],[Bonus Amount]]</f>
        <v>111652.35</v>
      </c>
      <c r="T240" t="str">
        <f>IF(HR_Data[[#This Row],[Attrition]]="Yes","Inactive","Active")</f>
        <v>Active</v>
      </c>
      <c r="U240" t="str">
        <f t="array" ref="U240">_xlfn.IFS(HR_Data[[#This Row],[Salary]]&gt;=100000,"A",HR_Data[[#This Row],[Salary]]&gt;=70000,"B",HR_Data[[#This Row],[Salary]]&gt;=50000,"C",TRUE(),"D")</f>
        <v>B</v>
      </c>
      <c r="V240" t="str">
        <f t="array" ref="V240">_xlfn.IFS(HR_Data[[#This Row],[Experience]]&gt;=15,"Expert",HR_Data[[#This Row],[Experience]]&gt;=8,"Senior",HR_Data[[#This Row],[Experience]]&gt;=3,"Mid-Level",TRUE(),"Junior")</f>
        <v>Expert</v>
      </c>
    </row>
    <row r="241" spans="1:22" ht="14.25" customHeight="1" x14ac:dyDescent="0.3">
      <c r="A241" t="s">
        <v>654</v>
      </c>
      <c r="B241" t="s">
        <v>650</v>
      </c>
      <c r="C241" t="s">
        <v>134</v>
      </c>
      <c r="D241" t="s">
        <v>33</v>
      </c>
      <c r="E241">
        <v>55</v>
      </c>
      <c r="F241">
        <v>143825</v>
      </c>
      <c r="G241">
        <v>34</v>
      </c>
      <c r="H241" t="s">
        <v>655</v>
      </c>
      <c r="I241" t="s">
        <v>62</v>
      </c>
      <c r="J241" t="s">
        <v>90</v>
      </c>
      <c r="K241" t="s">
        <v>29</v>
      </c>
      <c r="L241" t="str">
        <f t="array" ref="L241">_xlfn.IFS(HR_Data[[#This Row],[Experience]]&lt;2,"0-2 Years",HR_Data[[#This Row],[Experience]]&lt;5,"2-5 Years",HR_Data[[#This Row],[Experience]]&lt;10,"5-10 Years",TRUE(),"10+ Years")</f>
        <v>10+ Years</v>
      </c>
      <c r="M241" t="str">
        <f t="array" ref="M241">_xlfn.IFS(HR_Data[[#This Row],[Salary]]&lt;40000,"Low",HR_Data[[#This Row],[Salary]]&lt;70000,"Medium",HR_Data[[#This Row],[Salary]]&lt;100000,"High",TRUE(),"Very High")</f>
        <v>Very High</v>
      </c>
      <c r="N241" t="str">
        <f t="array" ref="N241">_xlfn.IFS(HR_Data[[#This Row],[Age]]&lt;25,"18-24",HR_Data[[#This Row],[Age]]&lt;35,"25-34",HR_Data[[#This Row],[Age]]&lt;45,"35-44",TRUE(),"45+")</f>
        <v>45+</v>
      </c>
      <c r="O241">
        <f>YEAR(HR_Data[[#This Row],[Joining Date]])</f>
        <v>2015</v>
      </c>
      <c r="P241" t="str">
        <f>TEXT(HR_Data[[#This Row],[Joining Date]],"mmmm")</f>
        <v>August</v>
      </c>
      <c r="Q241">
        <f t="array" ref="Q241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241">
        <f>HR_Data[[#This Row],[Salary]]*HR_Data[[#This Row],[Bonus %]]</f>
        <v>0</v>
      </c>
      <c r="S241">
        <f>HR_Data[[#This Row],[Salary]]+HR_Data[[#This Row],[Bonus Amount]]</f>
        <v>143825</v>
      </c>
      <c r="T241" t="str">
        <f>IF(HR_Data[[#This Row],[Attrition]]="Yes","Inactive","Active")</f>
        <v>Active</v>
      </c>
      <c r="U241" t="str">
        <f t="array" ref="U241">_xlfn.IFS(HR_Data[[#This Row],[Salary]]&gt;=100000,"A",HR_Data[[#This Row],[Salary]]&gt;=70000,"B",HR_Data[[#This Row],[Salary]]&gt;=50000,"C",TRUE(),"D")</f>
        <v>A</v>
      </c>
      <c r="V241" t="str">
        <f t="array" ref="V241">_xlfn.IFS(HR_Data[[#This Row],[Experience]]&gt;=15,"Expert",HR_Data[[#This Row],[Experience]]&gt;=8,"Senior",HR_Data[[#This Row],[Experience]]&gt;=3,"Mid-Level",TRUE(),"Junior")</f>
        <v>Expert</v>
      </c>
    </row>
    <row r="242" spans="1:22" ht="14.25" customHeight="1" x14ac:dyDescent="0.3">
      <c r="A242" t="s">
        <v>656</v>
      </c>
      <c r="B242" t="s">
        <v>657</v>
      </c>
      <c r="C242" t="s">
        <v>40</v>
      </c>
      <c r="D242" t="s">
        <v>25</v>
      </c>
      <c r="E242">
        <v>52</v>
      </c>
      <c r="F242">
        <v>126123</v>
      </c>
      <c r="G242">
        <v>31</v>
      </c>
      <c r="H242" t="s">
        <v>658</v>
      </c>
      <c r="I242" t="s">
        <v>72</v>
      </c>
      <c r="J242" t="s">
        <v>28</v>
      </c>
      <c r="K242" t="s">
        <v>29</v>
      </c>
      <c r="L242" t="str">
        <f t="array" ref="L242">_xlfn.IFS(HR_Data[[#This Row],[Experience]]&lt;2,"0-2 Years",HR_Data[[#This Row],[Experience]]&lt;5,"2-5 Years",HR_Data[[#This Row],[Experience]]&lt;10,"5-10 Years",TRUE(),"10+ Years")</f>
        <v>10+ Years</v>
      </c>
      <c r="M242" t="str">
        <f t="array" ref="M242">_xlfn.IFS(HR_Data[[#This Row],[Salary]]&lt;40000,"Low",HR_Data[[#This Row],[Salary]]&lt;70000,"Medium",HR_Data[[#This Row],[Salary]]&lt;100000,"High",TRUE(),"Very High")</f>
        <v>Very High</v>
      </c>
      <c r="N242" t="str">
        <f t="array" ref="N242">_xlfn.IFS(HR_Data[[#This Row],[Age]]&lt;25,"18-24",HR_Data[[#This Row],[Age]]&lt;35,"25-34",HR_Data[[#This Row],[Age]]&lt;45,"35-44",TRUE(),"45+")</f>
        <v>45+</v>
      </c>
      <c r="O242">
        <f>YEAR(HR_Data[[#This Row],[Joining Date]])</f>
        <v>2020</v>
      </c>
      <c r="P242" t="str">
        <f>TEXT(HR_Data[[#This Row],[Joining Date]],"mmmm")</f>
        <v>June</v>
      </c>
      <c r="Q242">
        <f t="array" ref="Q242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42">
        <f>HR_Data[[#This Row],[Salary]]*HR_Data[[#This Row],[Bonus %]]</f>
        <v>18918.45</v>
      </c>
      <c r="S242">
        <f>HR_Data[[#This Row],[Salary]]+HR_Data[[#This Row],[Bonus Amount]]</f>
        <v>145041.45000000001</v>
      </c>
      <c r="T242" t="str">
        <f>IF(HR_Data[[#This Row],[Attrition]]="Yes","Inactive","Active")</f>
        <v>Active</v>
      </c>
      <c r="U242" t="str">
        <f t="array" ref="U242">_xlfn.IFS(HR_Data[[#This Row],[Salary]]&gt;=100000,"A",HR_Data[[#This Row],[Salary]]&gt;=70000,"B",HR_Data[[#This Row],[Salary]]&gt;=50000,"C",TRUE(),"D")</f>
        <v>A</v>
      </c>
      <c r="V242" t="str">
        <f t="array" ref="V242">_xlfn.IFS(HR_Data[[#This Row],[Experience]]&gt;=15,"Expert",HR_Data[[#This Row],[Experience]]&gt;=8,"Senior",HR_Data[[#This Row],[Experience]]&gt;=3,"Mid-Level",TRUE(),"Junior")</f>
        <v>Expert</v>
      </c>
    </row>
    <row r="243" spans="1:22" ht="14.25" customHeight="1" x14ac:dyDescent="0.3">
      <c r="A243" t="s">
        <v>659</v>
      </c>
      <c r="B243" t="s">
        <v>196</v>
      </c>
      <c r="C243" t="s">
        <v>112</v>
      </c>
      <c r="D243" t="s">
        <v>25</v>
      </c>
      <c r="E243">
        <v>58</v>
      </c>
      <c r="F243">
        <v>126133</v>
      </c>
      <c r="G243">
        <v>30</v>
      </c>
      <c r="H243" t="s">
        <v>660</v>
      </c>
      <c r="I243" t="s">
        <v>45</v>
      </c>
      <c r="J243" t="s">
        <v>46</v>
      </c>
      <c r="K243" t="s">
        <v>29</v>
      </c>
      <c r="L243" t="str">
        <f t="array" ref="L243">_xlfn.IFS(HR_Data[[#This Row],[Experience]]&lt;2,"0-2 Years",HR_Data[[#This Row],[Experience]]&lt;5,"2-5 Years",HR_Data[[#This Row],[Experience]]&lt;10,"5-10 Years",TRUE(),"10+ Years")</f>
        <v>10+ Years</v>
      </c>
      <c r="M243" t="str">
        <f t="array" ref="M243">_xlfn.IFS(HR_Data[[#This Row],[Salary]]&lt;40000,"Low",HR_Data[[#This Row],[Salary]]&lt;70000,"Medium",HR_Data[[#This Row],[Salary]]&lt;100000,"High",TRUE(),"Very High")</f>
        <v>Very High</v>
      </c>
      <c r="N243" t="str">
        <f t="array" ref="N243">_xlfn.IFS(HR_Data[[#This Row],[Age]]&lt;25,"18-24",HR_Data[[#This Row],[Age]]&lt;35,"25-34",HR_Data[[#This Row],[Age]]&lt;45,"35-44",TRUE(),"45+")</f>
        <v>45+</v>
      </c>
      <c r="O243">
        <f>YEAR(HR_Data[[#This Row],[Joining Date]])</f>
        <v>2026</v>
      </c>
      <c r="P243" t="str">
        <f>TEXT(HR_Data[[#This Row],[Joining Date]],"mmmm")</f>
        <v>May</v>
      </c>
      <c r="Q243">
        <f t="array" ref="Q243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243">
        <f>HR_Data[[#This Row],[Salary]]*HR_Data[[#This Row],[Bonus %]]</f>
        <v>6306.6500000000005</v>
      </c>
      <c r="S243">
        <f>HR_Data[[#This Row],[Salary]]+HR_Data[[#This Row],[Bonus Amount]]</f>
        <v>132439.65</v>
      </c>
      <c r="T243" t="str">
        <f>IF(HR_Data[[#This Row],[Attrition]]="Yes","Inactive","Active")</f>
        <v>Active</v>
      </c>
      <c r="U243" t="str">
        <f t="array" ref="U243">_xlfn.IFS(HR_Data[[#This Row],[Salary]]&gt;=100000,"A",HR_Data[[#This Row],[Salary]]&gt;=70000,"B",HR_Data[[#This Row],[Salary]]&gt;=50000,"C",TRUE(),"D")</f>
        <v>A</v>
      </c>
      <c r="V243" t="str">
        <f t="array" ref="V243">_xlfn.IFS(HR_Data[[#This Row],[Experience]]&gt;=15,"Expert",HR_Data[[#This Row],[Experience]]&gt;=8,"Senior",HR_Data[[#This Row],[Experience]]&gt;=3,"Mid-Level",TRUE(),"Junior")</f>
        <v>Expert</v>
      </c>
    </row>
    <row r="244" spans="1:22" ht="14.25" customHeight="1" x14ac:dyDescent="0.3">
      <c r="A244" t="s">
        <v>661</v>
      </c>
      <c r="B244" t="s">
        <v>264</v>
      </c>
      <c r="C244" t="s">
        <v>55</v>
      </c>
      <c r="D244" t="s">
        <v>25</v>
      </c>
      <c r="E244">
        <v>25</v>
      </c>
      <c r="F244">
        <v>41134</v>
      </c>
      <c r="G244">
        <v>5</v>
      </c>
      <c r="H244" t="s">
        <v>662</v>
      </c>
      <c r="I244" t="s">
        <v>42</v>
      </c>
      <c r="J244" t="s">
        <v>28</v>
      </c>
      <c r="K244" t="s">
        <v>29</v>
      </c>
      <c r="L244" t="str">
        <f t="array" ref="L244">_xlfn.IFS(HR_Data[[#This Row],[Experience]]&lt;2,"0-2 Years",HR_Data[[#This Row],[Experience]]&lt;5,"2-5 Years",HR_Data[[#This Row],[Experience]]&lt;10,"5-10 Years",TRUE(),"10+ Years")</f>
        <v>5-10 Years</v>
      </c>
      <c r="M244" t="str">
        <f t="array" ref="M244">_xlfn.IFS(HR_Data[[#This Row],[Salary]]&lt;40000,"Low",HR_Data[[#This Row],[Salary]]&lt;70000,"Medium",HR_Data[[#This Row],[Salary]]&lt;100000,"High",TRUE(),"Very High")</f>
        <v>Medium</v>
      </c>
      <c r="N244" t="str">
        <f t="array" ref="N244">_xlfn.IFS(HR_Data[[#This Row],[Age]]&lt;25,"18-24",HR_Data[[#This Row],[Age]]&lt;35,"25-34",HR_Data[[#This Row],[Age]]&lt;45,"35-44",TRUE(),"45+")</f>
        <v>25-34</v>
      </c>
      <c r="O244">
        <f>YEAR(HR_Data[[#This Row],[Joining Date]])</f>
        <v>2022</v>
      </c>
      <c r="P244" t="str">
        <f>TEXT(HR_Data[[#This Row],[Joining Date]],"mmmm")</f>
        <v>December</v>
      </c>
      <c r="Q244">
        <f t="array" ref="Q244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44">
        <f>HR_Data[[#This Row],[Salary]]*HR_Data[[#This Row],[Bonus %]]</f>
        <v>6170.0999999999995</v>
      </c>
      <c r="S244">
        <f>HR_Data[[#This Row],[Salary]]+HR_Data[[#This Row],[Bonus Amount]]</f>
        <v>47304.1</v>
      </c>
      <c r="T244" t="str">
        <f>IF(HR_Data[[#This Row],[Attrition]]="Yes","Inactive","Active")</f>
        <v>Active</v>
      </c>
      <c r="U244" t="str">
        <f t="array" ref="U244">_xlfn.IFS(HR_Data[[#This Row],[Salary]]&gt;=100000,"A",HR_Data[[#This Row],[Salary]]&gt;=70000,"B",HR_Data[[#This Row],[Salary]]&gt;=50000,"C",TRUE(),"D")</f>
        <v>D</v>
      </c>
      <c r="V244" t="str">
        <f t="array" ref="V244">_xlfn.IFS(HR_Data[[#This Row],[Experience]]&gt;=15,"Expert",HR_Data[[#This Row],[Experience]]&gt;=8,"Senior",HR_Data[[#This Row],[Experience]]&gt;=3,"Mid-Level",TRUE(),"Junior")</f>
        <v>Mid-Level</v>
      </c>
    </row>
    <row r="245" spans="1:22" ht="14.25" customHeight="1" x14ac:dyDescent="0.3">
      <c r="A245" t="s">
        <v>663</v>
      </c>
      <c r="B245" t="s">
        <v>375</v>
      </c>
      <c r="C245" t="s">
        <v>60</v>
      </c>
      <c r="D245" t="s">
        <v>25</v>
      </c>
      <c r="E245">
        <v>21</v>
      </c>
      <c r="F245">
        <v>25478</v>
      </c>
      <c r="G245">
        <v>0</v>
      </c>
      <c r="H245" t="s">
        <v>664</v>
      </c>
      <c r="I245" t="s">
        <v>67</v>
      </c>
      <c r="J245" t="s">
        <v>36</v>
      </c>
      <c r="K245" t="s">
        <v>29</v>
      </c>
      <c r="L245" t="str">
        <f t="array" ref="L245">_xlfn.IFS(HR_Data[[#This Row],[Experience]]&lt;2,"0-2 Years",HR_Data[[#This Row],[Experience]]&lt;5,"2-5 Years",HR_Data[[#This Row],[Experience]]&lt;10,"5-10 Years",TRUE(),"10+ Years")</f>
        <v>0-2 Years</v>
      </c>
      <c r="M245" t="str">
        <f t="array" ref="M245">_xlfn.IFS(HR_Data[[#This Row],[Salary]]&lt;40000,"Low",HR_Data[[#This Row],[Salary]]&lt;70000,"Medium",HR_Data[[#This Row],[Salary]]&lt;100000,"High",TRUE(),"Very High")</f>
        <v>Low</v>
      </c>
      <c r="N245" t="str">
        <f t="array" ref="N245">_xlfn.IFS(HR_Data[[#This Row],[Age]]&lt;25,"18-24",HR_Data[[#This Row],[Age]]&lt;35,"25-34",HR_Data[[#This Row],[Age]]&lt;45,"35-44",TRUE(),"45+")</f>
        <v>18-24</v>
      </c>
      <c r="O245">
        <f>YEAR(HR_Data[[#This Row],[Joining Date]])</f>
        <v>2019</v>
      </c>
      <c r="P245" t="str">
        <f>TEXT(HR_Data[[#This Row],[Joining Date]],"mmmm")</f>
        <v>December</v>
      </c>
      <c r="Q245">
        <f t="array" ref="Q24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45">
        <f>HR_Data[[#This Row],[Salary]]*HR_Data[[#This Row],[Bonus %]]</f>
        <v>2547.8000000000002</v>
      </c>
      <c r="S245">
        <f>HR_Data[[#This Row],[Salary]]+HR_Data[[#This Row],[Bonus Amount]]</f>
        <v>28025.8</v>
      </c>
      <c r="T245" t="str">
        <f>IF(HR_Data[[#This Row],[Attrition]]="Yes","Inactive","Active")</f>
        <v>Active</v>
      </c>
      <c r="U245" t="str">
        <f t="array" ref="U245">_xlfn.IFS(HR_Data[[#This Row],[Salary]]&gt;=100000,"A",HR_Data[[#This Row],[Salary]]&gt;=70000,"B",HR_Data[[#This Row],[Salary]]&gt;=50000,"C",TRUE(),"D")</f>
        <v>D</v>
      </c>
      <c r="V245" t="str">
        <f t="array" ref="V245">_xlfn.IFS(HR_Data[[#This Row],[Experience]]&gt;=15,"Expert",HR_Data[[#This Row],[Experience]]&gt;=8,"Senior",HR_Data[[#This Row],[Experience]]&gt;=3,"Mid-Level",TRUE(),"Junior")</f>
        <v>Junior</v>
      </c>
    </row>
    <row r="246" spans="1:22" ht="14.25" customHeight="1" x14ac:dyDescent="0.3">
      <c r="A246" t="s">
        <v>665</v>
      </c>
      <c r="B246" t="s">
        <v>245</v>
      </c>
      <c r="C246" t="s">
        <v>134</v>
      </c>
      <c r="D246" t="s">
        <v>25</v>
      </c>
      <c r="E246">
        <v>51</v>
      </c>
      <c r="F246">
        <v>116286</v>
      </c>
      <c r="G246">
        <v>25</v>
      </c>
      <c r="H246" t="s">
        <v>666</v>
      </c>
      <c r="I246" t="s">
        <v>42</v>
      </c>
      <c r="J246" t="s">
        <v>28</v>
      </c>
      <c r="K246" t="s">
        <v>29</v>
      </c>
      <c r="L246" t="str">
        <f t="array" ref="L246">_xlfn.IFS(HR_Data[[#This Row],[Experience]]&lt;2,"0-2 Years",HR_Data[[#This Row],[Experience]]&lt;5,"2-5 Years",HR_Data[[#This Row],[Experience]]&lt;10,"5-10 Years",TRUE(),"10+ Years")</f>
        <v>10+ Years</v>
      </c>
      <c r="M246" t="str">
        <f t="array" ref="M246">_xlfn.IFS(HR_Data[[#This Row],[Salary]]&lt;40000,"Low",HR_Data[[#This Row],[Salary]]&lt;70000,"Medium",HR_Data[[#This Row],[Salary]]&lt;100000,"High",TRUE(),"Very High")</f>
        <v>Very High</v>
      </c>
      <c r="N246" t="str">
        <f t="array" ref="N246">_xlfn.IFS(HR_Data[[#This Row],[Age]]&lt;25,"18-24",HR_Data[[#This Row],[Age]]&lt;35,"25-34",HR_Data[[#This Row],[Age]]&lt;45,"35-44",TRUE(),"45+")</f>
        <v>45+</v>
      </c>
      <c r="O246">
        <f>YEAR(HR_Data[[#This Row],[Joining Date]])</f>
        <v>2026</v>
      </c>
      <c r="P246" t="str">
        <f>TEXT(HR_Data[[#This Row],[Joining Date]],"mmmm")</f>
        <v>March</v>
      </c>
      <c r="Q246">
        <f t="array" ref="Q246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46">
        <f>HR_Data[[#This Row],[Salary]]*HR_Data[[#This Row],[Bonus %]]</f>
        <v>17442.899999999998</v>
      </c>
      <c r="S246">
        <f>HR_Data[[#This Row],[Salary]]+HR_Data[[#This Row],[Bonus Amount]]</f>
        <v>133728.9</v>
      </c>
      <c r="T246" t="str">
        <f>IF(HR_Data[[#This Row],[Attrition]]="Yes","Inactive","Active")</f>
        <v>Active</v>
      </c>
      <c r="U246" t="str">
        <f t="array" ref="U246">_xlfn.IFS(HR_Data[[#This Row],[Salary]]&gt;=100000,"A",HR_Data[[#This Row],[Salary]]&gt;=70000,"B",HR_Data[[#This Row],[Salary]]&gt;=50000,"C",TRUE(),"D")</f>
        <v>A</v>
      </c>
      <c r="V246" t="str">
        <f t="array" ref="V246">_xlfn.IFS(HR_Data[[#This Row],[Experience]]&gt;=15,"Expert",HR_Data[[#This Row],[Experience]]&gt;=8,"Senior",HR_Data[[#This Row],[Experience]]&gt;=3,"Mid-Level",TRUE(),"Junior")</f>
        <v>Expert</v>
      </c>
    </row>
    <row r="247" spans="1:22" ht="14.25" customHeight="1" x14ac:dyDescent="0.3">
      <c r="A247" t="s">
        <v>667</v>
      </c>
      <c r="B247" t="s">
        <v>31</v>
      </c>
      <c r="C247" t="s">
        <v>93</v>
      </c>
      <c r="D247" t="s">
        <v>25</v>
      </c>
      <c r="E247">
        <v>37</v>
      </c>
      <c r="F247">
        <v>44042</v>
      </c>
      <c r="G247">
        <v>7</v>
      </c>
      <c r="H247" t="s">
        <v>668</v>
      </c>
      <c r="I247" t="s">
        <v>35</v>
      </c>
      <c r="J247" t="s">
        <v>28</v>
      </c>
      <c r="K247" t="s">
        <v>29</v>
      </c>
      <c r="L247" t="str">
        <f t="array" ref="L247">_xlfn.IFS(HR_Data[[#This Row],[Experience]]&lt;2,"0-2 Years",HR_Data[[#This Row],[Experience]]&lt;5,"2-5 Years",HR_Data[[#This Row],[Experience]]&lt;10,"5-10 Years",TRUE(),"10+ Years")</f>
        <v>5-10 Years</v>
      </c>
      <c r="M247" t="str">
        <f t="array" ref="M247">_xlfn.IFS(HR_Data[[#This Row],[Salary]]&lt;40000,"Low",HR_Data[[#This Row],[Salary]]&lt;70000,"Medium",HR_Data[[#This Row],[Salary]]&lt;100000,"High",TRUE(),"Very High")</f>
        <v>Medium</v>
      </c>
      <c r="N247" t="str">
        <f t="array" ref="N247">_xlfn.IFS(HR_Data[[#This Row],[Age]]&lt;25,"18-24",HR_Data[[#This Row],[Age]]&lt;35,"25-34",HR_Data[[#This Row],[Age]]&lt;45,"35-44",TRUE(),"45+")</f>
        <v>35-44</v>
      </c>
      <c r="O247">
        <f>YEAR(HR_Data[[#This Row],[Joining Date]])</f>
        <v>2022</v>
      </c>
      <c r="P247" t="str">
        <f>TEXT(HR_Data[[#This Row],[Joining Date]],"mmmm")</f>
        <v>October</v>
      </c>
      <c r="Q247">
        <f t="array" ref="Q24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47">
        <f>HR_Data[[#This Row],[Salary]]*HR_Data[[#This Row],[Bonus %]]</f>
        <v>6606.3</v>
      </c>
      <c r="S247">
        <f>HR_Data[[#This Row],[Salary]]+HR_Data[[#This Row],[Bonus Amount]]</f>
        <v>50648.3</v>
      </c>
      <c r="T247" t="str">
        <f>IF(HR_Data[[#This Row],[Attrition]]="Yes","Inactive","Active")</f>
        <v>Active</v>
      </c>
      <c r="U247" t="str">
        <f t="array" ref="U247">_xlfn.IFS(HR_Data[[#This Row],[Salary]]&gt;=100000,"A",HR_Data[[#This Row],[Salary]]&gt;=70000,"B",HR_Data[[#This Row],[Salary]]&gt;=50000,"C",TRUE(),"D")</f>
        <v>D</v>
      </c>
      <c r="V247" t="str">
        <f t="array" ref="V247">_xlfn.IFS(HR_Data[[#This Row],[Experience]]&gt;=15,"Expert",HR_Data[[#This Row],[Experience]]&gt;=8,"Senior",HR_Data[[#This Row],[Experience]]&gt;=3,"Mid-Level",TRUE(),"Junior")</f>
        <v>Mid-Level</v>
      </c>
    </row>
    <row r="248" spans="1:22" ht="14.25" customHeight="1" x14ac:dyDescent="0.3">
      <c r="A248" t="s">
        <v>669</v>
      </c>
      <c r="B248" t="s">
        <v>670</v>
      </c>
      <c r="C248" t="s">
        <v>55</v>
      </c>
      <c r="D248" t="s">
        <v>33</v>
      </c>
      <c r="E248">
        <v>32</v>
      </c>
      <c r="F248">
        <v>51025</v>
      </c>
      <c r="G248">
        <v>6</v>
      </c>
      <c r="H248" t="s">
        <v>671</v>
      </c>
      <c r="I248" t="s">
        <v>132</v>
      </c>
      <c r="J248" t="s">
        <v>63</v>
      </c>
      <c r="K248" t="s">
        <v>37</v>
      </c>
      <c r="L248" t="str">
        <f t="array" ref="L248">_xlfn.IFS(HR_Data[[#This Row],[Experience]]&lt;2,"0-2 Years",HR_Data[[#This Row],[Experience]]&lt;5,"2-5 Years",HR_Data[[#This Row],[Experience]]&lt;10,"5-10 Years",TRUE(),"10+ Years")</f>
        <v>5-10 Years</v>
      </c>
      <c r="M248" t="str">
        <f t="array" ref="M248">_xlfn.IFS(HR_Data[[#This Row],[Salary]]&lt;40000,"Low",HR_Data[[#This Row],[Salary]]&lt;70000,"Medium",HR_Data[[#This Row],[Salary]]&lt;100000,"High",TRUE(),"Very High")</f>
        <v>Medium</v>
      </c>
      <c r="N248" t="str">
        <f t="array" ref="N248">_xlfn.IFS(HR_Data[[#This Row],[Age]]&lt;25,"18-24",HR_Data[[#This Row],[Age]]&lt;35,"25-34",HR_Data[[#This Row],[Age]]&lt;45,"35-44",TRUE(),"45+")</f>
        <v>25-34</v>
      </c>
      <c r="O248">
        <f>YEAR(HR_Data[[#This Row],[Joining Date]])</f>
        <v>2022</v>
      </c>
      <c r="P248" t="str">
        <f>TEXT(HR_Data[[#This Row],[Joining Date]],"mmmm")</f>
        <v>February</v>
      </c>
      <c r="Q248">
        <f t="array" ref="Q248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248">
        <f>HR_Data[[#This Row],[Salary]]*HR_Data[[#This Row],[Bonus %]]</f>
        <v>10205</v>
      </c>
      <c r="S248">
        <f>HR_Data[[#This Row],[Salary]]+HR_Data[[#This Row],[Bonus Amount]]</f>
        <v>61230</v>
      </c>
      <c r="T248" t="str">
        <f>IF(HR_Data[[#This Row],[Attrition]]="Yes","Inactive","Active")</f>
        <v>Inactive</v>
      </c>
      <c r="U248" t="str">
        <f t="array" ref="U248">_xlfn.IFS(HR_Data[[#This Row],[Salary]]&gt;=100000,"A",HR_Data[[#This Row],[Salary]]&gt;=70000,"B",HR_Data[[#This Row],[Salary]]&gt;=50000,"C",TRUE(),"D")</f>
        <v>C</v>
      </c>
      <c r="V248" t="str">
        <f t="array" ref="V248">_xlfn.IFS(HR_Data[[#This Row],[Experience]]&gt;=15,"Expert",HR_Data[[#This Row],[Experience]]&gt;=8,"Senior",HR_Data[[#This Row],[Experience]]&gt;=3,"Mid-Level",TRUE(),"Junior")</f>
        <v>Mid-Level</v>
      </c>
    </row>
    <row r="249" spans="1:22" ht="14.25" customHeight="1" x14ac:dyDescent="0.3">
      <c r="A249" t="s">
        <v>672</v>
      </c>
      <c r="B249" t="s">
        <v>424</v>
      </c>
      <c r="C249" t="s">
        <v>32</v>
      </c>
      <c r="D249" t="s">
        <v>33</v>
      </c>
      <c r="E249">
        <v>42</v>
      </c>
      <c r="F249">
        <v>70716</v>
      </c>
      <c r="G249">
        <v>15</v>
      </c>
      <c r="H249" t="s">
        <v>673</v>
      </c>
      <c r="I249" t="s">
        <v>132</v>
      </c>
      <c r="J249" t="s">
        <v>28</v>
      </c>
      <c r="K249" t="s">
        <v>29</v>
      </c>
      <c r="L249" t="str">
        <f t="array" ref="L249">_xlfn.IFS(HR_Data[[#This Row],[Experience]]&lt;2,"0-2 Years",HR_Data[[#This Row],[Experience]]&lt;5,"2-5 Years",HR_Data[[#This Row],[Experience]]&lt;10,"5-10 Years",TRUE(),"10+ Years")</f>
        <v>10+ Years</v>
      </c>
      <c r="M249" t="str">
        <f t="array" ref="M249">_xlfn.IFS(HR_Data[[#This Row],[Salary]]&lt;40000,"Low",HR_Data[[#This Row],[Salary]]&lt;70000,"Medium",HR_Data[[#This Row],[Salary]]&lt;100000,"High",TRUE(),"Very High")</f>
        <v>High</v>
      </c>
      <c r="N249" t="str">
        <f t="array" ref="N249">_xlfn.IFS(HR_Data[[#This Row],[Age]]&lt;25,"18-24",HR_Data[[#This Row],[Age]]&lt;35,"25-34",HR_Data[[#This Row],[Age]]&lt;45,"35-44",TRUE(),"45+")</f>
        <v>35-44</v>
      </c>
      <c r="O249">
        <f>YEAR(HR_Data[[#This Row],[Joining Date]])</f>
        <v>2018</v>
      </c>
      <c r="P249" t="str">
        <f>TEXT(HR_Data[[#This Row],[Joining Date]],"mmmm")</f>
        <v>August</v>
      </c>
      <c r="Q249">
        <f t="array" ref="Q24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49">
        <f>HR_Data[[#This Row],[Salary]]*HR_Data[[#This Row],[Bonus %]]</f>
        <v>10607.4</v>
      </c>
      <c r="S249">
        <f>HR_Data[[#This Row],[Salary]]+HR_Data[[#This Row],[Bonus Amount]]</f>
        <v>81323.399999999994</v>
      </c>
      <c r="T249" t="str">
        <f>IF(HR_Data[[#This Row],[Attrition]]="Yes","Inactive","Active")</f>
        <v>Active</v>
      </c>
      <c r="U249" t="str">
        <f t="array" ref="U249">_xlfn.IFS(HR_Data[[#This Row],[Salary]]&gt;=100000,"A",HR_Data[[#This Row],[Salary]]&gt;=70000,"B",HR_Data[[#This Row],[Salary]]&gt;=50000,"C",TRUE(),"D")</f>
        <v>B</v>
      </c>
      <c r="V249" t="str">
        <f t="array" ref="V249">_xlfn.IFS(HR_Data[[#This Row],[Experience]]&gt;=15,"Expert",HR_Data[[#This Row],[Experience]]&gt;=8,"Senior",HR_Data[[#This Row],[Experience]]&gt;=3,"Mid-Level",TRUE(),"Junior")</f>
        <v>Expert</v>
      </c>
    </row>
    <row r="250" spans="1:22" ht="14.25" customHeight="1" x14ac:dyDescent="0.3">
      <c r="A250" t="s">
        <v>674</v>
      </c>
      <c r="B250" t="s">
        <v>570</v>
      </c>
      <c r="C250" t="s">
        <v>60</v>
      </c>
      <c r="D250" t="s">
        <v>25</v>
      </c>
      <c r="E250">
        <v>52</v>
      </c>
      <c r="F250">
        <v>104356</v>
      </c>
      <c r="G250">
        <v>27</v>
      </c>
      <c r="H250" t="s">
        <v>675</v>
      </c>
      <c r="I250" t="s">
        <v>42</v>
      </c>
      <c r="J250" t="s">
        <v>36</v>
      </c>
      <c r="K250" t="s">
        <v>29</v>
      </c>
      <c r="L250" t="str">
        <f t="array" ref="L250">_xlfn.IFS(HR_Data[[#This Row],[Experience]]&lt;2,"0-2 Years",HR_Data[[#This Row],[Experience]]&lt;5,"2-5 Years",HR_Data[[#This Row],[Experience]]&lt;10,"5-10 Years",TRUE(),"10+ Years")</f>
        <v>10+ Years</v>
      </c>
      <c r="M250" t="str">
        <f t="array" ref="M250">_xlfn.IFS(HR_Data[[#This Row],[Salary]]&lt;40000,"Low",HR_Data[[#This Row],[Salary]]&lt;70000,"Medium",HR_Data[[#This Row],[Salary]]&lt;100000,"High",TRUE(),"Very High")</f>
        <v>Very High</v>
      </c>
      <c r="N250" t="str">
        <f t="array" ref="N250">_xlfn.IFS(HR_Data[[#This Row],[Age]]&lt;25,"18-24",HR_Data[[#This Row],[Age]]&lt;35,"25-34",HR_Data[[#This Row],[Age]]&lt;45,"35-44",TRUE(),"45+")</f>
        <v>45+</v>
      </c>
      <c r="O250">
        <f>YEAR(HR_Data[[#This Row],[Joining Date]])</f>
        <v>2019</v>
      </c>
      <c r="P250" t="str">
        <f>TEXT(HR_Data[[#This Row],[Joining Date]],"mmmm")</f>
        <v>June</v>
      </c>
      <c r="Q250">
        <f t="array" ref="Q25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50">
        <f>HR_Data[[#This Row],[Salary]]*HR_Data[[#This Row],[Bonus %]]</f>
        <v>10435.6</v>
      </c>
      <c r="S250">
        <f>HR_Data[[#This Row],[Salary]]+HR_Data[[#This Row],[Bonus Amount]]</f>
        <v>114791.6</v>
      </c>
      <c r="T250" t="str">
        <f>IF(HR_Data[[#This Row],[Attrition]]="Yes","Inactive","Active")</f>
        <v>Active</v>
      </c>
      <c r="U250" t="str">
        <f t="array" ref="U250">_xlfn.IFS(HR_Data[[#This Row],[Salary]]&gt;=100000,"A",HR_Data[[#This Row],[Salary]]&gt;=70000,"B",HR_Data[[#This Row],[Salary]]&gt;=50000,"C",TRUE(),"D")</f>
        <v>A</v>
      </c>
      <c r="V250" t="str">
        <f t="array" ref="V250">_xlfn.IFS(HR_Data[[#This Row],[Experience]]&gt;=15,"Expert",HR_Data[[#This Row],[Experience]]&gt;=8,"Senior",HR_Data[[#This Row],[Experience]]&gt;=3,"Mid-Level",TRUE(),"Junior")</f>
        <v>Expert</v>
      </c>
    </row>
    <row r="251" spans="1:22" ht="14.25" customHeight="1" x14ac:dyDescent="0.3">
      <c r="A251" t="s">
        <v>676</v>
      </c>
      <c r="B251" t="s">
        <v>677</v>
      </c>
      <c r="C251" t="s">
        <v>75</v>
      </c>
      <c r="D251" t="s">
        <v>25</v>
      </c>
      <c r="E251">
        <v>33</v>
      </c>
      <c r="F251">
        <v>42326</v>
      </c>
      <c r="G251">
        <v>6</v>
      </c>
      <c r="H251" t="s">
        <v>678</v>
      </c>
      <c r="I251" t="s">
        <v>72</v>
      </c>
      <c r="J251" t="s">
        <v>28</v>
      </c>
      <c r="K251" t="s">
        <v>29</v>
      </c>
      <c r="L251" t="str">
        <f t="array" ref="L251">_xlfn.IFS(HR_Data[[#This Row],[Experience]]&lt;2,"0-2 Years",HR_Data[[#This Row],[Experience]]&lt;5,"2-5 Years",HR_Data[[#This Row],[Experience]]&lt;10,"5-10 Years",TRUE(),"10+ Years")</f>
        <v>5-10 Years</v>
      </c>
      <c r="M251" t="str">
        <f t="array" ref="M251">_xlfn.IFS(HR_Data[[#This Row],[Salary]]&lt;40000,"Low",HR_Data[[#This Row],[Salary]]&lt;70000,"Medium",HR_Data[[#This Row],[Salary]]&lt;100000,"High",TRUE(),"Very High")</f>
        <v>Medium</v>
      </c>
      <c r="N251" t="str">
        <f t="array" ref="N251">_xlfn.IFS(HR_Data[[#This Row],[Age]]&lt;25,"18-24",HR_Data[[#This Row],[Age]]&lt;35,"25-34",HR_Data[[#This Row],[Age]]&lt;45,"35-44",TRUE(),"45+")</f>
        <v>25-34</v>
      </c>
      <c r="O251">
        <f>YEAR(HR_Data[[#This Row],[Joining Date]])</f>
        <v>2023</v>
      </c>
      <c r="P251" t="str">
        <f>TEXT(HR_Data[[#This Row],[Joining Date]],"mmmm")</f>
        <v>March</v>
      </c>
      <c r="Q251">
        <f t="array" ref="Q251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51">
        <f>HR_Data[[#This Row],[Salary]]*HR_Data[[#This Row],[Bonus %]]</f>
        <v>6348.9</v>
      </c>
      <c r="S251">
        <f>HR_Data[[#This Row],[Salary]]+HR_Data[[#This Row],[Bonus Amount]]</f>
        <v>48674.9</v>
      </c>
      <c r="T251" t="str">
        <f>IF(HR_Data[[#This Row],[Attrition]]="Yes","Inactive","Active")</f>
        <v>Active</v>
      </c>
      <c r="U251" t="str">
        <f t="array" ref="U251">_xlfn.IFS(HR_Data[[#This Row],[Salary]]&gt;=100000,"A",HR_Data[[#This Row],[Salary]]&gt;=70000,"B",HR_Data[[#This Row],[Salary]]&gt;=50000,"C",TRUE(),"D")</f>
        <v>D</v>
      </c>
      <c r="V251" t="str">
        <f t="array" ref="V251">_xlfn.IFS(HR_Data[[#This Row],[Experience]]&gt;=15,"Expert",HR_Data[[#This Row],[Experience]]&gt;=8,"Senior",HR_Data[[#This Row],[Experience]]&gt;=3,"Mid-Level",TRUE(),"Junior")</f>
        <v>Mid-Level</v>
      </c>
    </row>
    <row r="252" spans="1:22" ht="14.25" customHeight="1" x14ac:dyDescent="0.3">
      <c r="A252" t="s">
        <v>679</v>
      </c>
      <c r="B252" t="s">
        <v>412</v>
      </c>
      <c r="C252" t="s">
        <v>134</v>
      </c>
      <c r="D252" t="s">
        <v>33</v>
      </c>
      <c r="E252">
        <v>52</v>
      </c>
      <c r="F252">
        <v>106662</v>
      </c>
      <c r="G252">
        <v>24</v>
      </c>
      <c r="H252" t="s">
        <v>680</v>
      </c>
      <c r="I252" t="s">
        <v>132</v>
      </c>
      <c r="J252" t="s">
        <v>28</v>
      </c>
      <c r="K252" t="s">
        <v>29</v>
      </c>
      <c r="L252" t="str">
        <f t="array" ref="L252">_xlfn.IFS(HR_Data[[#This Row],[Experience]]&lt;2,"0-2 Years",HR_Data[[#This Row],[Experience]]&lt;5,"2-5 Years",HR_Data[[#This Row],[Experience]]&lt;10,"5-10 Years",TRUE(),"10+ Years")</f>
        <v>10+ Years</v>
      </c>
      <c r="M252" t="str">
        <f t="array" ref="M252">_xlfn.IFS(HR_Data[[#This Row],[Salary]]&lt;40000,"Low",HR_Data[[#This Row],[Salary]]&lt;70000,"Medium",HR_Data[[#This Row],[Salary]]&lt;100000,"High",TRUE(),"Very High")</f>
        <v>Very High</v>
      </c>
      <c r="N252" t="str">
        <f t="array" ref="N252">_xlfn.IFS(HR_Data[[#This Row],[Age]]&lt;25,"18-24",HR_Data[[#This Row],[Age]]&lt;35,"25-34",HR_Data[[#This Row],[Age]]&lt;45,"35-44",TRUE(),"45+")</f>
        <v>45+</v>
      </c>
      <c r="O252">
        <f>YEAR(HR_Data[[#This Row],[Joining Date]])</f>
        <v>2017</v>
      </c>
      <c r="P252" t="str">
        <f>TEXT(HR_Data[[#This Row],[Joining Date]],"mmmm")</f>
        <v>July</v>
      </c>
      <c r="Q252">
        <f t="array" ref="Q252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52">
        <f>HR_Data[[#This Row],[Salary]]*HR_Data[[#This Row],[Bonus %]]</f>
        <v>15999.3</v>
      </c>
      <c r="S252">
        <f>HR_Data[[#This Row],[Salary]]+HR_Data[[#This Row],[Bonus Amount]]</f>
        <v>122661.3</v>
      </c>
      <c r="T252" t="str">
        <f>IF(HR_Data[[#This Row],[Attrition]]="Yes","Inactive","Active")</f>
        <v>Active</v>
      </c>
      <c r="U252" t="str">
        <f t="array" ref="U252">_xlfn.IFS(HR_Data[[#This Row],[Salary]]&gt;=100000,"A",HR_Data[[#This Row],[Salary]]&gt;=70000,"B",HR_Data[[#This Row],[Salary]]&gt;=50000,"C",TRUE(),"D")</f>
        <v>A</v>
      </c>
      <c r="V252" t="str">
        <f t="array" ref="V252">_xlfn.IFS(HR_Data[[#This Row],[Experience]]&gt;=15,"Expert",HR_Data[[#This Row],[Experience]]&gt;=8,"Senior",HR_Data[[#This Row],[Experience]]&gt;=3,"Mid-Level",TRUE(),"Junior")</f>
        <v>Expert</v>
      </c>
    </row>
    <row r="253" spans="1:22" ht="14.25" customHeight="1" x14ac:dyDescent="0.3">
      <c r="A253" t="s">
        <v>681</v>
      </c>
      <c r="B253" t="s">
        <v>143</v>
      </c>
      <c r="C253" t="s">
        <v>32</v>
      </c>
      <c r="D253" t="s">
        <v>25</v>
      </c>
      <c r="E253">
        <v>40</v>
      </c>
      <c r="F253">
        <v>88817</v>
      </c>
      <c r="G253">
        <v>20</v>
      </c>
      <c r="H253" t="s">
        <v>682</v>
      </c>
      <c r="I253" t="s">
        <v>72</v>
      </c>
      <c r="J253" t="s">
        <v>63</v>
      </c>
      <c r="K253" t="s">
        <v>29</v>
      </c>
      <c r="L253" t="str">
        <f t="array" ref="L253">_xlfn.IFS(HR_Data[[#This Row],[Experience]]&lt;2,"0-2 Years",HR_Data[[#This Row],[Experience]]&lt;5,"2-5 Years",HR_Data[[#This Row],[Experience]]&lt;10,"5-10 Years",TRUE(),"10+ Years")</f>
        <v>10+ Years</v>
      </c>
      <c r="M253" t="str">
        <f t="array" ref="M253">_xlfn.IFS(HR_Data[[#This Row],[Salary]]&lt;40000,"Low",HR_Data[[#This Row],[Salary]]&lt;70000,"Medium",HR_Data[[#This Row],[Salary]]&lt;100000,"High",TRUE(),"Very High")</f>
        <v>High</v>
      </c>
      <c r="N253" t="str">
        <f t="array" ref="N253">_xlfn.IFS(HR_Data[[#This Row],[Age]]&lt;25,"18-24",HR_Data[[#This Row],[Age]]&lt;35,"25-34",HR_Data[[#This Row],[Age]]&lt;45,"35-44",TRUE(),"45+")</f>
        <v>35-44</v>
      </c>
      <c r="O253">
        <f>YEAR(HR_Data[[#This Row],[Joining Date]])</f>
        <v>2021</v>
      </c>
      <c r="P253" t="str">
        <f>TEXT(HR_Data[[#This Row],[Joining Date]],"mmmm")</f>
        <v>November</v>
      </c>
      <c r="Q253">
        <f t="array" ref="Q253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253">
        <f>HR_Data[[#This Row],[Salary]]*HR_Data[[#This Row],[Bonus %]]</f>
        <v>17763.400000000001</v>
      </c>
      <c r="S253">
        <f>HR_Data[[#This Row],[Salary]]+HR_Data[[#This Row],[Bonus Amount]]</f>
        <v>106580.4</v>
      </c>
      <c r="T253" t="str">
        <f>IF(HR_Data[[#This Row],[Attrition]]="Yes","Inactive","Active")</f>
        <v>Active</v>
      </c>
      <c r="U253" t="str">
        <f t="array" ref="U253">_xlfn.IFS(HR_Data[[#This Row],[Salary]]&gt;=100000,"A",HR_Data[[#This Row],[Salary]]&gt;=70000,"B",HR_Data[[#This Row],[Salary]]&gt;=50000,"C",TRUE(),"D")</f>
        <v>B</v>
      </c>
      <c r="V253" t="str">
        <f t="array" ref="V253">_xlfn.IFS(HR_Data[[#This Row],[Experience]]&gt;=15,"Expert",HR_Data[[#This Row],[Experience]]&gt;=8,"Senior",HR_Data[[#This Row],[Experience]]&gt;=3,"Mid-Level",TRUE(),"Junior")</f>
        <v>Expert</v>
      </c>
    </row>
    <row r="254" spans="1:22" ht="14.25" customHeight="1" x14ac:dyDescent="0.3">
      <c r="A254" t="s">
        <v>683</v>
      </c>
      <c r="B254" t="s">
        <v>252</v>
      </c>
      <c r="C254" t="s">
        <v>70</v>
      </c>
      <c r="D254" t="s">
        <v>25</v>
      </c>
      <c r="E254">
        <v>36</v>
      </c>
      <c r="F254">
        <v>55173</v>
      </c>
      <c r="G254">
        <v>8</v>
      </c>
      <c r="H254" t="s">
        <v>684</v>
      </c>
      <c r="I254" t="s">
        <v>80</v>
      </c>
      <c r="J254" t="s">
        <v>28</v>
      </c>
      <c r="K254" t="s">
        <v>29</v>
      </c>
      <c r="L254" t="str">
        <f t="array" ref="L254">_xlfn.IFS(HR_Data[[#This Row],[Experience]]&lt;2,"0-2 Years",HR_Data[[#This Row],[Experience]]&lt;5,"2-5 Years",HR_Data[[#This Row],[Experience]]&lt;10,"5-10 Years",TRUE(),"10+ Years")</f>
        <v>5-10 Years</v>
      </c>
      <c r="M254" t="str">
        <f t="array" ref="M254">_xlfn.IFS(HR_Data[[#This Row],[Salary]]&lt;40000,"Low",HR_Data[[#This Row],[Salary]]&lt;70000,"Medium",HR_Data[[#This Row],[Salary]]&lt;100000,"High",TRUE(),"Very High")</f>
        <v>Medium</v>
      </c>
      <c r="N254" t="str">
        <f t="array" ref="N254">_xlfn.IFS(HR_Data[[#This Row],[Age]]&lt;25,"18-24",HR_Data[[#This Row],[Age]]&lt;35,"25-34",HR_Data[[#This Row],[Age]]&lt;45,"35-44",TRUE(),"45+")</f>
        <v>35-44</v>
      </c>
      <c r="O254">
        <f>YEAR(HR_Data[[#This Row],[Joining Date]])</f>
        <v>2024</v>
      </c>
      <c r="P254" t="str">
        <f>TEXT(HR_Data[[#This Row],[Joining Date]],"mmmm")</f>
        <v>June</v>
      </c>
      <c r="Q254">
        <f t="array" ref="Q254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54">
        <f>HR_Data[[#This Row],[Salary]]*HR_Data[[#This Row],[Bonus %]]</f>
        <v>8275.9499999999989</v>
      </c>
      <c r="S254">
        <f>HR_Data[[#This Row],[Salary]]+HR_Data[[#This Row],[Bonus Amount]]</f>
        <v>63448.95</v>
      </c>
      <c r="T254" t="str">
        <f>IF(HR_Data[[#This Row],[Attrition]]="Yes","Inactive","Active")</f>
        <v>Active</v>
      </c>
      <c r="U254" t="str">
        <f t="array" ref="U254">_xlfn.IFS(HR_Data[[#This Row],[Salary]]&gt;=100000,"A",HR_Data[[#This Row],[Salary]]&gt;=70000,"B",HR_Data[[#This Row],[Salary]]&gt;=50000,"C",TRUE(),"D")</f>
        <v>C</v>
      </c>
      <c r="V254" t="str">
        <f t="array" ref="V254">_xlfn.IFS(HR_Data[[#This Row],[Experience]]&gt;=15,"Expert",HR_Data[[#This Row],[Experience]]&gt;=8,"Senior",HR_Data[[#This Row],[Experience]]&gt;=3,"Mid-Level",TRUE(),"Junior")</f>
        <v>Senior</v>
      </c>
    </row>
    <row r="255" spans="1:22" ht="14.25" customHeight="1" x14ac:dyDescent="0.3">
      <c r="A255" t="s">
        <v>685</v>
      </c>
      <c r="B255" t="s">
        <v>686</v>
      </c>
      <c r="C255" t="s">
        <v>70</v>
      </c>
      <c r="D255" t="s">
        <v>33</v>
      </c>
      <c r="E255">
        <v>29</v>
      </c>
      <c r="F255">
        <v>52908</v>
      </c>
      <c r="G255">
        <v>8</v>
      </c>
      <c r="H255" t="s">
        <v>687</v>
      </c>
      <c r="I255" t="s">
        <v>62</v>
      </c>
      <c r="J255" t="s">
        <v>36</v>
      </c>
      <c r="K255" t="s">
        <v>29</v>
      </c>
      <c r="L255" t="str">
        <f t="array" ref="L255">_xlfn.IFS(HR_Data[[#This Row],[Experience]]&lt;2,"0-2 Years",HR_Data[[#This Row],[Experience]]&lt;5,"2-5 Years",HR_Data[[#This Row],[Experience]]&lt;10,"5-10 Years",TRUE(),"10+ Years")</f>
        <v>5-10 Years</v>
      </c>
      <c r="M255" t="str">
        <f t="array" ref="M255">_xlfn.IFS(HR_Data[[#This Row],[Salary]]&lt;40000,"Low",HR_Data[[#This Row],[Salary]]&lt;70000,"Medium",HR_Data[[#This Row],[Salary]]&lt;100000,"High",TRUE(),"Very High")</f>
        <v>Medium</v>
      </c>
      <c r="N255" t="str">
        <f t="array" ref="N255">_xlfn.IFS(HR_Data[[#This Row],[Age]]&lt;25,"18-24",HR_Data[[#This Row],[Age]]&lt;35,"25-34",HR_Data[[#This Row],[Age]]&lt;45,"35-44",TRUE(),"45+")</f>
        <v>25-34</v>
      </c>
      <c r="O255">
        <f>YEAR(HR_Data[[#This Row],[Joining Date]])</f>
        <v>2025</v>
      </c>
      <c r="P255" t="str">
        <f>TEXT(HR_Data[[#This Row],[Joining Date]],"mmmm")</f>
        <v>February</v>
      </c>
      <c r="Q255">
        <f t="array" ref="Q25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55">
        <f>HR_Data[[#This Row],[Salary]]*HR_Data[[#This Row],[Bonus %]]</f>
        <v>5290.8</v>
      </c>
      <c r="S255">
        <f>HR_Data[[#This Row],[Salary]]+HR_Data[[#This Row],[Bonus Amount]]</f>
        <v>58198.8</v>
      </c>
      <c r="T255" t="str">
        <f>IF(HR_Data[[#This Row],[Attrition]]="Yes","Inactive","Active")</f>
        <v>Active</v>
      </c>
      <c r="U255" t="str">
        <f t="array" ref="U255">_xlfn.IFS(HR_Data[[#This Row],[Salary]]&gt;=100000,"A",HR_Data[[#This Row],[Salary]]&gt;=70000,"B",HR_Data[[#This Row],[Salary]]&gt;=50000,"C",TRUE(),"D")</f>
        <v>C</v>
      </c>
      <c r="V255" t="str">
        <f t="array" ref="V255">_xlfn.IFS(HR_Data[[#This Row],[Experience]]&gt;=15,"Expert",HR_Data[[#This Row],[Experience]]&gt;=8,"Senior",HR_Data[[#This Row],[Experience]]&gt;=3,"Mid-Level",TRUE(),"Junior")</f>
        <v>Senior</v>
      </c>
    </row>
    <row r="256" spans="1:22" ht="14.25" customHeight="1" x14ac:dyDescent="0.3">
      <c r="A256" t="s">
        <v>688</v>
      </c>
      <c r="B256" t="s">
        <v>689</v>
      </c>
      <c r="C256" t="s">
        <v>70</v>
      </c>
      <c r="D256" t="s">
        <v>33</v>
      </c>
      <c r="E256">
        <v>60</v>
      </c>
      <c r="F256">
        <v>145219</v>
      </c>
      <c r="G256">
        <v>35</v>
      </c>
      <c r="H256" t="s">
        <v>690</v>
      </c>
      <c r="I256" t="s">
        <v>72</v>
      </c>
      <c r="J256" t="s">
        <v>36</v>
      </c>
      <c r="K256" t="s">
        <v>29</v>
      </c>
      <c r="L256" t="str">
        <f t="array" ref="L256">_xlfn.IFS(HR_Data[[#This Row],[Experience]]&lt;2,"0-2 Years",HR_Data[[#This Row],[Experience]]&lt;5,"2-5 Years",HR_Data[[#This Row],[Experience]]&lt;10,"5-10 Years",TRUE(),"10+ Years")</f>
        <v>10+ Years</v>
      </c>
      <c r="M256" t="str">
        <f t="array" ref="M256">_xlfn.IFS(HR_Data[[#This Row],[Salary]]&lt;40000,"Low",HR_Data[[#This Row],[Salary]]&lt;70000,"Medium",HR_Data[[#This Row],[Salary]]&lt;100000,"High",TRUE(),"Very High")</f>
        <v>Very High</v>
      </c>
      <c r="N256" t="str">
        <f t="array" ref="N256">_xlfn.IFS(HR_Data[[#This Row],[Age]]&lt;25,"18-24",HR_Data[[#This Row],[Age]]&lt;35,"25-34",HR_Data[[#This Row],[Age]]&lt;45,"35-44",TRUE(),"45+")</f>
        <v>45+</v>
      </c>
      <c r="O256">
        <f>YEAR(HR_Data[[#This Row],[Joining Date]])</f>
        <v>2024</v>
      </c>
      <c r="P256" t="str">
        <f>TEXT(HR_Data[[#This Row],[Joining Date]],"mmmm")</f>
        <v>March</v>
      </c>
      <c r="Q256">
        <f t="array" ref="Q25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56">
        <f>HR_Data[[#This Row],[Salary]]*HR_Data[[#This Row],[Bonus %]]</f>
        <v>14521.900000000001</v>
      </c>
      <c r="S256">
        <f>HR_Data[[#This Row],[Salary]]+HR_Data[[#This Row],[Bonus Amount]]</f>
        <v>159740.9</v>
      </c>
      <c r="T256" t="str">
        <f>IF(HR_Data[[#This Row],[Attrition]]="Yes","Inactive","Active")</f>
        <v>Active</v>
      </c>
      <c r="U256" t="str">
        <f t="array" ref="U256">_xlfn.IFS(HR_Data[[#This Row],[Salary]]&gt;=100000,"A",HR_Data[[#This Row],[Salary]]&gt;=70000,"B",HR_Data[[#This Row],[Salary]]&gt;=50000,"C",TRUE(),"D")</f>
        <v>A</v>
      </c>
      <c r="V256" t="str">
        <f t="array" ref="V256">_xlfn.IFS(HR_Data[[#This Row],[Experience]]&gt;=15,"Expert",HR_Data[[#This Row],[Experience]]&gt;=8,"Senior",HR_Data[[#This Row],[Experience]]&gt;=3,"Mid-Level",TRUE(),"Junior")</f>
        <v>Expert</v>
      </c>
    </row>
    <row r="257" spans="1:22" ht="14.25" customHeight="1" x14ac:dyDescent="0.3">
      <c r="A257" t="s">
        <v>691</v>
      </c>
      <c r="B257" t="s">
        <v>398</v>
      </c>
      <c r="C257" t="s">
        <v>24</v>
      </c>
      <c r="D257" t="s">
        <v>25</v>
      </c>
      <c r="E257">
        <v>23</v>
      </c>
      <c r="F257">
        <v>29771</v>
      </c>
      <c r="G257">
        <v>1</v>
      </c>
      <c r="H257" t="s">
        <v>692</v>
      </c>
      <c r="I257" t="s">
        <v>45</v>
      </c>
      <c r="J257" t="s">
        <v>28</v>
      </c>
      <c r="K257" t="s">
        <v>29</v>
      </c>
      <c r="L257" t="str">
        <f t="array" ref="L257">_xlfn.IFS(HR_Data[[#This Row],[Experience]]&lt;2,"0-2 Years",HR_Data[[#This Row],[Experience]]&lt;5,"2-5 Years",HR_Data[[#This Row],[Experience]]&lt;10,"5-10 Years",TRUE(),"10+ Years")</f>
        <v>0-2 Years</v>
      </c>
      <c r="M257" t="str">
        <f t="array" ref="M257">_xlfn.IFS(HR_Data[[#This Row],[Salary]]&lt;40000,"Low",HR_Data[[#This Row],[Salary]]&lt;70000,"Medium",HR_Data[[#This Row],[Salary]]&lt;100000,"High",TRUE(),"Very High")</f>
        <v>Low</v>
      </c>
      <c r="N257" t="str">
        <f t="array" ref="N257">_xlfn.IFS(HR_Data[[#This Row],[Age]]&lt;25,"18-24",HR_Data[[#This Row],[Age]]&lt;35,"25-34",HR_Data[[#This Row],[Age]]&lt;45,"35-44",TRUE(),"45+")</f>
        <v>18-24</v>
      </c>
      <c r="O257">
        <f>YEAR(HR_Data[[#This Row],[Joining Date]])</f>
        <v>2015</v>
      </c>
      <c r="P257" t="str">
        <f>TEXT(HR_Data[[#This Row],[Joining Date]],"mmmm")</f>
        <v>September</v>
      </c>
      <c r="Q257">
        <f t="array" ref="Q25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57">
        <f>HR_Data[[#This Row],[Salary]]*HR_Data[[#This Row],[Bonus %]]</f>
        <v>4465.6499999999996</v>
      </c>
      <c r="S257">
        <f>HR_Data[[#This Row],[Salary]]+HR_Data[[#This Row],[Bonus Amount]]</f>
        <v>34236.65</v>
      </c>
      <c r="T257" t="str">
        <f>IF(HR_Data[[#This Row],[Attrition]]="Yes","Inactive","Active")</f>
        <v>Active</v>
      </c>
      <c r="U257" t="str">
        <f t="array" ref="U257">_xlfn.IFS(HR_Data[[#This Row],[Salary]]&gt;=100000,"A",HR_Data[[#This Row],[Salary]]&gt;=70000,"B",HR_Data[[#This Row],[Salary]]&gt;=50000,"C",TRUE(),"D")</f>
        <v>D</v>
      </c>
      <c r="V257" t="str">
        <f t="array" ref="V257">_xlfn.IFS(HR_Data[[#This Row],[Experience]]&gt;=15,"Expert",HR_Data[[#This Row],[Experience]]&gt;=8,"Senior",HR_Data[[#This Row],[Experience]]&gt;=3,"Mid-Level",TRUE(),"Junior")</f>
        <v>Junior</v>
      </c>
    </row>
    <row r="258" spans="1:22" ht="14.25" customHeight="1" x14ac:dyDescent="0.3">
      <c r="A258" t="s">
        <v>693</v>
      </c>
      <c r="B258" t="s">
        <v>349</v>
      </c>
      <c r="C258" t="s">
        <v>112</v>
      </c>
      <c r="D258" t="s">
        <v>25</v>
      </c>
      <c r="E258">
        <v>52</v>
      </c>
      <c r="F258">
        <v>138166</v>
      </c>
      <c r="G258">
        <v>32</v>
      </c>
      <c r="H258" t="s">
        <v>680</v>
      </c>
      <c r="I258" t="s">
        <v>45</v>
      </c>
      <c r="J258" t="s">
        <v>28</v>
      </c>
      <c r="K258" t="s">
        <v>29</v>
      </c>
      <c r="L258" t="str">
        <f t="array" ref="L258">_xlfn.IFS(HR_Data[[#This Row],[Experience]]&lt;2,"0-2 Years",HR_Data[[#This Row],[Experience]]&lt;5,"2-5 Years",HR_Data[[#This Row],[Experience]]&lt;10,"5-10 Years",TRUE(),"10+ Years")</f>
        <v>10+ Years</v>
      </c>
      <c r="M258" t="str">
        <f t="array" ref="M258">_xlfn.IFS(HR_Data[[#This Row],[Salary]]&lt;40000,"Low",HR_Data[[#This Row],[Salary]]&lt;70000,"Medium",HR_Data[[#This Row],[Salary]]&lt;100000,"High",TRUE(),"Very High")</f>
        <v>Very High</v>
      </c>
      <c r="N258" t="str">
        <f t="array" ref="N258">_xlfn.IFS(HR_Data[[#This Row],[Age]]&lt;25,"18-24",HR_Data[[#This Row],[Age]]&lt;35,"25-34",HR_Data[[#This Row],[Age]]&lt;45,"35-44",TRUE(),"45+")</f>
        <v>45+</v>
      </c>
      <c r="O258">
        <f>YEAR(HR_Data[[#This Row],[Joining Date]])</f>
        <v>2017</v>
      </c>
      <c r="P258" t="str">
        <f>TEXT(HR_Data[[#This Row],[Joining Date]],"mmmm")</f>
        <v>July</v>
      </c>
      <c r="Q258">
        <f t="array" ref="Q258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58">
        <f>HR_Data[[#This Row],[Salary]]*HR_Data[[#This Row],[Bonus %]]</f>
        <v>20724.899999999998</v>
      </c>
      <c r="S258">
        <f>HR_Data[[#This Row],[Salary]]+HR_Data[[#This Row],[Bonus Amount]]</f>
        <v>158890.9</v>
      </c>
      <c r="T258" t="str">
        <f>IF(HR_Data[[#This Row],[Attrition]]="Yes","Inactive","Active")</f>
        <v>Active</v>
      </c>
      <c r="U258" t="str">
        <f t="array" ref="U258">_xlfn.IFS(HR_Data[[#This Row],[Salary]]&gt;=100000,"A",HR_Data[[#This Row],[Salary]]&gt;=70000,"B",HR_Data[[#This Row],[Salary]]&gt;=50000,"C",TRUE(),"D")</f>
        <v>A</v>
      </c>
      <c r="V258" t="str">
        <f t="array" ref="V258">_xlfn.IFS(HR_Data[[#This Row],[Experience]]&gt;=15,"Expert",HR_Data[[#This Row],[Experience]]&gt;=8,"Senior",HR_Data[[#This Row],[Experience]]&gt;=3,"Mid-Level",TRUE(),"Junior")</f>
        <v>Expert</v>
      </c>
    </row>
    <row r="259" spans="1:22" ht="14.25" customHeight="1" x14ac:dyDescent="0.3">
      <c r="A259" t="s">
        <v>694</v>
      </c>
      <c r="B259" t="s">
        <v>304</v>
      </c>
      <c r="C259" t="s">
        <v>55</v>
      </c>
      <c r="D259" t="s">
        <v>33</v>
      </c>
      <c r="E259">
        <v>38</v>
      </c>
      <c r="F259">
        <v>61955</v>
      </c>
      <c r="G259">
        <v>13</v>
      </c>
      <c r="H259" t="s">
        <v>564</v>
      </c>
      <c r="I259" t="s">
        <v>35</v>
      </c>
      <c r="J259" t="s">
        <v>28</v>
      </c>
      <c r="K259" t="s">
        <v>29</v>
      </c>
      <c r="L259" t="str">
        <f t="array" ref="L259">_xlfn.IFS(HR_Data[[#This Row],[Experience]]&lt;2,"0-2 Years",HR_Data[[#This Row],[Experience]]&lt;5,"2-5 Years",HR_Data[[#This Row],[Experience]]&lt;10,"5-10 Years",TRUE(),"10+ Years")</f>
        <v>10+ Years</v>
      </c>
      <c r="M259" t="str">
        <f t="array" ref="M259">_xlfn.IFS(HR_Data[[#This Row],[Salary]]&lt;40000,"Low",HR_Data[[#This Row],[Salary]]&lt;70000,"Medium",HR_Data[[#This Row],[Salary]]&lt;100000,"High",TRUE(),"Very High")</f>
        <v>Medium</v>
      </c>
      <c r="N259" t="str">
        <f t="array" ref="N259">_xlfn.IFS(HR_Data[[#This Row],[Age]]&lt;25,"18-24",HR_Data[[#This Row],[Age]]&lt;35,"25-34",HR_Data[[#This Row],[Age]]&lt;45,"35-44",TRUE(),"45+")</f>
        <v>35-44</v>
      </c>
      <c r="O259">
        <f>YEAR(HR_Data[[#This Row],[Joining Date]])</f>
        <v>2020</v>
      </c>
      <c r="P259" t="str">
        <f>TEXT(HR_Data[[#This Row],[Joining Date]],"mmmm")</f>
        <v>July</v>
      </c>
      <c r="Q259">
        <f t="array" ref="Q25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59">
        <f>HR_Data[[#This Row],[Salary]]*HR_Data[[#This Row],[Bonus %]]</f>
        <v>9293.25</v>
      </c>
      <c r="S259">
        <f>HR_Data[[#This Row],[Salary]]+HR_Data[[#This Row],[Bonus Amount]]</f>
        <v>71248.25</v>
      </c>
      <c r="T259" t="str">
        <f>IF(HR_Data[[#This Row],[Attrition]]="Yes","Inactive","Active")</f>
        <v>Active</v>
      </c>
      <c r="U259" t="str">
        <f t="array" ref="U259">_xlfn.IFS(HR_Data[[#This Row],[Salary]]&gt;=100000,"A",HR_Data[[#This Row],[Salary]]&gt;=70000,"B",HR_Data[[#This Row],[Salary]]&gt;=50000,"C",TRUE(),"D")</f>
        <v>C</v>
      </c>
      <c r="V259" t="str">
        <f t="array" ref="V259">_xlfn.IFS(HR_Data[[#This Row],[Experience]]&gt;=15,"Expert",HR_Data[[#This Row],[Experience]]&gt;=8,"Senior",HR_Data[[#This Row],[Experience]]&gt;=3,"Mid-Level",TRUE(),"Junior")</f>
        <v>Senior</v>
      </c>
    </row>
    <row r="260" spans="1:22" ht="14.25" customHeight="1" x14ac:dyDescent="0.3">
      <c r="A260" t="s">
        <v>695</v>
      </c>
      <c r="B260" t="s">
        <v>319</v>
      </c>
      <c r="C260" t="s">
        <v>24</v>
      </c>
      <c r="D260" t="s">
        <v>33</v>
      </c>
      <c r="E260">
        <v>29</v>
      </c>
      <c r="F260">
        <v>46277</v>
      </c>
      <c r="G260">
        <v>7</v>
      </c>
      <c r="H260" t="s">
        <v>696</v>
      </c>
      <c r="I260" t="s">
        <v>57</v>
      </c>
      <c r="J260" t="s">
        <v>46</v>
      </c>
      <c r="K260" t="s">
        <v>29</v>
      </c>
      <c r="L260" t="str">
        <f t="array" ref="L260">_xlfn.IFS(HR_Data[[#This Row],[Experience]]&lt;2,"0-2 Years",HR_Data[[#This Row],[Experience]]&lt;5,"2-5 Years",HR_Data[[#This Row],[Experience]]&lt;10,"5-10 Years",TRUE(),"10+ Years")</f>
        <v>5-10 Years</v>
      </c>
      <c r="M260" t="str">
        <f t="array" ref="M260">_xlfn.IFS(HR_Data[[#This Row],[Salary]]&lt;40000,"Low",HR_Data[[#This Row],[Salary]]&lt;70000,"Medium",HR_Data[[#This Row],[Salary]]&lt;100000,"High",TRUE(),"Very High")</f>
        <v>Medium</v>
      </c>
      <c r="N260" t="str">
        <f t="array" ref="N260">_xlfn.IFS(HR_Data[[#This Row],[Age]]&lt;25,"18-24",HR_Data[[#This Row],[Age]]&lt;35,"25-34",HR_Data[[#This Row],[Age]]&lt;45,"35-44",TRUE(),"45+")</f>
        <v>25-34</v>
      </c>
      <c r="O260">
        <f>YEAR(HR_Data[[#This Row],[Joining Date]])</f>
        <v>2022</v>
      </c>
      <c r="P260" t="str">
        <f>TEXT(HR_Data[[#This Row],[Joining Date]],"mmmm")</f>
        <v>November</v>
      </c>
      <c r="Q260">
        <f t="array" ref="Q260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260">
        <f>HR_Data[[#This Row],[Salary]]*HR_Data[[#This Row],[Bonus %]]</f>
        <v>2313.85</v>
      </c>
      <c r="S260">
        <f>HR_Data[[#This Row],[Salary]]+HR_Data[[#This Row],[Bonus Amount]]</f>
        <v>48590.85</v>
      </c>
      <c r="T260" t="str">
        <f>IF(HR_Data[[#This Row],[Attrition]]="Yes","Inactive","Active")</f>
        <v>Active</v>
      </c>
      <c r="U260" t="str">
        <f t="array" ref="U260">_xlfn.IFS(HR_Data[[#This Row],[Salary]]&gt;=100000,"A",HR_Data[[#This Row],[Salary]]&gt;=70000,"B",HR_Data[[#This Row],[Salary]]&gt;=50000,"C",TRUE(),"D")</f>
        <v>D</v>
      </c>
      <c r="V260" t="str">
        <f t="array" ref="V260">_xlfn.IFS(HR_Data[[#This Row],[Experience]]&gt;=15,"Expert",HR_Data[[#This Row],[Experience]]&gt;=8,"Senior",HR_Data[[#This Row],[Experience]]&gt;=3,"Mid-Level",TRUE(),"Junior")</f>
        <v>Mid-Level</v>
      </c>
    </row>
    <row r="261" spans="1:22" ht="14.25" customHeight="1" x14ac:dyDescent="0.3">
      <c r="A261" t="s">
        <v>697</v>
      </c>
      <c r="B261" t="s">
        <v>566</v>
      </c>
      <c r="C261" t="s">
        <v>134</v>
      </c>
      <c r="D261" t="s">
        <v>25</v>
      </c>
      <c r="E261">
        <v>32</v>
      </c>
      <c r="F261">
        <v>77280</v>
      </c>
      <c r="G261">
        <v>13</v>
      </c>
      <c r="H261" t="s">
        <v>698</v>
      </c>
      <c r="I261" t="s">
        <v>72</v>
      </c>
      <c r="J261" t="s">
        <v>36</v>
      </c>
      <c r="K261" t="s">
        <v>29</v>
      </c>
      <c r="L261" t="str">
        <f t="array" ref="L261">_xlfn.IFS(HR_Data[[#This Row],[Experience]]&lt;2,"0-2 Years",HR_Data[[#This Row],[Experience]]&lt;5,"2-5 Years",HR_Data[[#This Row],[Experience]]&lt;10,"5-10 Years",TRUE(),"10+ Years")</f>
        <v>10+ Years</v>
      </c>
      <c r="M261" t="str">
        <f t="array" ref="M261">_xlfn.IFS(HR_Data[[#This Row],[Salary]]&lt;40000,"Low",HR_Data[[#This Row],[Salary]]&lt;70000,"Medium",HR_Data[[#This Row],[Salary]]&lt;100000,"High",TRUE(),"Very High")</f>
        <v>High</v>
      </c>
      <c r="N261" t="str">
        <f t="array" ref="N261">_xlfn.IFS(HR_Data[[#This Row],[Age]]&lt;25,"18-24",HR_Data[[#This Row],[Age]]&lt;35,"25-34",HR_Data[[#This Row],[Age]]&lt;45,"35-44",TRUE(),"45+")</f>
        <v>25-34</v>
      </c>
      <c r="O261">
        <f>YEAR(HR_Data[[#This Row],[Joining Date]])</f>
        <v>2022</v>
      </c>
      <c r="P261" t="str">
        <f>TEXT(HR_Data[[#This Row],[Joining Date]],"mmmm")</f>
        <v>November</v>
      </c>
      <c r="Q261">
        <f t="array" ref="Q26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61">
        <f>HR_Data[[#This Row],[Salary]]*HR_Data[[#This Row],[Bonus %]]</f>
        <v>7728</v>
      </c>
      <c r="S261">
        <f>HR_Data[[#This Row],[Salary]]+HR_Data[[#This Row],[Bonus Amount]]</f>
        <v>85008</v>
      </c>
      <c r="T261" t="str">
        <f>IF(HR_Data[[#This Row],[Attrition]]="Yes","Inactive","Active")</f>
        <v>Active</v>
      </c>
      <c r="U261" t="str">
        <f t="array" ref="U261">_xlfn.IFS(HR_Data[[#This Row],[Salary]]&gt;=100000,"A",HR_Data[[#This Row],[Salary]]&gt;=70000,"B",HR_Data[[#This Row],[Salary]]&gt;=50000,"C",TRUE(),"D")</f>
        <v>B</v>
      </c>
      <c r="V261" t="str">
        <f t="array" ref="V261">_xlfn.IFS(HR_Data[[#This Row],[Experience]]&gt;=15,"Expert",HR_Data[[#This Row],[Experience]]&gt;=8,"Senior",HR_Data[[#This Row],[Experience]]&gt;=3,"Mid-Level",TRUE(),"Junior")</f>
        <v>Senior</v>
      </c>
    </row>
    <row r="262" spans="1:22" ht="14.25" customHeight="1" x14ac:dyDescent="0.3">
      <c r="A262" t="s">
        <v>699</v>
      </c>
      <c r="B262" t="s">
        <v>316</v>
      </c>
      <c r="C262" t="s">
        <v>70</v>
      </c>
      <c r="D262" t="s">
        <v>33</v>
      </c>
      <c r="E262">
        <v>44</v>
      </c>
      <c r="F262">
        <v>74520</v>
      </c>
      <c r="G262">
        <v>17</v>
      </c>
      <c r="H262" t="s">
        <v>700</v>
      </c>
      <c r="I262" t="s">
        <v>57</v>
      </c>
      <c r="J262" t="s">
        <v>90</v>
      </c>
      <c r="K262" t="s">
        <v>29</v>
      </c>
      <c r="L262" t="str">
        <f t="array" ref="L262">_xlfn.IFS(HR_Data[[#This Row],[Experience]]&lt;2,"0-2 Years",HR_Data[[#This Row],[Experience]]&lt;5,"2-5 Years",HR_Data[[#This Row],[Experience]]&lt;10,"5-10 Years",TRUE(),"10+ Years")</f>
        <v>10+ Years</v>
      </c>
      <c r="M262" t="str">
        <f t="array" ref="M262">_xlfn.IFS(HR_Data[[#This Row],[Salary]]&lt;40000,"Low",HR_Data[[#This Row],[Salary]]&lt;70000,"Medium",HR_Data[[#This Row],[Salary]]&lt;100000,"High",TRUE(),"Very High")</f>
        <v>High</v>
      </c>
      <c r="N262" t="str">
        <f t="array" ref="N262">_xlfn.IFS(HR_Data[[#This Row],[Age]]&lt;25,"18-24",HR_Data[[#This Row],[Age]]&lt;35,"25-34",HR_Data[[#This Row],[Age]]&lt;45,"35-44",TRUE(),"45+")</f>
        <v>35-44</v>
      </c>
      <c r="O262">
        <f>YEAR(HR_Data[[#This Row],[Joining Date]])</f>
        <v>2018</v>
      </c>
      <c r="P262" t="str">
        <f>TEXT(HR_Data[[#This Row],[Joining Date]],"mmmm")</f>
        <v>January</v>
      </c>
      <c r="Q262">
        <f t="array" ref="Q262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262">
        <f>HR_Data[[#This Row],[Salary]]*HR_Data[[#This Row],[Bonus %]]</f>
        <v>0</v>
      </c>
      <c r="S262">
        <f>HR_Data[[#This Row],[Salary]]+HR_Data[[#This Row],[Bonus Amount]]</f>
        <v>74520</v>
      </c>
      <c r="T262" t="str">
        <f>IF(HR_Data[[#This Row],[Attrition]]="Yes","Inactive","Active")</f>
        <v>Active</v>
      </c>
      <c r="U262" t="str">
        <f t="array" ref="U262">_xlfn.IFS(HR_Data[[#This Row],[Salary]]&gt;=100000,"A",HR_Data[[#This Row],[Salary]]&gt;=70000,"B",HR_Data[[#This Row],[Salary]]&gt;=50000,"C",TRUE(),"D")</f>
        <v>B</v>
      </c>
      <c r="V262" t="str">
        <f t="array" ref="V262">_xlfn.IFS(HR_Data[[#This Row],[Experience]]&gt;=15,"Expert",HR_Data[[#This Row],[Experience]]&gt;=8,"Senior",HR_Data[[#This Row],[Experience]]&gt;=3,"Mid-Level",TRUE(),"Junior")</f>
        <v>Expert</v>
      </c>
    </row>
    <row r="263" spans="1:22" ht="14.25" customHeight="1" x14ac:dyDescent="0.3">
      <c r="A263" t="s">
        <v>701</v>
      </c>
      <c r="B263" t="s">
        <v>436</v>
      </c>
      <c r="C263" t="s">
        <v>24</v>
      </c>
      <c r="D263" t="s">
        <v>25</v>
      </c>
      <c r="E263">
        <v>39</v>
      </c>
      <c r="F263">
        <v>56354</v>
      </c>
      <c r="G263">
        <v>9</v>
      </c>
      <c r="H263" t="s">
        <v>564</v>
      </c>
      <c r="I263" t="s">
        <v>62</v>
      </c>
      <c r="J263" t="s">
        <v>46</v>
      </c>
      <c r="K263" t="s">
        <v>29</v>
      </c>
      <c r="L263" t="str">
        <f t="array" ref="L263">_xlfn.IFS(HR_Data[[#This Row],[Experience]]&lt;2,"0-2 Years",HR_Data[[#This Row],[Experience]]&lt;5,"2-5 Years",HR_Data[[#This Row],[Experience]]&lt;10,"5-10 Years",TRUE(),"10+ Years")</f>
        <v>5-10 Years</v>
      </c>
      <c r="M263" t="str">
        <f t="array" ref="M263">_xlfn.IFS(HR_Data[[#This Row],[Salary]]&lt;40000,"Low",HR_Data[[#This Row],[Salary]]&lt;70000,"Medium",HR_Data[[#This Row],[Salary]]&lt;100000,"High",TRUE(),"Very High")</f>
        <v>Medium</v>
      </c>
      <c r="N263" t="str">
        <f t="array" ref="N263">_xlfn.IFS(HR_Data[[#This Row],[Age]]&lt;25,"18-24",HR_Data[[#This Row],[Age]]&lt;35,"25-34",HR_Data[[#This Row],[Age]]&lt;45,"35-44",TRUE(),"45+")</f>
        <v>35-44</v>
      </c>
      <c r="O263">
        <f>YEAR(HR_Data[[#This Row],[Joining Date]])</f>
        <v>2020</v>
      </c>
      <c r="P263" t="str">
        <f>TEXT(HR_Data[[#This Row],[Joining Date]],"mmmm")</f>
        <v>July</v>
      </c>
      <c r="Q263">
        <f t="array" ref="Q263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263">
        <f>HR_Data[[#This Row],[Salary]]*HR_Data[[#This Row],[Bonus %]]</f>
        <v>2817.7000000000003</v>
      </c>
      <c r="S263">
        <f>HR_Data[[#This Row],[Salary]]+HR_Data[[#This Row],[Bonus Amount]]</f>
        <v>59171.7</v>
      </c>
      <c r="T263" t="str">
        <f>IF(HR_Data[[#This Row],[Attrition]]="Yes","Inactive","Active")</f>
        <v>Active</v>
      </c>
      <c r="U263" t="str">
        <f t="array" ref="U263">_xlfn.IFS(HR_Data[[#This Row],[Salary]]&gt;=100000,"A",HR_Data[[#This Row],[Salary]]&gt;=70000,"B",HR_Data[[#This Row],[Salary]]&gt;=50000,"C",TRUE(),"D")</f>
        <v>C</v>
      </c>
      <c r="V263" t="str">
        <f t="array" ref="V263">_xlfn.IFS(HR_Data[[#This Row],[Experience]]&gt;=15,"Expert",HR_Data[[#This Row],[Experience]]&gt;=8,"Senior",HR_Data[[#This Row],[Experience]]&gt;=3,"Mid-Level",TRUE(),"Junior")</f>
        <v>Senior</v>
      </c>
    </row>
    <row r="264" spans="1:22" ht="14.25" customHeight="1" x14ac:dyDescent="0.3">
      <c r="A264" t="s">
        <v>702</v>
      </c>
      <c r="B264" t="s">
        <v>703</v>
      </c>
      <c r="C264" t="s">
        <v>93</v>
      </c>
      <c r="D264" t="s">
        <v>25</v>
      </c>
      <c r="E264">
        <v>50</v>
      </c>
      <c r="F264">
        <v>96274</v>
      </c>
      <c r="G264">
        <v>24</v>
      </c>
      <c r="H264" t="s">
        <v>704</v>
      </c>
      <c r="I264" t="s">
        <v>72</v>
      </c>
      <c r="J264" t="s">
        <v>36</v>
      </c>
      <c r="K264" t="s">
        <v>29</v>
      </c>
      <c r="L264" t="str">
        <f t="array" ref="L264">_xlfn.IFS(HR_Data[[#This Row],[Experience]]&lt;2,"0-2 Years",HR_Data[[#This Row],[Experience]]&lt;5,"2-5 Years",HR_Data[[#This Row],[Experience]]&lt;10,"5-10 Years",TRUE(),"10+ Years")</f>
        <v>10+ Years</v>
      </c>
      <c r="M264" t="str">
        <f t="array" ref="M264">_xlfn.IFS(HR_Data[[#This Row],[Salary]]&lt;40000,"Low",HR_Data[[#This Row],[Salary]]&lt;70000,"Medium",HR_Data[[#This Row],[Salary]]&lt;100000,"High",TRUE(),"Very High")</f>
        <v>High</v>
      </c>
      <c r="N264" t="str">
        <f t="array" ref="N264">_xlfn.IFS(HR_Data[[#This Row],[Age]]&lt;25,"18-24",HR_Data[[#This Row],[Age]]&lt;35,"25-34",HR_Data[[#This Row],[Age]]&lt;45,"35-44",TRUE(),"45+")</f>
        <v>45+</v>
      </c>
      <c r="O264">
        <f>YEAR(HR_Data[[#This Row],[Joining Date]])</f>
        <v>2017</v>
      </c>
      <c r="P264" t="str">
        <f>TEXT(HR_Data[[#This Row],[Joining Date]],"mmmm")</f>
        <v>February</v>
      </c>
      <c r="Q264">
        <f t="array" ref="Q264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64">
        <f>HR_Data[[#This Row],[Salary]]*HR_Data[[#This Row],[Bonus %]]</f>
        <v>9627.4</v>
      </c>
      <c r="S264">
        <f>HR_Data[[#This Row],[Salary]]+HR_Data[[#This Row],[Bonus Amount]]</f>
        <v>105901.4</v>
      </c>
      <c r="T264" t="str">
        <f>IF(HR_Data[[#This Row],[Attrition]]="Yes","Inactive","Active")</f>
        <v>Active</v>
      </c>
      <c r="U264" t="str">
        <f t="array" ref="U264">_xlfn.IFS(HR_Data[[#This Row],[Salary]]&gt;=100000,"A",HR_Data[[#This Row],[Salary]]&gt;=70000,"B",HR_Data[[#This Row],[Salary]]&gt;=50000,"C",TRUE(),"D")</f>
        <v>B</v>
      </c>
      <c r="V264" t="str">
        <f t="array" ref="V264">_xlfn.IFS(HR_Data[[#This Row],[Experience]]&gt;=15,"Expert",HR_Data[[#This Row],[Experience]]&gt;=8,"Senior",HR_Data[[#This Row],[Experience]]&gt;=3,"Mid-Level",TRUE(),"Junior")</f>
        <v>Expert</v>
      </c>
    </row>
    <row r="265" spans="1:22" ht="14.25" customHeight="1" x14ac:dyDescent="0.3">
      <c r="A265" t="s">
        <v>705</v>
      </c>
      <c r="B265" t="s">
        <v>406</v>
      </c>
      <c r="C265" t="s">
        <v>32</v>
      </c>
      <c r="D265" t="s">
        <v>33</v>
      </c>
      <c r="E265">
        <v>30</v>
      </c>
      <c r="F265">
        <v>25000</v>
      </c>
      <c r="G265">
        <v>0</v>
      </c>
      <c r="H265" t="s">
        <v>706</v>
      </c>
      <c r="I265" t="s">
        <v>62</v>
      </c>
      <c r="J265" t="s">
        <v>36</v>
      </c>
      <c r="K265" t="s">
        <v>29</v>
      </c>
      <c r="L265" t="str">
        <f t="array" ref="L265">_xlfn.IFS(HR_Data[[#This Row],[Experience]]&lt;2,"0-2 Years",HR_Data[[#This Row],[Experience]]&lt;5,"2-5 Years",HR_Data[[#This Row],[Experience]]&lt;10,"5-10 Years",TRUE(),"10+ Years")</f>
        <v>0-2 Years</v>
      </c>
      <c r="M265" t="str">
        <f t="array" ref="M265">_xlfn.IFS(HR_Data[[#This Row],[Salary]]&lt;40000,"Low",HR_Data[[#This Row],[Salary]]&lt;70000,"Medium",HR_Data[[#This Row],[Salary]]&lt;100000,"High",TRUE(),"Very High")</f>
        <v>Low</v>
      </c>
      <c r="N265" t="str">
        <f t="array" ref="N265">_xlfn.IFS(HR_Data[[#This Row],[Age]]&lt;25,"18-24",HR_Data[[#This Row],[Age]]&lt;35,"25-34",HR_Data[[#This Row],[Age]]&lt;45,"35-44",TRUE(),"45+")</f>
        <v>25-34</v>
      </c>
      <c r="O265">
        <f>YEAR(HR_Data[[#This Row],[Joining Date]])</f>
        <v>2025</v>
      </c>
      <c r="P265" t="str">
        <f>TEXT(HR_Data[[#This Row],[Joining Date]],"mmmm")</f>
        <v>April</v>
      </c>
      <c r="Q265">
        <f t="array" ref="Q26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65">
        <f>HR_Data[[#This Row],[Salary]]*HR_Data[[#This Row],[Bonus %]]</f>
        <v>2500</v>
      </c>
      <c r="S265">
        <f>HR_Data[[#This Row],[Salary]]+HR_Data[[#This Row],[Bonus Amount]]</f>
        <v>27500</v>
      </c>
      <c r="T265" t="str">
        <f>IF(HR_Data[[#This Row],[Attrition]]="Yes","Inactive","Active")</f>
        <v>Active</v>
      </c>
      <c r="U265" t="str">
        <f t="array" ref="U265">_xlfn.IFS(HR_Data[[#This Row],[Salary]]&gt;=100000,"A",HR_Data[[#This Row],[Salary]]&gt;=70000,"B",HR_Data[[#This Row],[Salary]]&gt;=50000,"C",TRUE(),"D")</f>
        <v>D</v>
      </c>
      <c r="V265" t="str">
        <f t="array" ref="V265">_xlfn.IFS(HR_Data[[#This Row],[Experience]]&gt;=15,"Expert",HR_Data[[#This Row],[Experience]]&gt;=8,"Senior",HR_Data[[#This Row],[Experience]]&gt;=3,"Mid-Level",TRUE(),"Junior")</f>
        <v>Junior</v>
      </c>
    </row>
    <row r="266" spans="1:22" ht="14.25" customHeight="1" x14ac:dyDescent="0.3">
      <c r="A266" t="s">
        <v>707</v>
      </c>
      <c r="B266" t="s">
        <v>471</v>
      </c>
      <c r="C266" t="s">
        <v>24</v>
      </c>
      <c r="D266" t="s">
        <v>25</v>
      </c>
      <c r="E266">
        <v>39</v>
      </c>
      <c r="F266">
        <v>67399</v>
      </c>
      <c r="G266">
        <v>13</v>
      </c>
      <c r="H266" t="s">
        <v>708</v>
      </c>
      <c r="I266" t="s">
        <v>67</v>
      </c>
      <c r="J266" t="s">
        <v>46</v>
      </c>
      <c r="K266" t="s">
        <v>29</v>
      </c>
      <c r="L266" t="str">
        <f t="array" ref="L266">_xlfn.IFS(HR_Data[[#This Row],[Experience]]&lt;2,"0-2 Years",HR_Data[[#This Row],[Experience]]&lt;5,"2-5 Years",HR_Data[[#This Row],[Experience]]&lt;10,"5-10 Years",TRUE(),"10+ Years")</f>
        <v>10+ Years</v>
      </c>
      <c r="M266" t="str">
        <f t="array" ref="M266">_xlfn.IFS(HR_Data[[#This Row],[Salary]]&lt;40000,"Low",HR_Data[[#This Row],[Salary]]&lt;70000,"Medium",HR_Data[[#This Row],[Salary]]&lt;100000,"High",TRUE(),"Very High")</f>
        <v>Medium</v>
      </c>
      <c r="N266" t="str">
        <f t="array" ref="N266">_xlfn.IFS(HR_Data[[#This Row],[Age]]&lt;25,"18-24",HR_Data[[#This Row],[Age]]&lt;35,"25-34",HR_Data[[#This Row],[Age]]&lt;45,"35-44",TRUE(),"45+")</f>
        <v>35-44</v>
      </c>
      <c r="O266">
        <f>YEAR(HR_Data[[#This Row],[Joining Date]])</f>
        <v>2022</v>
      </c>
      <c r="P266" t="str">
        <f>TEXT(HR_Data[[#This Row],[Joining Date]],"mmmm")</f>
        <v>March</v>
      </c>
      <c r="Q266">
        <f t="array" ref="Q266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266">
        <f>HR_Data[[#This Row],[Salary]]*HR_Data[[#This Row],[Bonus %]]</f>
        <v>3369.9500000000003</v>
      </c>
      <c r="S266">
        <f>HR_Data[[#This Row],[Salary]]+HR_Data[[#This Row],[Bonus Amount]]</f>
        <v>70768.95</v>
      </c>
      <c r="T266" t="str">
        <f>IF(HR_Data[[#This Row],[Attrition]]="Yes","Inactive","Active")</f>
        <v>Active</v>
      </c>
      <c r="U266" t="str">
        <f t="array" ref="U266">_xlfn.IFS(HR_Data[[#This Row],[Salary]]&gt;=100000,"A",HR_Data[[#This Row],[Salary]]&gt;=70000,"B",HR_Data[[#This Row],[Salary]]&gt;=50000,"C",TRUE(),"D")</f>
        <v>C</v>
      </c>
      <c r="V266" t="str">
        <f t="array" ref="V266">_xlfn.IFS(HR_Data[[#This Row],[Experience]]&gt;=15,"Expert",HR_Data[[#This Row],[Experience]]&gt;=8,"Senior",HR_Data[[#This Row],[Experience]]&gt;=3,"Mid-Level",TRUE(),"Junior")</f>
        <v>Senior</v>
      </c>
    </row>
    <row r="267" spans="1:22" ht="14.25" customHeight="1" x14ac:dyDescent="0.3">
      <c r="A267" t="s">
        <v>709</v>
      </c>
      <c r="B267" t="s">
        <v>398</v>
      </c>
      <c r="C267" t="s">
        <v>93</v>
      </c>
      <c r="D267" t="s">
        <v>33</v>
      </c>
      <c r="E267">
        <v>22</v>
      </c>
      <c r="F267">
        <v>29862</v>
      </c>
      <c r="G267">
        <v>3</v>
      </c>
      <c r="H267" t="s">
        <v>710</v>
      </c>
      <c r="I267" t="s">
        <v>62</v>
      </c>
      <c r="J267" t="s">
        <v>63</v>
      </c>
      <c r="K267" t="s">
        <v>29</v>
      </c>
      <c r="L267" t="str">
        <f t="array" ref="L267">_xlfn.IFS(HR_Data[[#This Row],[Experience]]&lt;2,"0-2 Years",HR_Data[[#This Row],[Experience]]&lt;5,"2-5 Years",HR_Data[[#This Row],[Experience]]&lt;10,"5-10 Years",TRUE(),"10+ Years")</f>
        <v>2-5 Years</v>
      </c>
      <c r="M267" t="str">
        <f t="array" ref="M267">_xlfn.IFS(HR_Data[[#This Row],[Salary]]&lt;40000,"Low",HR_Data[[#This Row],[Salary]]&lt;70000,"Medium",HR_Data[[#This Row],[Salary]]&lt;100000,"High",TRUE(),"Very High")</f>
        <v>Low</v>
      </c>
      <c r="N267" t="str">
        <f t="array" ref="N267">_xlfn.IFS(HR_Data[[#This Row],[Age]]&lt;25,"18-24",HR_Data[[#This Row],[Age]]&lt;35,"25-34",HR_Data[[#This Row],[Age]]&lt;45,"35-44",TRUE(),"45+")</f>
        <v>18-24</v>
      </c>
      <c r="O267">
        <f>YEAR(HR_Data[[#This Row],[Joining Date]])</f>
        <v>2025</v>
      </c>
      <c r="P267" t="str">
        <f>TEXT(HR_Data[[#This Row],[Joining Date]],"mmmm")</f>
        <v>April</v>
      </c>
      <c r="Q267">
        <f t="array" ref="Q267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267">
        <f>HR_Data[[#This Row],[Salary]]*HR_Data[[#This Row],[Bonus %]]</f>
        <v>5972.4000000000005</v>
      </c>
      <c r="S267">
        <f>HR_Data[[#This Row],[Salary]]+HR_Data[[#This Row],[Bonus Amount]]</f>
        <v>35834.400000000001</v>
      </c>
      <c r="T267" t="str">
        <f>IF(HR_Data[[#This Row],[Attrition]]="Yes","Inactive","Active")</f>
        <v>Active</v>
      </c>
      <c r="U267" t="str">
        <f t="array" ref="U267">_xlfn.IFS(HR_Data[[#This Row],[Salary]]&gt;=100000,"A",HR_Data[[#This Row],[Salary]]&gt;=70000,"B",HR_Data[[#This Row],[Salary]]&gt;=50000,"C",TRUE(),"D")</f>
        <v>D</v>
      </c>
      <c r="V267" t="str">
        <f t="array" ref="V267">_xlfn.IFS(HR_Data[[#This Row],[Experience]]&gt;=15,"Expert",HR_Data[[#This Row],[Experience]]&gt;=8,"Senior",HR_Data[[#This Row],[Experience]]&gt;=3,"Mid-Level",TRUE(),"Junior")</f>
        <v>Mid-Level</v>
      </c>
    </row>
    <row r="268" spans="1:22" ht="14.25" customHeight="1" x14ac:dyDescent="0.3">
      <c r="A268" t="s">
        <v>711</v>
      </c>
      <c r="B268" t="s">
        <v>51</v>
      </c>
      <c r="C268" t="s">
        <v>55</v>
      </c>
      <c r="D268" t="s">
        <v>25</v>
      </c>
      <c r="E268">
        <v>42</v>
      </c>
      <c r="F268">
        <v>59722</v>
      </c>
      <c r="G268">
        <v>12</v>
      </c>
      <c r="H268" t="s">
        <v>712</v>
      </c>
      <c r="I268" t="s">
        <v>42</v>
      </c>
      <c r="J268" t="s">
        <v>28</v>
      </c>
      <c r="K268" t="s">
        <v>29</v>
      </c>
      <c r="L268" t="str">
        <f t="array" ref="L268">_xlfn.IFS(HR_Data[[#This Row],[Experience]]&lt;2,"0-2 Years",HR_Data[[#This Row],[Experience]]&lt;5,"2-5 Years",HR_Data[[#This Row],[Experience]]&lt;10,"5-10 Years",TRUE(),"10+ Years")</f>
        <v>10+ Years</v>
      </c>
      <c r="M268" t="str">
        <f t="array" ref="M268">_xlfn.IFS(HR_Data[[#This Row],[Salary]]&lt;40000,"Low",HR_Data[[#This Row],[Salary]]&lt;70000,"Medium",HR_Data[[#This Row],[Salary]]&lt;100000,"High",TRUE(),"Very High")</f>
        <v>Medium</v>
      </c>
      <c r="N268" t="str">
        <f t="array" ref="N268">_xlfn.IFS(HR_Data[[#This Row],[Age]]&lt;25,"18-24",HR_Data[[#This Row],[Age]]&lt;35,"25-34",HR_Data[[#This Row],[Age]]&lt;45,"35-44",TRUE(),"45+")</f>
        <v>35-44</v>
      </c>
      <c r="O268">
        <f>YEAR(HR_Data[[#This Row],[Joining Date]])</f>
        <v>2021</v>
      </c>
      <c r="P268" t="str">
        <f>TEXT(HR_Data[[#This Row],[Joining Date]],"mmmm")</f>
        <v>October</v>
      </c>
      <c r="Q268">
        <f t="array" ref="Q268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68">
        <f>HR_Data[[#This Row],[Salary]]*HR_Data[[#This Row],[Bonus %]]</f>
        <v>8958.2999999999993</v>
      </c>
      <c r="S268">
        <f>HR_Data[[#This Row],[Salary]]+HR_Data[[#This Row],[Bonus Amount]]</f>
        <v>68680.3</v>
      </c>
      <c r="T268" t="str">
        <f>IF(HR_Data[[#This Row],[Attrition]]="Yes","Inactive","Active")</f>
        <v>Active</v>
      </c>
      <c r="U268" t="str">
        <f t="array" ref="U268">_xlfn.IFS(HR_Data[[#This Row],[Salary]]&gt;=100000,"A",HR_Data[[#This Row],[Salary]]&gt;=70000,"B",HR_Data[[#This Row],[Salary]]&gt;=50000,"C",TRUE(),"D")</f>
        <v>C</v>
      </c>
      <c r="V268" t="str">
        <f t="array" ref="V268">_xlfn.IFS(HR_Data[[#This Row],[Experience]]&gt;=15,"Expert",HR_Data[[#This Row],[Experience]]&gt;=8,"Senior",HR_Data[[#This Row],[Experience]]&gt;=3,"Mid-Level",TRUE(),"Junior")</f>
        <v>Senior</v>
      </c>
    </row>
    <row r="269" spans="1:22" ht="14.25" customHeight="1" x14ac:dyDescent="0.3">
      <c r="A269" t="s">
        <v>713</v>
      </c>
      <c r="B269" t="s">
        <v>121</v>
      </c>
      <c r="C269" t="s">
        <v>40</v>
      </c>
      <c r="D269" t="s">
        <v>33</v>
      </c>
      <c r="E269">
        <v>52</v>
      </c>
      <c r="F269">
        <v>96023</v>
      </c>
      <c r="G269">
        <v>23</v>
      </c>
      <c r="H269" t="s">
        <v>714</v>
      </c>
      <c r="I269" t="s">
        <v>27</v>
      </c>
      <c r="J269" t="s">
        <v>28</v>
      </c>
      <c r="K269" t="s">
        <v>29</v>
      </c>
      <c r="L269" t="str">
        <f t="array" ref="L269">_xlfn.IFS(HR_Data[[#This Row],[Experience]]&lt;2,"0-2 Years",HR_Data[[#This Row],[Experience]]&lt;5,"2-5 Years",HR_Data[[#This Row],[Experience]]&lt;10,"5-10 Years",TRUE(),"10+ Years")</f>
        <v>10+ Years</v>
      </c>
      <c r="M269" t="str">
        <f t="array" ref="M269">_xlfn.IFS(HR_Data[[#This Row],[Salary]]&lt;40000,"Low",HR_Data[[#This Row],[Salary]]&lt;70000,"Medium",HR_Data[[#This Row],[Salary]]&lt;100000,"High",TRUE(),"Very High")</f>
        <v>High</v>
      </c>
      <c r="N269" t="str">
        <f t="array" ref="N269">_xlfn.IFS(HR_Data[[#This Row],[Age]]&lt;25,"18-24",HR_Data[[#This Row],[Age]]&lt;35,"25-34",HR_Data[[#This Row],[Age]]&lt;45,"35-44",TRUE(),"45+")</f>
        <v>45+</v>
      </c>
      <c r="O269">
        <f>YEAR(HR_Data[[#This Row],[Joining Date]])</f>
        <v>2016</v>
      </c>
      <c r="P269" t="str">
        <f>TEXT(HR_Data[[#This Row],[Joining Date]],"mmmm")</f>
        <v>February</v>
      </c>
      <c r="Q269">
        <f t="array" ref="Q26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69">
        <f>HR_Data[[#This Row],[Salary]]*HR_Data[[#This Row],[Bonus %]]</f>
        <v>14403.449999999999</v>
      </c>
      <c r="S269">
        <f>HR_Data[[#This Row],[Salary]]+HR_Data[[#This Row],[Bonus Amount]]</f>
        <v>110426.45</v>
      </c>
      <c r="T269" t="str">
        <f>IF(HR_Data[[#This Row],[Attrition]]="Yes","Inactive","Active")</f>
        <v>Active</v>
      </c>
      <c r="U269" t="str">
        <f t="array" ref="U269">_xlfn.IFS(HR_Data[[#This Row],[Salary]]&gt;=100000,"A",HR_Data[[#This Row],[Salary]]&gt;=70000,"B",HR_Data[[#This Row],[Salary]]&gt;=50000,"C",TRUE(),"D")</f>
        <v>B</v>
      </c>
      <c r="V269" t="str">
        <f t="array" ref="V269">_xlfn.IFS(HR_Data[[#This Row],[Experience]]&gt;=15,"Expert",HR_Data[[#This Row],[Experience]]&gt;=8,"Senior",HR_Data[[#This Row],[Experience]]&gt;=3,"Mid-Level",TRUE(),"Junior")</f>
        <v>Expert</v>
      </c>
    </row>
    <row r="270" spans="1:22" ht="14.25" customHeight="1" x14ac:dyDescent="0.3">
      <c r="A270" t="s">
        <v>715</v>
      </c>
      <c r="B270" t="s">
        <v>273</v>
      </c>
      <c r="C270" t="s">
        <v>112</v>
      </c>
      <c r="D270" t="s">
        <v>25</v>
      </c>
      <c r="E270">
        <v>39</v>
      </c>
      <c r="F270">
        <v>61153</v>
      </c>
      <c r="G270">
        <v>13</v>
      </c>
      <c r="H270" t="s">
        <v>716</v>
      </c>
      <c r="I270" t="s">
        <v>42</v>
      </c>
      <c r="J270" t="s">
        <v>36</v>
      </c>
      <c r="K270" t="s">
        <v>29</v>
      </c>
      <c r="L270" t="str">
        <f t="array" ref="L270">_xlfn.IFS(HR_Data[[#This Row],[Experience]]&lt;2,"0-2 Years",HR_Data[[#This Row],[Experience]]&lt;5,"2-5 Years",HR_Data[[#This Row],[Experience]]&lt;10,"5-10 Years",TRUE(),"10+ Years")</f>
        <v>10+ Years</v>
      </c>
      <c r="M270" t="str">
        <f t="array" ref="M270">_xlfn.IFS(HR_Data[[#This Row],[Salary]]&lt;40000,"Low",HR_Data[[#This Row],[Salary]]&lt;70000,"Medium",HR_Data[[#This Row],[Salary]]&lt;100000,"High",TRUE(),"Very High")</f>
        <v>Medium</v>
      </c>
      <c r="N270" t="str">
        <f t="array" ref="N270">_xlfn.IFS(HR_Data[[#This Row],[Age]]&lt;25,"18-24",HR_Data[[#This Row],[Age]]&lt;35,"25-34",HR_Data[[#This Row],[Age]]&lt;45,"35-44",TRUE(),"45+")</f>
        <v>35-44</v>
      </c>
      <c r="O270">
        <f>YEAR(HR_Data[[#This Row],[Joining Date]])</f>
        <v>2017</v>
      </c>
      <c r="P270" t="str">
        <f>TEXT(HR_Data[[#This Row],[Joining Date]],"mmmm")</f>
        <v>December</v>
      </c>
      <c r="Q270">
        <f t="array" ref="Q27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70">
        <f>HR_Data[[#This Row],[Salary]]*HR_Data[[#This Row],[Bonus %]]</f>
        <v>6115.3</v>
      </c>
      <c r="S270">
        <f>HR_Data[[#This Row],[Salary]]+HR_Data[[#This Row],[Bonus Amount]]</f>
        <v>67268.3</v>
      </c>
      <c r="T270" t="str">
        <f>IF(HR_Data[[#This Row],[Attrition]]="Yes","Inactive","Active")</f>
        <v>Active</v>
      </c>
      <c r="U270" t="str">
        <f t="array" ref="U270">_xlfn.IFS(HR_Data[[#This Row],[Salary]]&gt;=100000,"A",HR_Data[[#This Row],[Salary]]&gt;=70000,"B",HR_Data[[#This Row],[Salary]]&gt;=50000,"C",TRUE(),"D")</f>
        <v>C</v>
      </c>
      <c r="V270" t="str">
        <f t="array" ref="V270">_xlfn.IFS(HR_Data[[#This Row],[Experience]]&gt;=15,"Expert",HR_Data[[#This Row],[Experience]]&gt;=8,"Senior",HR_Data[[#This Row],[Experience]]&gt;=3,"Mid-Level",TRUE(),"Junior")</f>
        <v>Senior</v>
      </c>
    </row>
    <row r="271" spans="1:22" ht="14.25" customHeight="1" x14ac:dyDescent="0.3">
      <c r="A271" t="s">
        <v>717</v>
      </c>
      <c r="B271" t="s">
        <v>718</v>
      </c>
      <c r="C271" t="s">
        <v>55</v>
      </c>
      <c r="D271" t="s">
        <v>25</v>
      </c>
      <c r="E271">
        <v>57</v>
      </c>
      <c r="F271">
        <v>107731</v>
      </c>
      <c r="G271">
        <v>27</v>
      </c>
      <c r="H271" t="s">
        <v>246</v>
      </c>
      <c r="I271" t="s">
        <v>80</v>
      </c>
      <c r="J271" t="s">
        <v>63</v>
      </c>
      <c r="K271" t="s">
        <v>29</v>
      </c>
      <c r="L271" t="str">
        <f t="array" ref="L271">_xlfn.IFS(HR_Data[[#This Row],[Experience]]&lt;2,"0-2 Years",HR_Data[[#This Row],[Experience]]&lt;5,"2-5 Years",HR_Data[[#This Row],[Experience]]&lt;10,"5-10 Years",TRUE(),"10+ Years")</f>
        <v>10+ Years</v>
      </c>
      <c r="M271" t="str">
        <f t="array" ref="M271">_xlfn.IFS(HR_Data[[#This Row],[Salary]]&lt;40000,"Low",HR_Data[[#This Row],[Salary]]&lt;70000,"Medium",HR_Data[[#This Row],[Salary]]&lt;100000,"High",TRUE(),"Very High")</f>
        <v>Very High</v>
      </c>
      <c r="N271" t="str">
        <f t="array" ref="N271">_xlfn.IFS(HR_Data[[#This Row],[Age]]&lt;25,"18-24",HR_Data[[#This Row],[Age]]&lt;35,"25-34",HR_Data[[#This Row],[Age]]&lt;45,"35-44",TRUE(),"45+")</f>
        <v>45+</v>
      </c>
      <c r="O271">
        <f>YEAR(HR_Data[[#This Row],[Joining Date]])</f>
        <v>2025</v>
      </c>
      <c r="P271" t="str">
        <f>TEXT(HR_Data[[#This Row],[Joining Date]],"mmmm")</f>
        <v>September</v>
      </c>
      <c r="Q271">
        <f t="array" ref="Q271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271">
        <f>HR_Data[[#This Row],[Salary]]*HR_Data[[#This Row],[Bonus %]]</f>
        <v>21546.2</v>
      </c>
      <c r="S271">
        <f>HR_Data[[#This Row],[Salary]]+HR_Data[[#This Row],[Bonus Amount]]</f>
        <v>129277.2</v>
      </c>
      <c r="T271" t="str">
        <f>IF(HR_Data[[#This Row],[Attrition]]="Yes","Inactive","Active")</f>
        <v>Active</v>
      </c>
      <c r="U271" t="str">
        <f t="array" ref="U271">_xlfn.IFS(HR_Data[[#This Row],[Salary]]&gt;=100000,"A",HR_Data[[#This Row],[Salary]]&gt;=70000,"B",HR_Data[[#This Row],[Salary]]&gt;=50000,"C",TRUE(),"D")</f>
        <v>A</v>
      </c>
      <c r="V271" t="str">
        <f t="array" ref="V271">_xlfn.IFS(HR_Data[[#This Row],[Experience]]&gt;=15,"Expert",HR_Data[[#This Row],[Experience]]&gt;=8,"Senior",HR_Data[[#This Row],[Experience]]&gt;=3,"Mid-Level",TRUE(),"Junior")</f>
        <v>Expert</v>
      </c>
    </row>
    <row r="272" spans="1:22" ht="14.25" customHeight="1" x14ac:dyDescent="0.3">
      <c r="A272" t="s">
        <v>719</v>
      </c>
      <c r="B272" t="s">
        <v>412</v>
      </c>
      <c r="C272" t="s">
        <v>93</v>
      </c>
      <c r="D272" t="s">
        <v>25</v>
      </c>
      <c r="E272">
        <v>33</v>
      </c>
      <c r="F272">
        <v>46962</v>
      </c>
      <c r="G272">
        <v>8</v>
      </c>
      <c r="H272" t="s">
        <v>720</v>
      </c>
      <c r="I272" t="s">
        <v>57</v>
      </c>
      <c r="J272" t="s">
        <v>63</v>
      </c>
      <c r="K272" t="s">
        <v>29</v>
      </c>
      <c r="L272" t="str">
        <f t="array" ref="L272">_xlfn.IFS(HR_Data[[#This Row],[Experience]]&lt;2,"0-2 Years",HR_Data[[#This Row],[Experience]]&lt;5,"2-5 Years",HR_Data[[#This Row],[Experience]]&lt;10,"5-10 Years",TRUE(),"10+ Years")</f>
        <v>5-10 Years</v>
      </c>
      <c r="M272" t="str">
        <f t="array" ref="M272">_xlfn.IFS(HR_Data[[#This Row],[Salary]]&lt;40000,"Low",HR_Data[[#This Row],[Salary]]&lt;70000,"Medium",HR_Data[[#This Row],[Salary]]&lt;100000,"High",TRUE(),"Very High")</f>
        <v>Medium</v>
      </c>
      <c r="N272" t="str">
        <f t="array" ref="N272">_xlfn.IFS(HR_Data[[#This Row],[Age]]&lt;25,"18-24",HR_Data[[#This Row],[Age]]&lt;35,"25-34",HR_Data[[#This Row],[Age]]&lt;45,"35-44",TRUE(),"45+")</f>
        <v>25-34</v>
      </c>
      <c r="O272">
        <f>YEAR(HR_Data[[#This Row],[Joining Date]])</f>
        <v>2018</v>
      </c>
      <c r="P272" t="str">
        <f>TEXT(HR_Data[[#This Row],[Joining Date]],"mmmm")</f>
        <v>March</v>
      </c>
      <c r="Q272">
        <f t="array" ref="Q272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272">
        <f>HR_Data[[#This Row],[Salary]]*HR_Data[[#This Row],[Bonus %]]</f>
        <v>9392.4</v>
      </c>
      <c r="S272">
        <f>HR_Data[[#This Row],[Salary]]+HR_Data[[#This Row],[Bonus Amount]]</f>
        <v>56354.400000000001</v>
      </c>
      <c r="T272" t="str">
        <f>IF(HR_Data[[#This Row],[Attrition]]="Yes","Inactive","Active")</f>
        <v>Active</v>
      </c>
      <c r="U272" t="str">
        <f t="array" ref="U272">_xlfn.IFS(HR_Data[[#This Row],[Salary]]&gt;=100000,"A",HR_Data[[#This Row],[Salary]]&gt;=70000,"B",HR_Data[[#This Row],[Salary]]&gt;=50000,"C",TRUE(),"D")</f>
        <v>D</v>
      </c>
      <c r="V272" t="str">
        <f t="array" ref="V272">_xlfn.IFS(HR_Data[[#This Row],[Experience]]&gt;=15,"Expert",HR_Data[[#This Row],[Experience]]&gt;=8,"Senior",HR_Data[[#This Row],[Experience]]&gt;=3,"Mid-Level",TRUE(),"Junior")</f>
        <v>Senior</v>
      </c>
    </row>
    <row r="273" spans="1:22" ht="14.25" customHeight="1" x14ac:dyDescent="0.3">
      <c r="A273" t="s">
        <v>721</v>
      </c>
      <c r="B273" t="s">
        <v>722</v>
      </c>
      <c r="C273" t="s">
        <v>32</v>
      </c>
      <c r="D273" t="s">
        <v>25</v>
      </c>
      <c r="E273">
        <v>34</v>
      </c>
      <c r="F273">
        <v>60296</v>
      </c>
      <c r="G273">
        <v>9</v>
      </c>
      <c r="H273" t="s">
        <v>338</v>
      </c>
      <c r="I273" t="s">
        <v>62</v>
      </c>
      <c r="J273" t="s">
        <v>63</v>
      </c>
      <c r="K273" t="s">
        <v>37</v>
      </c>
      <c r="L273" t="str">
        <f t="array" ref="L273">_xlfn.IFS(HR_Data[[#This Row],[Experience]]&lt;2,"0-2 Years",HR_Data[[#This Row],[Experience]]&lt;5,"2-5 Years",HR_Data[[#This Row],[Experience]]&lt;10,"5-10 Years",TRUE(),"10+ Years")</f>
        <v>5-10 Years</v>
      </c>
      <c r="M273" t="str">
        <f t="array" ref="M273">_xlfn.IFS(HR_Data[[#This Row],[Salary]]&lt;40000,"Low",HR_Data[[#This Row],[Salary]]&lt;70000,"Medium",HR_Data[[#This Row],[Salary]]&lt;100000,"High",TRUE(),"Very High")</f>
        <v>Medium</v>
      </c>
      <c r="N273" t="str">
        <f t="array" ref="N273">_xlfn.IFS(HR_Data[[#This Row],[Age]]&lt;25,"18-24",HR_Data[[#This Row],[Age]]&lt;35,"25-34",HR_Data[[#This Row],[Age]]&lt;45,"35-44",TRUE(),"45+")</f>
        <v>25-34</v>
      </c>
      <c r="O273">
        <f>YEAR(HR_Data[[#This Row],[Joining Date]])</f>
        <v>2019</v>
      </c>
      <c r="P273" t="str">
        <f>TEXT(HR_Data[[#This Row],[Joining Date]],"mmmm")</f>
        <v>November</v>
      </c>
      <c r="Q273">
        <f t="array" ref="Q273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273">
        <f>HR_Data[[#This Row],[Salary]]*HR_Data[[#This Row],[Bonus %]]</f>
        <v>12059.2</v>
      </c>
      <c r="S273">
        <f>HR_Data[[#This Row],[Salary]]+HR_Data[[#This Row],[Bonus Amount]]</f>
        <v>72355.199999999997</v>
      </c>
      <c r="T273" t="str">
        <f>IF(HR_Data[[#This Row],[Attrition]]="Yes","Inactive","Active")</f>
        <v>Inactive</v>
      </c>
      <c r="U273" t="str">
        <f t="array" ref="U273">_xlfn.IFS(HR_Data[[#This Row],[Salary]]&gt;=100000,"A",HR_Data[[#This Row],[Salary]]&gt;=70000,"B",HR_Data[[#This Row],[Salary]]&gt;=50000,"C",TRUE(),"D")</f>
        <v>C</v>
      </c>
      <c r="V273" t="str">
        <f t="array" ref="V273">_xlfn.IFS(HR_Data[[#This Row],[Experience]]&gt;=15,"Expert",HR_Data[[#This Row],[Experience]]&gt;=8,"Senior",HR_Data[[#This Row],[Experience]]&gt;=3,"Mid-Level",TRUE(),"Junior")</f>
        <v>Senior</v>
      </c>
    </row>
    <row r="274" spans="1:22" ht="14.25" customHeight="1" x14ac:dyDescent="0.3">
      <c r="A274" t="s">
        <v>723</v>
      </c>
      <c r="B274" t="s">
        <v>724</v>
      </c>
      <c r="C274" t="s">
        <v>24</v>
      </c>
      <c r="D274" t="s">
        <v>25</v>
      </c>
      <c r="E274">
        <v>41</v>
      </c>
      <c r="F274">
        <v>89119</v>
      </c>
      <c r="G274">
        <v>20</v>
      </c>
      <c r="H274" t="s">
        <v>725</v>
      </c>
      <c r="I274" t="s">
        <v>27</v>
      </c>
      <c r="J274" t="s">
        <v>36</v>
      </c>
      <c r="K274" t="s">
        <v>29</v>
      </c>
      <c r="L274" t="str">
        <f t="array" ref="L274">_xlfn.IFS(HR_Data[[#This Row],[Experience]]&lt;2,"0-2 Years",HR_Data[[#This Row],[Experience]]&lt;5,"2-5 Years",HR_Data[[#This Row],[Experience]]&lt;10,"5-10 Years",TRUE(),"10+ Years")</f>
        <v>10+ Years</v>
      </c>
      <c r="M274" t="str">
        <f t="array" ref="M274">_xlfn.IFS(HR_Data[[#This Row],[Salary]]&lt;40000,"Low",HR_Data[[#This Row],[Salary]]&lt;70000,"Medium",HR_Data[[#This Row],[Salary]]&lt;100000,"High",TRUE(),"Very High")</f>
        <v>High</v>
      </c>
      <c r="N274" t="str">
        <f t="array" ref="N274">_xlfn.IFS(HR_Data[[#This Row],[Age]]&lt;25,"18-24",HR_Data[[#This Row],[Age]]&lt;35,"25-34",HR_Data[[#This Row],[Age]]&lt;45,"35-44",TRUE(),"45+")</f>
        <v>35-44</v>
      </c>
      <c r="O274">
        <f>YEAR(HR_Data[[#This Row],[Joining Date]])</f>
        <v>2021</v>
      </c>
      <c r="P274" t="str">
        <f>TEXT(HR_Data[[#This Row],[Joining Date]],"mmmm")</f>
        <v>March</v>
      </c>
      <c r="Q274">
        <f t="array" ref="Q274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74">
        <f>HR_Data[[#This Row],[Salary]]*HR_Data[[#This Row],[Bonus %]]</f>
        <v>8911.9</v>
      </c>
      <c r="S274">
        <f>HR_Data[[#This Row],[Salary]]+HR_Data[[#This Row],[Bonus Amount]]</f>
        <v>98030.9</v>
      </c>
      <c r="T274" t="str">
        <f>IF(HR_Data[[#This Row],[Attrition]]="Yes","Inactive","Active")</f>
        <v>Active</v>
      </c>
      <c r="U274" t="str">
        <f t="array" ref="U274">_xlfn.IFS(HR_Data[[#This Row],[Salary]]&gt;=100000,"A",HR_Data[[#This Row],[Salary]]&gt;=70000,"B",HR_Data[[#This Row],[Salary]]&gt;=50000,"C",TRUE(),"D")</f>
        <v>B</v>
      </c>
      <c r="V274" t="str">
        <f t="array" ref="V274">_xlfn.IFS(HR_Data[[#This Row],[Experience]]&gt;=15,"Expert",HR_Data[[#This Row],[Experience]]&gt;=8,"Senior",HR_Data[[#This Row],[Experience]]&gt;=3,"Mid-Level",TRUE(),"Junior")</f>
        <v>Expert</v>
      </c>
    </row>
    <row r="275" spans="1:22" ht="14.25" customHeight="1" x14ac:dyDescent="0.3">
      <c r="A275" t="s">
        <v>726</v>
      </c>
      <c r="B275" t="s">
        <v>727</v>
      </c>
      <c r="C275" t="s">
        <v>93</v>
      </c>
      <c r="D275" t="s">
        <v>25</v>
      </c>
      <c r="E275">
        <v>41</v>
      </c>
      <c r="F275">
        <v>94765</v>
      </c>
      <c r="G275">
        <v>19</v>
      </c>
      <c r="H275" t="s">
        <v>728</v>
      </c>
      <c r="I275" t="s">
        <v>42</v>
      </c>
      <c r="J275" t="s">
        <v>28</v>
      </c>
      <c r="K275" t="s">
        <v>29</v>
      </c>
      <c r="L275" t="str">
        <f t="array" ref="L275">_xlfn.IFS(HR_Data[[#This Row],[Experience]]&lt;2,"0-2 Years",HR_Data[[#This Row],[Experience]]&lt;5,"2-5 Years",HR_Data[[#This Row],[Experience]]&lt;10,"5-10 Years",TRUE(),"10+ Years")</f>
        <v>10+ Years</v>
      </c>
      <c r="M275" t="str">
        <f t="array" ref="M275">_xlfn.IFS(HR_Data[[#This Row],[Salary]]&lt;40000,"Low",HR_Data[[#This Row],[Salary]]&lt;70000,"Medium",HR_Data[[#This Row],[Salary]]&lt;100000,"High",TRUE(),"Very High")</f>
        <v>High</v>
      </c>
      <c r="N275" t="str">
        <f t="array" ref="N275">_xlfn.IFS(HR_Data[[#This Row],[Age]]&lt;25,"18-24",HR_Data[[#This Row],[Age]]&lt;35,"25-34",HR_Data[[#This Row],[Age]]&lt;45,"35-44",TRUE(),"45+")</f>
        <v>35-44</v>
      </c>
      <c r="O275">
        <f>YEAR(HR_Data[[#This Row],[Joining Date]])</f>
        <v>2026</v>
      </c>
      <c r="P275" t="str">
        <f>TEXT(HR_Data[[#This Row],[Joining Date]],"mmmm")</f>
        <v>June</v>
      </c>
      <c r="Q275">
        <f t="array" ref="Q275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75">
        <f>HR_Data[[#This Row],[Salary]]*HR_Data[[#This Row],[Bonus %]]</f>
        <v>14214.75</v>
      </c>
      <c r="S275">
        <f>HR_Data[[#This Row],[Salary]]+HR_Data[[#This Row],[Bonus Amount]]</f>
        <v>108979.75</v>
      </c>
      <c r="T275" t="str">
        <f>IF(HR_Data[[#This Row],[Attrition]]="Yes","Inactive","Active")</f>
        <v>Active</v>
      </c>
      <c r="U275" t="str">
        <f t="array" ref="U275">_xlfn.IFS(HR_Data[[#This Row],[Salary]]&gt;=100000,"A",HR_Data[[#This Row],[Salary]]&gt;=70000,"B",HR_Data[[#This Row],[Salary]]&gt;=50000,"C",TRUE(),"D")</f>
        <v>B</v>
      </c>
      <c r="V275" t="str">
        <f t="array" ref="V275">_xlfn.IFS(HR_Data[[#This Row],[Experience]]&gt;=15,"Expert",HR_Data[[#This Row],[Experience]]&gt;=8,"Senior",HR_Data[[#This Row],[Experience]]&gt;=3,"Mid-Level",TRUE(),"Junior")</f>
        <v>Expert</v>
      </c>
    </row>
    <row r="276" spans="1:22" ht="14.25" customHeight="1" x14ac:dyDescent="0.3">
      <c r="A276" t="s">
        <v>729</v>
      </c>
      <c r="B276" t="s">
        <v>468</v>
      </c>
      <c r="C276" t="s">
        <v>70</v>
      </c>
      <c r="D276" t="s">
        <v>25</v>
      </c>
      <c r="E276">
        <v>41</v>
      </c>
      <c r="F276">
        <v>84461</v>
      </c>
      <c r="G276">
        <v>15</v>
      </c>
      <c r="H276" t="s">
        <v>730</v>
      </c>
      <c r="I276" t="s">
        <v>72</v>
      </c>
      <c r="J276" t="s">
        <v>36</v>
      </c>
      <c r="K276" t="s">
        <v>29</v>
      </c>
      <c r="L276" t="str">
        <f t="array" ref="L276">_xlfn.IFS(HR_Data[[#This Row],[Experience]]&lt;2,"0-2 Years",HR_Data[[#This Row],[Experience]]&lt;5,"2-5 Years",HR_Data[[#This Row],[Experience]]&lt;10,"5-10 Years",TRUE(),"10+ Years")</f>
        <v>10+ Years</v>
      </c>
      <c r="M276" t="str">
        <f t="array" ref="M276">_xlfn.IFS(HR_Data[[#This Row],[Salary]]&lt;40000,"Low",HR_Data[[#This Row],[Salary]]&lt;70000,"Medium",HR_Data[[#This Row],[Salary]]&lt;100000,"High",TRUE(),"Very High")</f>
        <v>High</v>
      </c>
      <c r="N276" t="str">
        <f t="array" ref="N276">_xlfn.IFS(HR_Data[[#This Row],[Age]]&lt;25,"18-24",HR_Data[[#This Row],[Age]]&lt;35,"25-34",HR_Data[[#This Row],[Age]]&lt;45,"35-44",TRUE(),"45+")</f>
        <v>35-44</v>
      </c>
      <c r="O276">
        <f>YEAR(HR_Data[[#This Row],[Joining Date]])</f>
        <v>2016</v>
      </c>
      <c r="P276" t="str">
        <f>TEXT(HR_Data[[#This Row],[Joining Date]],"mmmm")</f>
        <v>August</v>
      </c>
      <c r="Q276">
        <f t="array" ref="Q27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76">
        <f>HR_Data[[#This Row],[Salary]]*HR_Data[[#This Row],[Bonus %]]</f>
        <v>8446.1</v>
      </c>
      <c r="S276">
        <f>HR_Data[[#This Row],[Salary]]+HR_Data[[#This Row],[Bonus Amount]]</f>
        <v>92907.1</v>
      </c>
      <c r="T276" t="str">
        <f>IF(HR_Data[[#This Row],[Attrition]]="Yes","Inactive","Active")</f>
        <v>Active</v>
      </c>
      <c r="U276" t="str">
        <f t="array" ref="U276">_xlfn.IFS(HR_Data[[#This Row],[Salary]]&gt;=100000,"A",HR_Data[[#This Row],[Salary]]&gt;=70000,"B",HR_Data[[#This Row],[Salary]]&gt;=50000,"C",TRUE(),"D")</f>
        <v>B</v>
      </c>
      <c r="V276" t="str">
        <f t="array" ref="V276">_xlfn.IFS(HR_Data[[#This Row],[Experience]]&gt;=15,"Expert",HR_Data[[#This Row],[Experience]]&gt;=8,"Senior",HR_Data[[#This Row],[Experience]]&gt;=3,"Mid-Level",TRUE(),"Junior")</f>
        <v>Expert</v>
      </c>
    </row>
    <row r="277" spans="1:22" ht="14.25" customHeight="1" x14ac:dyDescent="0.3">
      <c r="A277" t="s">
        <v>731</v>
      </c>
      <c r="B277" t="s">
        <v>127</v>
      </c>
      <c r="C277" t="s">
        <v>24</v>
      </c>
      <c r="D277" t="s">
        <v>33</v>
      </c>
      <c r="E277">
        <v>50</v>
      </c>
      <c r="F277">
        <v>118103</v>
      </c>
      <c r="G277">
        <v>26</v>
      </c>
      <c r="H277" t="s">
        <v>732</v>
      </c>
      <c r="I277" t="s">
        <v>27</v>
      </c>
      <c r="J277" t="s">
        <v>46</v>
      </c>
      <c r="K277" t="s">
        <v>29</v>
      </c>
      <c r="L277" t="str">
        <f t="array" ref="L277">_xlfn.IFS(HR_Data[[#This Row],[Experience]]&lt;2,"0-2 Years",HR_Data[[#This Row],[Experience]]&lt;5,"2-5 Years",HR_Data[[#This Row],[Experience]]&lt;10,"5-10 Years",TRUE(),"10+ Years")</f>
        <v>10+ Years</v>
      </c>
      <c r="M277" t="str">
        <f t="array" ref="M277">_xlfn.IFS(HR_Data[[#This Row],[Salary]]&lt;40000,"Low",HR_Data[[#This Row],[Salary]]&lt;70000,"Medium",HR_Data[[#This Row],[Salary]]&lt;100000,"High",TRUE(),"Very High")</f>
        <v>Very High</v>
      </c>
      <c r="N277" t="str">
        <f t="array" ref="N277">_xlfn.IFS(HR_Data[[#This Row],[Age]]&lt;25,"18-24",HR_Data[[#This Row],[Age]]&lt;35,"25-34",HR_Data[[#This Row],[Age]]&lt;45,"35-44",TRUE(),"45+")</f>
        <v>45+</v>
      </c>
      <c r="O277">
        <f>YEAR(HR_Data[[#This Row],[Joining Date]])</f>
        <v>2018</v>
      </c>
      <c r="P277" t="str">
        <f>TEXT(HR_Data[[#This Row],[Joining Date]],"mmmm")</f>
        <v>November</v>
      </c>
      <c r="Q277">
        <f t="array" ref="Q277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277">
        <f>HR_Data[[#This Row],[Salary]]*HR_Data[[#This Row],[Bonus %]]</f>
        <v>5905.1500000000005</v>
      </c>
      <c r="S277">
        <f>HR_Data[[#This Row],[Salary]]+HR_Data[[#This Row],[Bonus Amount]]</f>
        <v>124008.15</v>
      </c>
      <c r="T277" t="str">
        <f>IF(HR_Data[[#This Row],[Attrition]]="Yes","Inactive","Active")</f>
        <v>Active</v>
      </c>
      <c r="U277" t="str">
        <f t="array" ref="U277">_xlfn.IFS(HR_Data[[#This Row],[Salary]]&gt;=100000,"A",HR_Data[[#This Row],[Salary]]&gt;=70000,"B",HR_Data[[#This Row],[Salary]]&gt;=50000,"C",TRUE(),"D")</f>
        <v>A</v>
      </c>
      <c r="V277" t="str">
        <f t="array" ref="V277">_xlfn.IFS(HR_Data[[#This Row],[Experience]]&gt;=15,"Expert",HR_Data[[#This Row],[Experience]]&gt;=8,"Senior",HR_Data[[#This Row],[Experience]]&gt;=3,"Mid-Level",TRUE(),"Junior")</f>
        <v>Expert</v>
      </c>
    </row>
    <row r="278" spans="1:22" ht="14.25" customHeight="1" x14ac:dyDescent="0.3">
      <c r="A278" t="s">
        <v>733</v>
      </c>
      <c r="B278" t="s">
        <v>734</v>
      </c>
      <c r="C278" t="s">
        <v>32</v>
      </c>
      <c r="D278" t="s">
        <v>25</v>
      </c>
      <c r="E278">
        <v>38</v>
      </c>
      <c r="F278">
        <v>69505</v>
      </c>
      <c r="G278">
        <v>16</v>
      </c>
      <c r="H278" t="s">
        <v>614</v>
      </c>
      <c r="I278" t="s">
        <v>62</v>
      </c>
      <c r="J278" t="s">
        <v>90</v>
      </c>
      <c r="K278" t="s">
        <v>29</v>
      </c>
      <c r="L278" t="str">
        <f t="array" ref="L278">_xlfn.IFS(HR_Data[[#This Row],[Experience]]&lt;2,"0-2 Years",HR_Data[[#This Row],[Experience]]&lt;5,"2-5 Years",HR_Data[[#This Row],[Experience]]&lt;10,"5-10 Years",TRUE(),"10+ Years")</f>
        <v>10+ Years</v>
      </c>
      <c r="M278" t="str">
        <f t="array" ref="M278">_xlfn.IFS(HR_Data[[#This Row],[Salary]]&lt;40000,"Low",HR_Data[[#This Row],[Salary]]&lt;70000,"Medium",HR_Data[[#This Row],[Salary]]&lt;100000,"High",TRUE(),"Very High")</f>
        <v>Medium</v>
      </c>
      <c r="N278" t="str">
        <f t="array" ref="N278">_xlfn.IFS(HR_Data[[#This Row],[Age]]&lt;25,"18-24",HR_Data[[#This Row],[Age]]&lt;35,"25-34",HR_Data[[#This Row],[Age]]&lt;45,"35-44",TRUE(),"45+")</f>
        <v>35-44</v>
      </c>
      <c r="O278">
        <f>YEAR(HR_Data[[#This Row],[Joining Date]])</f>
        <v>2016</v>
      </c>
      <c r="P278" t="str">
        <f>TEXT(HR_Data[[#This Row],[Joining Date]],"mmmm")</f>
        <v>May</v>
      </c>
      <c r="Q278">
        <f t="array" ref="Q278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278">
        <f>HR_Data[[#This Row],[Salary]]*HR_Data[[#This Row],[Bonus %]]</f>
        <v>0</v>
      </c>
      <c r="S278">
        <f>HR_Data[[#This Row],[Salary]]+HR_Data[[#This Row],[Bonus Amount]]</f>
        <v>69505</v>
      </c>
      <c r="T278" t="str">
        <f>IF(HR_Data[[#This Row],[Attrition]]="Yes","Inactive","Active")</f>
        <v>Active</v>
      </c>
      <c r="U278" t="str">
        <f t="array" ref="U278">_xlfn.IFS(HR_Data[[#This Row],[Salary]]&gt;=100000,"A",HR_Data[[#This Row],[Salary]]&gt;=70000,"B",HR_Data[[#This Row],[Salary]]&gt;=50000,"C",TRUE(),"D")</f>
        <v>C</v>
      </c>
      <c r="V278" t="str">
        <f t="array" ref="V278">_xlfn.IFS(HR_Data[[#This Row],[Experience]]&gt;=15,"Expert",HR_Data[[#This Row],[Experience]]&gt;=8,"Senior",HR_Data[[#This Row],[Experience]]&gt;=3,"Mid-Level",TRUE(),"Junior")</f>
        <v>Expert</v>
      </c>
    </row>
    <row r="279" spans="1:22" ht="14.25" customHeight="1" x14ac:dyDescent="0.3">
      <c r="A279" t="s">
        <v>735</v>
      </c>
      <c r="B279" t="s">
        <v>538</v>
      </c>
      <c r="C279" t="s">
        <v>70</v>
      </c>
      <c r="D279" t="s">
        <v>25</v>
      </c>
      <c r="E279">
        <v>34</v>
      </c>
      <c r="F279">
        <v>50582</v>
      </c>
      <c r="G279">
        <v>5</v>
      </c>
      <c r="H279" t="s">
        <v>736</v>
      </c>
      <c r="I279" t="s">
        <v>62</v>
      </c>
      <c r="J279" t="s">
        <v>28</v>
      </c>
      <c r="K279" t="s">
        <v>29</v>
      </c>
      <c r="L279" t="str">
        <f t="array" ref="L279">_xlfn.IFS(HR_Data[[#This Row],[Experience]]&lt;2,"0-2 Years",HR_Data[[#This Row],[Experience]]&lt;5,"2-5 Years",HR_Data[[#This Row],[Experience]]&lt;10,"5-10 Years",TRUE(),"10+ Years")</f>
        <v>5-10 Years</v>
      </c>
      <c r="M279" t="str">
        <f t="array" ref="M279">_xlfn.IFS(HR_Data[[#This Row],[Salary]]&lt;40000,"Low",HR_Data[[#This Row],[Salary]]&lt;70000,"Medium",HR_Data[[#This Row],[Salary]]&lt;100000,"High",TRUE(),"Very High")</f>
        <v>Medium</v>
      </c>
      <c r="N279" t="str">
        <f t="array" ref="N279">_xlfn.IFS(HR_Data[[#This Row],[Age]]&lt;25,"18-24",HR_Data[[#This Row],[Age]]&lt;35,"25-34",HR_Data[[#This Row],[Age]]&lt;45,"35-44",TRUE(),"45+")</f>
        <v>25-34</v>
      </c>
      <c r="O279">
        <f>YEAR(HR_Data[[#This Row],[Joining Date]])</f>
        <v>2018</v>
      </c>
      <c r="P279" t="str">
        <f>TEXT(HR_Data[[#This Row],[Joining Date]],"mmmm")</f>
        <v>June</v>
      </c>
      <c r="Q279">
        <f t="array" ref="Q27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79">
        <f>HR_Data[[#This Row],[Salary]]*HR_Data[[#This Row],[Bonus %]]</f>
        <v>7587.2999999999993</v>
      </c>
      <c r="S279">
        <f>HR_Data[[#This Row],[Salary]]+HR_Data[[#This Row],[Bonus Amount]]</f>
        <v>58169.3</v>
      </c>
      <c r="T279" t="str">
        <f>IF(HR_Data[[#This Row],[Attrition]]="Yes","Inactive","Active")</f>
        <v>Active</v>
      </c>
      <c r="U279" t="str">
        <f t="array" ref="U279">_xlfn.IFS(HR_Data[[#This Row],[Salary]]&gt;=100000,"A",HR_Data[[#This Row],[Salary]]&gt;=70000,"B",HR_Data[[#This Row],[Salary]]&gt;=50000,"C",TRUE(),"D")</f>
        <v>C</v>
      </c>
      <c r="V279" t="str">
        <f t="array" ref="V279">_xlfn.IFS(HR_Data[[#This Row],[Experience]]&gt;=15,"Expert",HR_Data[[#This Row],[Experience]]&gt;=8,"Senior",HR_Data[[#This Row],[Experience]]&gt;=3,"Mid-Level",TRUE(),"Junior")</f>
        <v>Mid-Level</v>
      </c>
    </row>
    <row r="280" spans="1:22" ht="14.25" customHeight="1" x14ac:dyDescent="0.3">
      <c r="A280" t="s">
        <v>737</v>
      </c>
      <c r="B280" t="s">
        <v>335</v>
      </c>
      <c r="C280" t="s">
        <v>93</v>
      </c>
      <c r="D280" t="s">
        <v>33</v>
      </c>
      <c r="E280">
        <v>27</v>
      </c>
      <c r="F280">
        <v>44135</v>
      </c>
      <c r="G280">
        <v>4</v>
      </c>
      <c r="H280" t="s">
        <v>211</v>
      </c>
      <c r="I280" t="s">
        <v>80</v>
      </c>
      <c r="J280" t="s">
        <v>63</v>
      </c>
      <c r="K280" t="s">
        <v>37</v>
      </c>
      <c r="L280" t="str">
        <f t="array" ref="L280">_xlfn.IFS(HR_Data[[#This Row],[Experience]]&lt;2,"0-2 Years",HR_Data[[#This Row],[Experience]]&lt;5,"2-5 Years",HR_Data[[#This Row],[Experience]]&lt;10,"5-10 Years",TRUE(),"10+ Years")</f>
        <v>2-5 Years</v>
      </c>
      <c r="M280" t="str">
        <f t="array" ref="M280">_xlfn.IFS(HR_Data[[#This Row],[Salary]]&lt;40000,"Low",HR_Data[[#This Row],[Salary]]&lt;70000,"Medium",HR_Data[[#This Row],[Salary]]&lt;100000,"High",TRUE(),"Very High")</f>
        <v>Medium</v>
      </c>
      <c r="N280" t="str">
        <f t="array" ref="N280">_xlfn.IFS(HR_Data[[#This Row],[Age]]&lt;25,"18-24",HR_Data[[#This Row],[Age]]&lt;35,"25-34",HR_Data[[#This Row],[Age]]&lt;45,"35-44",TRUE(),"45+")</f>
        <v>25-34</v>
      </c>
      <c r="O280">
        <f>YEAR(HR_Data[[#This Row],[Joining Date]])</f>
        <v>2020</v>
      </c>
      <c r="P280" t="str">
        <f>TEXT(HR_Data[[#This Row],[Joining Date]],"mmmm")</f>
        <v>May</v>
      </c>
      <c r="Q280">
        <f t="array" ref="Q280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280">
        <f>HR_Data[[#This Row],[Salary]]*HR_Data[[#This Row],[Bonus %]]</f>
        <v>8827</v>
      </c>
      <c r="S280">
        <f>HR_Data[[#This Row],[Salary]]+HR_Data[[#This Row],[Bonus Amount]]</f>
        <v>52962</v>
      </c>
      <c r="T280" t="str">
        <f>IF(HR_Data[[#This Row],[Attrition]]="Yes","Inactive","Active")</f>
        <v>Inactive</v>
      </c>
      <c r="U280" t="str">
        <f t="array" ref="U280">_xlfn.IFS(HR_Data[[#This Row],[Salary]]&gt;=100000,"A",HR_Data[[#This Row],[Salary]]&gt;=70000,"B",HR_Data[[#This Row],[Salary]]&gt;=50000,"C",TRUE(),"D")</f>
        <v>D</v>
      </c>
      <c r="V280" t="str">
        <f t="array" ref="V280">_xlfn.IFS(HR_Data[[#This Row],[Experience]]&gt;=15,"Expert",HR_Data[[#This Row],[Experience]]&gt;=8,"Senior",HR_Data[[#This Row],[Experience]]&gt;=3,"Mid-Level",TRUE(),"Junior")</f>
        <v>Mid-Level</v>
      </c>
    </row>
    <row r="281" spans="1:22" ht="14.25" customHeight="1" x14ac:dyDescent="0.3">
      <c r="A281" t="s">
        <v>738</v>
      </c>
      <c r="B281" t="s">
        <v>349</v>
      </c>
      <c r="C281" t="s">
        <v>75</v>
      </c>
      <c r="D281" t="s">
        <v>25</v>
      </c>
      <c r="E281">
        <v>31</v>
      </c>
      <c r="F281">
        <v>52615</v>
      </c>
      <c r="G281">
        <v>11</v>
      </c>
      <c r="H281" t="s">
        <v>739</v>
      </c>
      <c r="I281" t="s">
        <v>132</v>
      </c>
      <c r="J281" t="s">
        <v>36</v>
      </c>
      <c r="K281" t="s">
        <v>29</v>
      </c>
      <c r="L281" t="str">
        <f t="array" ref="L281">_xlfn.IFS(HR_Data[[#This Row],[Experience]]&lt;2,"0-2 Years",HR_Data[[#This Row],[Experience]]&lt;5,"2-5 Years",HR_Data[[#This Row],[Experience]]&lt;10,"5-10 Years",TRUE(),"10+ Years")</f>
        <v>10+ Years</v>
      </c>
      <c r="M281" t="str">
        <f t="array" ref="M281">_xlfn.IFS(HR_Data[[#This Row],[Salary]]&lt;40000,"Low",HR_Data[[#This Row],[Salary]]&lt;70000,"Medium",HR_Data[[#This Row],[Salary]]&lt;100000,"High",TRUE(),"Very High")</f>
        <v>Medium</v>
      </c>
      <c r="N281" t="str">
        <f t="array" ref="N281">_xlfn.IFS(HR_Data[[#This Row],[Age]]&lt;25,"18-24",HR_Data[[#This Row],[Age]]&lt;35,"25-34",HR_Data[[#This Row],[Age]]&lt;45,"35-44",TRUE(),"45+")</f>
        <v>25-34</v>
      </c>
      <c r="O281">
        <f>YEAR(HR_Data[[#This Row],[Joining Date]])</f>
        <v>2018</v>
      </c>
      <c r="P281" t="str">
        <f>TEXT(HR_Data[[#This Row],[Joining Date]],"mmmm")</f>
        <v>January</v>
      </c>
      <c r="Q281">
        <f t="array" ref="Q28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81">
        <f>HR_Data[[#This Row],[Salary]]*HR_Data[[#This Row],[Bonus %]]</f>
        <v>5261.5</v>
      </c>
      <c r="S281">
        <f>HR_Data[[#This Row],[Salary]]+HR_Data[[#This Row],[Bonus Amount]]</f>
        <v>57876.5</v>
      </c>
      <c r="T281" t="str">
        <f>IF(HR_Data[[#This Row],[Attrition]]="Yes","Inactive","Active")</f>
        <v>Active</v>
      </c>
      <c r="U281" t="str">
        <f t="array" ref="U281">_xlfn.IFS(HR_Data[[#This Row],[Salary]]&gt;=100000,"A",HR_Data[[#This Row],[Salary]]&gt;=70000,"B",HR_Data[[#This Row],[Salary]]&gt;=50000,"C",TRUE(),"D")</f>
        <v>C</v>
      </c>
      <c r="V281" t="str">
        <f t="array" ref="V281">_xlfn.IFS(HR_Data[[#This Row],[Experience]]&gt;=15,"Expert",HR_Data[[#This Row],[Experience]]&gt;=8,"Senior",HR_Data[[#This Row],[Experience]]&gt;=3,"Mid-Level",TRUE(),"Junior")</f>
        <v>Senior</v>
      </c>
    </row>
    <row r="282" spans="1:22" ht="14.25" customHeight="1" x14ac:dyDescent="0.3">
      <c r="A282" t="s">
        <v>740</v>
      </c>
      <c r="B282" t="s">
        <v>741</v>
      </c>
      <c r="C282" t="s">
        <v>75</v>
      </c>
      <c r="D282" t="s">
        <v>33</v>
      </c>
      <c r="E282">
        <v>44</v>
      </c>
      <c r="F282">
        <v>99406</v>
      </c>
      <c r="G282">
        <v>23</v>
      </c>
      <c r="H282" t="s">
        <v>742</v>
      </c>
      <c r="I282" t="s">
        <v>80</v>
      </c>
      <c r="J282" t="s">
        <v>46</v>
      </c>
      <c r="K282" t="s">
        <v>37</v>
      </c>
      <c r="L282" t="str">
        <f t="array" ref="L282">_xlfn.IFS(HR_Data[[#This Row],[Experience]]&lt;2,"0-2 Years",HR_Data[[#This Row],[Experience]]&lt;5,"2-5 Years",HR_Data[[#This Row],[Experience]]&lt;10,"5-10 Years",TRUE(),"10+ Years")</f>
        <v>10+ Years</v>
      </c>
      <c r="M282" t="str">
        <f t="array" ref="M282">_xlfn.IFS(HR_Data[[#This Row],[Salary]]&lt;40000,"Low",HR_Data[[#This Row],[Salary]]&lt;70000,"Medium",HR_Data[[#This Row],[Salary]]&lt;100000,"High",TRUE(),"Very High")</f>
        <v>High</v>
      </c>
      <c r="N282" t="str">
        <f t="array" ref="N282">_xlfn.IFS(HR_Data[[#This Row],[Age]]&lt;25,"18-24",HR_Data[[#This Row],[Age]]&lt;35,"25-34",HR_Data[[#This Row],[Age]]&lt;45,"35-44",TRUE(),"45+")</f>
        <v>35-44</v>
      </c>
      <c r="O282">
        <f>YEAR(HR_Data[[#This Row],[Joining Date]])</f>
        <v>2017</v>
      </c>
      <c r="P282" t="str">
        <f>TEXT(HR_Data[[#This Row],[Joining Date]],"mmmm")</f>
        <v>August</v>
      </c>
      <c r="Q282">
        <f t="array" ref="Q282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282">
        <f>HR_Data[[#This Row],[Salary]]*HR_Data[[#This Row],[Bonus %]]</f>
        <v>4970.3</v>
      </c>
      <c r="S282">
        <f>HR_Data[[#This Row],[Salary]]+HR_Data[[#This Row],[Bonus Amount]]</f>
        <v>104376.3</v>
      </c>
      <c r="T282" t="str">
        <f>IF(HR_Data[[#This Row],[Attrition]]="Yes","Inactive","Active")</f>
        <v>Inactive</v>
      </c>
      <c r="U282" t="str">
        <f t="array" ref="U282">_xlfn.IFS(HR_Data[[#This Row],[Salary]]&gt;=100000,"A",HR_Data[[#This Row],[Salary]]&gt;=70000,"B",HR_Data[[#This Row],[Salary]]&gt;=50000,"C",TRUE(),"D")</f>
        <v>B</v>
      </c>
      <c r="V282" t="str">
        <f t="array" ref="V282">_xlfn.IFS(HR_Data[[#This Row],[Experience]]&gt;=15,"Expert",HR_Data[[#This Row],[Experience]]&gt;=8,"Senior",HR_Data[[#This Row],[Experience]]&gt;=3,"Mid-Level",TRUE(),"Junior")</f>
        <v>Expert</v>
      </c>
    </row>
    <row r="283" spans="1:22" ht="14.25" customHeight="1" x14ac:dyDescent="0.3">
      <c r="A283" t="s">
        <v>743</v>
      </c>
      <c r="B283" t="s">
        <v>471</v>
      </c>
      <c r="C283" t="s">
        <v>55</v>
      </c>
      <c r="D283" t="s">
        <v>33</v>
      </c>
      <c r="E283">
        <v>30</v>
      </c>
      <c r="F283">
        <v>44715</v>
      </c>
      <c r="G283">
        <v>4</v>
      </c>
      <c r="H283" t="s">
        <v>744</v>
      </c>
      <c r="I283" t="s">
        <v>80</v>
      </c>
      <c r="J283" t="s">
        <v>28</v>
      </c>
      <c r="K283" t="s">
        <v>29</v>
      </c>
      <c r="L283" t="str">
        <f t="array" ref="L283">_xlfn.IFS(HR_Data[[#This Row],[Experience]]&lt;2,"0-2 Years",HR_Data[[#This Row],[Experience]]&lt;5,"2-5 Years",HR_Data[[#This Row],[Experience]]&lt;10,"5-10 Years",TRUE(),"10+ Years")</f>
        <v>2-5 Years</v>
      </c>
      <c r="M283" t="str">
        <f t="array" ref="M283">_xlfn.IFS(HR_Data[[#This Row],[Salary]]&lt;40000,"Low",HR_Data[[#This Row],[Salary]]&lt;70000,"Medium",HR_Data[[#This Row],[Salary]]&lt;100000,"High",TRUE(),"Very High")</f>
        <v>Medium</v>
      </c>
      <c r="N283" t="str">
        <f t="array" ref="N283">_xlfn.IFS(HR_Data[[#This Row],[Age]]&lt;25,"18-24",HR_Data[[#This Row],[Age]]&lt;35,"25-34",HR_Data[[#This Row],[Age]]&lt;45,"35-44",TRUE(),"45+")</f>
        <v>25-34</v>
      </c>
      <c r="O283">
        <f>YEAR(HR_Data[[#This Row],[Joining Date]])</f>
        <v>2026</v>
      </c>
      <c r="P283" t="str">
        <f>TEXT(HR_Data[[#This Row],[Joining Date]],"mmmm")</f>
        <v>June</v>
      </c>
      <c r="Q283">
        <f t="array" ref="Q28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83">
        <f>HR_Data[[#This Row],[Salary]]*HR_Data[[#This Row],[Bonus %]]</f>
        <v>6707.25</v>
      </c>
      <c r="S283">
        <f>HR_Data[[#This Row],[Salary]]+HR_Data[[#This Row],[Bonus Amount]]</f>
        <v>51422.25</v>
      </c>
      <c r="T283" t="str">
        <f>IF(HR_Data[[#This Row],[Attrition]]="Yes","Inactive","Active")</f>
        <v>Active</v>
      </c>
      <c r="U283" t="str">
        <f t="array" ref="U283">_xlfn.IFS(HR_Data[[#This Row],[Salary]]&gt;=100000,"A",HR_Data[[#This Row],[Salary]]&gt;=70000,"B",HR_Data[[#This Row],[Salary]]&gt;=50000,"C",TRUE(),"D")</f>
        <v>D</v>
      </c>
      <c r="V283" t="str">
        <f t="array" ref="V283">_xlfn.IFS(HR_Data[[#This Row],[Experience]]&gt;=15,"Expert",HR_Data[[#This Row],[Experience]]&gt;=8,"Senior",HR_Data[[#This Row],[Experience]]&gt;=3,"Mid-Level",TRUE(),"Junior")</f>
        <v>Mid-Level</v>
      </c>
    </row>
    <row r="284" spans="1:22" ht="14.25" customHeight="1" x14ac:dyDescent="0.3">
      <c r="A284" t="s">
        <v>745</v>
      </c>
      <c r="B284" t="s">
        <v>570</v>
      </c>
      <c r="C284" t="s">
        <v>112</v>
      </c>
      <c r="D284" t="s">
        <v>25</v>
      </c>
      <c r="E284">
        <v>34</v>
      </c>
      <c r="F284">
        <v>39979</v>
      </c>
      <c r="G284">
        <v>6</v>
      </c>
      <c r="H284" t="s">
        <v>746</v>
      </c>
      <c r="I284" t="s">
        <v>67</v>
      </c>
      <c r="J284" t="s">
        <v>36</v>
      </c>
      <c r="K284" t="s">
        <v>37</v>
      </c>
      <c r="L284" t="str">
        <f t="array" ref="L284">_xlfn.IFS(HR_Data[[#This Row],[Experience]]&lt;2,"0-2 Years",HR_Data[[#This Row],[Experience]]&lt;5,"2-5 Years",HR_Data[[#This Row],[Experience]]&lt;10,"5-10 Years",TRUE(),"10+ Years")</f>
        <v>5-10 Years</v>
      </c>
      <c r="M284" t="str">
        <f t="array" ref="M284">_xlfn.IFS(HR_Data[[#This Row],[Salary]]&lt;40000,"Low",HR_Data[[#This Row],[Salary]]&lt;70000,"Medium",HR_Data[[#This Row],[Salary]]&lt;100000,"High",TRUE(),"Very High")</f>
        <v>Low</v>
      </c>
      <c r="N284" t="str">
        <f t="array" ref="N284">_xlfn.IFS(HR_Data[[#This Row],[Age]]&lt;25,"18-24",HR_Data[[#This Row],[Age]]&lt;35,"25-34",HR_Data[[#This Row],[Age]]&lt;45,"35-44",TRUE(),"45+")</f>
        <v>25-34</v>
      </c>
      <c r="O284">
        <f>YEAR(HR_Data[[#This Row],[Joining Date]])</f>
        <v>2020</v>
      </c>
      <c r="P284" t="str">
        <f>TEXT(HR_Data[[#This Row],[Joining Date]],"mmmm")</f>
        <v>February</v>
      </c>
      <c r="Q284">
        <f t="array" ref="Q284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84">
        <f>HR_Data[[#This Row],[Salary]]*HR_Data[[#This Row],[Bonus %]]</f>
        <v>3997.9</v>
      </c>
      <c r="S284">
        <f>HR_Data[[#This Row],[Salary]]+HR_Data[[#This Row],[Bonus Amount]]</f>
        <v>43976.9</v>
      </c>
      <c r="T284" t="str">
        <f>IF(HR_Data[[#This Row],[Attrition]]="Yes","Inactive","Active")</f>
        <v>Inactive</v>
      </c>
      <c r="U284" t="str">
        <f t="array" ref="U284">_xlfn.IFS(HR_Data[[#This Row],[Salary]]&gt;=100000,"A",HR_Data[[#This Row],[Salary]]&gt;=70000,"B",HR_Data[[#This Row],[Salary]]&gt;=50000,"C",TRUE(),"D")</f>
        <v>D</v>
      </c>
      <c r="V284" t="str">
        <f t="array" ref="V284">_xlfn.IFS(HR_Data[[#This Row],[Experience]]&gt;=15,"Expert",HR_Data[[#This Row],[Experience]]&gt;=8,"Senior",HR_Data[[#This Row],[Experience]]&gt;=3,"Mid-Level",TRUE(),"Junior")</f>
        <v>Mid-Level</v>
      </c>
    </row>
    <row r="285" spans="1:22" ht="14.25" customHeight="1" x14ac:dyDescent="0.3">
      <c r="A285" t="s">
        <v>747</v>
      </c>
      <c r="B285" t="s">
        <v>748</v>
      </c>
      <c r="C285" t="s">
        <v>55</v>
      </c>
      <c r="D285" t="s">
        <v>33</v>
      </c>
      <c r="E285">
        <v>45</v>
      </c>
      <c r="F285">
        <v>99664</v>
      </c>
      <c r="G285">
        <v>24</v>
      </c>
      <c r="H285" t="s">
        <v>749</v>
      </c>
      <c r="I285" t="s">
        <v>62</v>
      </c>
      <c r="J285" t="s">
        <v>36</v>
      </c>
      <c r="K285" t="s">
        <v>29</v>
      </c>
      <c r="L285" t="str">
        <f t="array" ref="L285">_xlfn.IFS(HR_Data[[#This Row],[Experience]]&lt;2,"0-2 Years",HR_Data[[#This Row],[Experience]]&lt;5,"2-5 Years",HR_Data[[#This Row],[Experience]]&lt;10,"5-10 Years",TRUE(),"10+ Years")</f>
        <v>10+ Years</v>
      </c>
      <c r="M285" t="str">
        <f t="array" ref="M285">_xlfn.IFS(HR_Data[[#This Row],[Salary]]&lt;40000,"Low",HR_Data[[#This Row],[Salary]]&lt;70000,"Medium",HR_Data[[#This Row],[Salary]]&lt;100000,"High",TRUE(),"Very High")</f>
        <v>High</v>
      </c>
      <c r="N285" t="str">
        <f t="array" ref="N285">_xlfn.IFS(HR_Data[[#This Row],[Age]]&lt;25,"18-24",HR_Data[[#This Row],[Age]]&lt;35,"25-34",HR_Data[[#This Row],[Age]]&lt;45,"35-44",TRUE(),"45+")</f>
        <v>45+</v>
      </c>
      <c r="O285">
        <f>YEAR(HR_Data[[#This Row],[Joining Date]])</f>
        <v>2015</v>
      </c>
      <c r="P285" t="str">
        <f>TEXT(HR_Data[[#This Row],[Joining Date]],"mmmm")</f>
        <v>October</v>
      </c>
      <c r="Q285">
        <f t="array" ref="Q28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85">
        <f>HR_Data[[#This Row],[Salary]]*HR_Data[[#This Row],[Bonus %]]</f>
        <v>9966.4000000000015</v>
      </c>
      <c r="S285">
        <f>HR_Data[[#This Row],[Salary]]+HR_Data[[#This Row],[Bonus Amount]]</f>
        <v>109630.39999999999</v>
      </c>
      <c r="T285" t="str">
        <f>IF(HR_Data[[#This Row],[Attrition]]="Yes","Inactive","Active")</f>
        <v>Active</v>
      </c>
      <c r="U285" t="str">
        <f t="array" ref="U285">_xlfn.IFS(HR_Data[[#This Row],[Salary]]&gt;=100000,"A",HR_Data[[#This Row],[Salary]]&gt;=70000,"B",HR_Data[[#This Row],[Salary]]&gt;=50000,"C",TRUE(),"D")</f>
        <v>B</v>
      </c>
      <c r="V285" t="str">
        <f t="array" ref="V285">_xlfn.IFS(HR_Data[[#This Row],[Experience]]&gt;=15,"Expert",HR_Data[[#This Row],[Experience]]&gt;=8,"Senior",HR_Data[[#This Row],[Experience]]&gt;=3,"Mid-Level",TRUE(),"Junior")</f>
        <v>Expert</v>
      </c>
    </row>
    <row r="286" spans="1:22" ht="14.25" customHeight="1" x14ac:dyDescent="0.3">
      <c r="A286" t="s">
        <v>750</v>
      </c>
      <c r="B286" t="s">
        <v>585</v>
      </c>
      <c r="C286" t="s">
        <v>60</v>
      </c>
      <c r="D286" t="s">
        <v>33</v>
      </c>
      <c r="E286">
        <v>43</v>
      </c>
      <c r="F286">
        <v>83552</v>
      </c>
      <c r="G286">
        <v>20</v>
      </c>
      <c r="H286" t="s">
        <v>751</v>
      </c>
      <c r="I286" t="s">
        <v>62</v>
      </c>
      <c r="J286" t="s">
        <v>63</v>
      </c>
      <c r="K286" t="s">
        <v>29</v>
      </c>
      <c r="L286" t="str">
        <f t="array" ref="L286">_xlfn.IFS(HR_Data[[#This Row],[Experience]]&lt;2,"0-2 Years",HR_Data[[#This Row],[Experience]]&lt;5,"2-5 Years",HR_Data[[#This Row],[Experience]]&lt;10,"5-10 Years",TRUE(),"10+ Years")</f>
        <v>10+ Years</v>
      </c>
      <c r="M286" t="str">
        <f t="array" ref="M286">_xlfn.IFS(HR_Data[[#This Row],[Salary]]&lt;40000,"Low",HR_Data[[#This Row],[Salary]]&lt;70000,"Medium",HR_Data[[#This Row],[Salary]]&lt;100000,"High",TRUE(),"Very High")</f>
        <v>High</v>
      </c>
      <c r="N286" t="str">
        <f t="array" ref="N286">_xlfn.IFS(HR_Data[[#This Row],[Age]]&lt;25,"18-24",HR_Data[[#This Row],[Age]]&lt;35,"25-34",HR_Data[[#This Row],[Age]]&lt;45,"35-44",TRUE(),"45+")</f>
        <v>35-44</v>
      </c>
      <c r="O286">
        <f>YEAR(HR_Data[[#This Row],[Joining Date]])</f>
        <v>2023</v>
      </c>
      <c r="P286" t="str">
        <f>TEXT(HR_Data[[#This Row],[Joining Date]],"mmmm")</f>
        <v>May</v>
      </c>
      <c r="Q286">
        <f t="array" ref="Q286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286">
        <f>HR_Data[[#This Row],[Salary]]*HR_Data[[#This Row],[Bonus %]]</f>
        <v>16710.400000000001</v>
      </c>
      <c r="S286">
        <f>HR_Data[[#This Row],[Salary]]+HR_Data[[#This Row],[Bonus Amount]]</f>
        <v>100262.39999999999</v>
      </c>
      <c r="T286" t="str">
        <f>IF(HR_Data[[#This Row],[Attrition]]="Yes","Inactive","Active")</f>
        <v>Active</v>
      </c>
      <c r="U286" t="str">
        <f t="array" ref="U286">_xlfn.IFS(HR_Data[[#This Row],[Salary]]&gt;=100000,"A",HR_Data[[#This Row],[Salary]]&gt;=70000,"B",HR_Data[[#This Row],[Salary]]&gt;=50000,"C",TRUE(),"D")</f>
        <v>B</v>
      </c>
      <c r="V286" t="str">
        <f t="array" ref="V286">_xlfn.IFS(HR_Data[[#This Row],[Experience]]&gt;=15,"Expert",HR_Data[[#This Row],[Experience]]&gt;=8,"Senior",HR_Data[[#This Row],[Experience]]&gt;=3,"Mid-Level",TRUE(),"Junior")</f>
        <v>Expert</v>
      </c>
    </row>
    <row r="287" spans="1:22" ht="14.25" customHeight="1" x14ac:dyDescent="0.3">
      <c r="A287" t="s">
        <v>752</v>
      </c>
      <c r="B287" t="s">
        <v>753</v>
      </c>
      <c r="C287" t="s">
        <v>60</v>
      </c>
      <c r="D287" t="s">
        <v>25</v>
      </c>
      <c r="E287">
        <v>30</v>
      </c>
      <c r="F287">
        <v>39050</v>
      </c>
      <c r="G287">
        <v>4</v>
      </c>
      <c r="H287" t="s">
        <v>754</v>
      </c>
      <c r="I287" t="s">
        <v>72</v>
      </c>
      <c r="J287" t="s">
        <v>28</v>
      </c>
      <c r="K287" t="s">
        <v>29</v>
      </c>
      <c r="L287" t="str">
        <f t="array" ref="L287">_xlfn.IFS(HR_Data[[#This Row],[Experience]]&lt;2,"0-2 Years",HR_Data[[#This Row],[Experience]]&lt;5,"2-5 Years",HR_Data[[#This Row],[Experience]]&lt;10,"5-10 Years",TRUE(),"10+ Years")</f>
        <v>2-5 Years</v>
      </c>
      <c r="M287" t="str">
        <f t="array" ref="M287">_xlfn.IFS(HR_Data[[#This Row],[Salary]]&lt;40000,"Low",HR_Data[[#This Row],[Salary]]&lt;70000,"Medium",HR_Data[[#This Row],[Salary]]&lt;100000,"High",TRUE(),"Very High")</f>
        <v>Low</v>
      </c>
      <c r="N287" t="str">
        <f t="array" ref="N287">_xlfn.IFS(HR_Data[[#This Row],[Age]]&lt;25,"18-24",HR_Data[[#This Row],[Age]]&lt;35,"25-34",HR_Data[[#This Row],[Age]]&lt;45,"35-44",TRUE(),"45+")</f>
        <v>25-34</v>
      </c>
      <c r="O287">
        <f>YEAR(HR_Data[[#This Row],[Joining Date]])</f>
        <v>2021</v>
      </c>
      <c r="P287" t="str">
        <f>TEXT(HR_Data[[#This Row],[Joining Date]],"mmmm")</f>
        <v>December</v>
      </c>
      <c r="Q287">
        <f t="array" ref="Q28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87">
        <f>HR_Data[[#This Row],[Salary]]*HR_Data[[#This Row],[Bonus %]]</f>
        <v>5857.5</v>
      </c>
      <c r="S287">
        <f>HR_Data[[#This Row],[Salary]]+HR_Data[[#This Row],[Bonus Amount]]</f>
        <v>44907.5</v>
      </c>
      <c r="T287" t="str">
        <f>IF(HR_Data[[#This Row],[Attrition]]="Yes","Inactive","Active")</f>
        <v>Active</v>
      </c>
      <c r="U287" t="str">
        <f t="array" ref="U287">_xlfn.IFS(HR_Data[[#This Row],[Salary]]&gt;=100000,"A",HR_Data[[#This Row],[Salary]]&gt;=70000,"B",HR_Data[[#This Row],[Salary]]&gt;=50000,"C",TRUE(),"D")</f>
        <v>D</v>
      </c>
      <c r="V287" t="str">
        <f t="array" ref="V287">_xlfn.IFS(HR_Data[[#This Row],[Experience]]&gt;=15,"Expert",HR_Data[[#This Row],[Experience]]&gt;=8,"Senior",HR_Data[[#This Row],[Experience]]&gt;=3,"Mid-Level",TRUE(),"Junior")</f>
        <v>Mid-Level</v>
      </c>
    </row>
    <row r="288" spans="1:22" ht="14.25" customHeight="1" x14ac:dyDescent="0.3">
      <c r="A288" t="s">
        <v>755</v>
      </c>
      <c r="B288" t="s">
        <v>31</v>
      </c>
      <c r="C288" t="s">
        <v>60</v>
      </c>
      <c r="D288" t="s">
        <v>33</v>
      </c>
      <c r="E288">
        <v>49</v>
      </c>
      <c r="F288">
        <v>85748</v>
      </c>
      <c r="G288">
        <v>19</v>
      </c>
      <c r="H288" t="s">
        <v>756</v>
      </c>
      <c r="I288" t="s">
        <v>27</v>
      </c>
      <c r="J288" t="s">
        <v>28</v>
      </c>
      <c r="K288" t="s">
        <v>29</v>
      </c>
      <c r="L288" t="str">
        <f t="array" ref="L288">_xlfn.IFS(HR_Data[[#This Row],[Experience]]&lt;2,"0-2 Years",HR_Data[[#This Row],[Experience]]&lt;5,"2-5 Years",HR_Data[[#This Row],[Experience]]&lt;10,"5-10 Years",TRUE(),"10+ Years")</f>
        <v>10+ Years</v>
      </c>
      <c r="M288" t="str">
        <f t="array" ref="M288">_xlfn.IFS(HR_Data[[#This Row],[Salary]]&lt;40000,"Low",HR_Data[[#This Row],[Salary]]&lt;70000,"Medium",HR_Data[[#This Row],[Salary]]&lt;100000,"High",TRUE(),"Very High")</f>
        <v>High</v>
      </c>
      <c r="N288" t="str">
        <f t="array" ref="N288">_xlfn.IFS(HR_Data[[#This Row],[Age]]&lt;25,"18-24",HR_Data[[#This Row],[Age]]&lt;35,"25-34",HR_Data[[#This Row],[Age]]&lt;45,"35-44",TRUE(),"45+")</f>
        <v>45+</v>
      </c>
      <c r="O288">
        <f>YEAR(HR_Data[[#This Row],[Joining Date]])</f>
        <v>2025</v>
      </c>
      <c r="P288" t="str">
        <f>TEXT(HR_Data[[#This Row],[Joining Date]],"mmmm")</f>
        <v>May</v>
      </c>
      <c r="Q288">
        <f t="array" ref="Q288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88">
        <f>HR_Data[[#This Row],[Salary]]*HR_Data[[#This Row],[Bonus %]]</f>
        <v>12862.199999999999</v>
      </c>
      <c r="S288">
        <f>HR_Data[[#This Row],[Salary]]+HR_Data[[#This Row],[Bonus Amount]]</f>
        <v>98610.2</v>
      </c>
      <c r="T288" t="str">
        <f>IF(HR_Data[[#This Row],[Attrition]]="Yes","Inactive","Active")</f>
        <v>Active</v>
      </c>
      <c r="U288" t="str">
        <f t="array" ref="U288">_xlfn.IFS(HR_Data[[#This Row],[Salary]]&gt;=100000,"A",HR_Data[[#This Row],[Salary]]&gt;=70000,"B",HR_Data[[#This Row],[Salary]]&gt;=50000,"C",TRUE(),"D")</f>
        <v>B</v>
      </c>
      <c r="V288" t="str">
        <f t="array" ref="V288">_xlfn.IFS(HR_Data[[#This Row],[Experience]]&gt;=15,"Expert",HR_Data[[#This Row],[Experience]]&gt;=8,"Senior",HR_Data[[#This Row],[Experience]]&gt;=3,"Mid-Level",TRUE(),"Junior")</f>
        <v>Expert</v>
      </c>
    </row>
    <row r="289" spans="1:22" ht="14.25" customHeight="1" x14ac:dyDescent="0.3">
      <c r="A289" t="s">
        <v>757</v>
      </c>
      <c r="B289" t="s">
        <v>753</v>
      </c>
      <c r="C289" t="s">
        <v>112</v>
      </c>
      <c r="D289" t="s">
        <v>25</v>
      </c>
      <c r="E289">
        <v>45</v>
      </c>
      <c r="F289">
        <v>107834</v>
      </c>
      <c r="G289">
        <v>26</v>
      </c>
      <c r="H289" t="s">
        <v>536</v>
      </c>
      <c r="I289" t="s">
        <v>80</v>
      </c>
      <c r="J289" t="s">
        <v>36</v>
      </c>
      <c r="K289" t="s">
        <v>29</v>
      </c>
      <c r="L289" t="str">
        <f t="array" ref="L289">_xlfn.IFS(HR_Data[[#This Row],[Experience]]&lt;2,"0-2 Years",HR_Data[[#This Row],[Experience]]&lt;5,"2-5 Years",HR_Data[[#This Row],[Experience]]&lt;10,"5-10 Years",TRUE(),"10+ Years")</f>
        <v>10+ Years</v>
      </c>
      <c r="M289" t="str">
        <f t="array" ref="M289">_xlfn.IFS(HR_Data[[#This Row],[Salary]]&lt;40000,"Low",HR_Data[[#This Row],[Salary]]&lt;70000,"Medium",HR_Data[[#This Row],[Salary]]&lt;100000,"High",TRUE(),"Very High")</f>
        <v>Very High</v>
      </c>
      <c r="N289" t="str">
        <f t="array" ref="N289">_xlfn.IFS(HR_Data[[#This Row],[Age]]&lt;25,"18-24",HR_Data[[#This Row],[Age]]&lt;35,"25-34",HR_Data[[#This Row],[Age]]&lt;45,"35-44",TRUE(),"45+")</f>
        <v>45+</v>
      </c>
      <c r="O289">
        <f>YEAR(HR_Data[[#This Row],[Joining Date]])</f>
        <v>2022</v>
      </c>
      <c r="P289" t="str">
        <f>TEXT(HR_Data[[#This Row],[Joining Date]],"mmmm")</f>
        <v>October</v>
      </c>
      <c r="Q289">
        <f t="array" ref="Q28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89">
        <f>HR_Data[[#This Row],[Salary]]*HR_Data[[#This Row],[Bonus %]]</f>
        <v>10783.400000000001</v>
      </c>
      <c r="S289">
        <f>HR_Data[[#This Row],[Salary]]+HR_Data[[#This Row],[Bonus Amount]]</f>
        <v>118617.4</v>
      </c>
      <c r="T289" t="str">
        <f>IF(HR_Data[[#This Row],[Attrition]]="Yes","Inactive","Active")</f>
        <v>Active</v>
      </c>
      <c r="U289" t="str">
        <f t="array" ref="U289">_xlfn.IFS(HR_Data[[#This Row],[Salary]]&gt;=100000,"A",HR_Data[[#This Row],[Salary]]&gt;=70000,"B",HR_Data[[#This Row],[Salary]]&gt;=50000,"C",TRUE(),"D")</f>
        <v>A</v>
      </c>
      <c r="V289" t="str">
        <f t="array" ref="V289">_xlfn.IFS(HR_Data[[#This Row],[Experience]]&gt;=15,"Expert",HR_Data[[#This Row],[Experience]]&gt;=8,"Senior",HR_Data[[#This Row],[Experience]]&gt;=3,"Mid-Level",TRUE(),"Junior")</f>
        <v>Expert</v>
      </c>
    </row>
    <row r="290" spans="1:22" ht="14.25" customHeight="1" x14ac:dyDescent="0.3">
      <c r="A290" t="s">
        <v>758</v>
      </c>
      <c r="B290" t="s">
        <v>140</v>
      </c>
      <c r="C290" t="s">
        <v>40</v>
      </c>
      <c r="D290" t="s">
        <v>33</v>
      </c>
      <c r="E290">
        <v>28</v>
      </c>
      <c r="F290">
        <v>53560</v>
      </c>
      <c r="G290">
        <v>6</v>
      </c>
      <c r="H290" t="s">
        <v>759</v>
      </c>
      <c r="I290" t="s">
        <v>57</v>
      </c>
      <c r="J290" t="s">
        <v>36</v>
      </c>
      <c r="K290" t="s">
        <v>29</v>
      </c>
      <c r="L290" t="str">
        <f t="array" ref="L290">_xlfn.IFS(HR_Data[[#This Row],[Experience]]&lt;2,"0-2 Years",HR_Data[[#This Row],[Experience]]&lt;5,"2-5 Years",HR_Data[[#This Row],[Experience]]&lt;10,"5-10 Years",TRUE(),"10+ Years")</f>
        <v>5-10 Years</v>
      </c>
      <c r="M290" t="str">
        <f t="array" ref="M290">_xlfn.IFS(HR_Data[[#This Row],[Salary]]&lt;40000,"Low",HR_Data[[#This Row],[Salary]]&lt;70000,"Medium",HR_Data[[#This Row],[Salary]]&lt;100000,"High",TRUE(),"Very High")</f>
        <v>Medium</v>
      </c>
      <c r="N290" t="str">
        <f t="array" ref="N290">_xlfn.IFS(HR_Data[[#This Row],[Age]]&lt;25,"18-24",HR_Data[[#This Row],[Age]]&lt;35,"25-34",HR_Data[[#This Row],[Age]]&lt;45,"35-44",TRUE(),"45+")</f>
        <v>25-34</v>
      </c>
      <c r="O290">
        <f>YEAR(HR_Data[[#This Row],[Joining Date]])</f>
        <v>2020</v>
      </c>
      <c r="P290" t="str">
        <f>TEXT(HR_Data[[#This Row],[Joining Date]],"mmmm")</f>
        <v>May</v>
      </c>
      <c r="Q290">
        <f t="array" ref="Q29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290">
        <f>HR_Data[[#This Row],[Salary]]*HR_Data[[#This Row],[Bonus %]]</f>
        <v>5356</v>
      </c>
      <c r="S290">
        <f>HR_Data[[#This Row],[Salary]]+HR_Data[[#This Row],[Bonus Amount]]</f>
        <v>58916</v>
      </c>
      <c r="T290" t="str">
        <f>IF(HR_Data[[#This Row],[Attrition]]="Yes","Inactive","Active")</f>
        <v>Active</v>
      </c>
      <c r="U290" t="str">
        <f t="array" ref="U290">_xlfn.IFS(HR_Data[[#This Row],[Salary]]&gt;=100000,"A",HR_Data[[#This Row],[Salary]]&gt;=70000,"B",HR_Data[[#This Row],[Salary]]&gt;=50000,"C",TRUE(),"D")</f>
        <v>C</v>
      </c>
      <c r="V290" t="str">
        <f t="array" ref="V290">_xlfn.IFS(HR_Data[[#This Row],[Experience]]&gt;=15,"Expert",HR_Data[[#This Row],[Experience]]&gt;=8,"Senior",HR_Data[[#This Row],[Experience]]&gt;=3,"Mid-Level",TRUE(),"Junior")</f>
        <v>Mid-Level</v>
      </c>
    </row>
    <row r="291" spans="1:22" ht="14.25" customHeight="1" x14ac:dyDescent="0.3">
      <c r="A291" t="s">
        <v>760</v>
      </c>
      <c r="B291" t="s">
        <v>761</v>
      </c>
      <c r="C291" t="s">
        <v>70</v>
      </c>
      <c r="D291" t="s">
        <v>25</v>
      </c>
      <c r="E291">
        <v>58</v>
      </c>
      <c r="F291">
        <v>134805</v>
      </c>
      <c r="G291">
        <v>33</v>
      </c>
      <c r="H291" t="s">
        <v>706</v>
      </c>
      <c r="I291" t="s">
        <v>42</v>
      </c>
      <c r="J291" t="s">
        <v>90</v>
      </c>
      <c r="K291" t="s">
        <v>37</v>
      </c>
      <c r="L291" t="str">
        <f t="array" ref="L291">_xlfn.IFS(HR_Data[[#This Row],[Experience]]&lt;2,"0-2 Years",HR_Data[[#This Row],[Experience]]&lt;5,"2-5 Years",HR_Data[[#This Row],[Experience]]&lt;10,"5-10 Years",TRUE(),"10+ Years")</f>
        <v>10+ Years</v>
      </c>
      <c r="M291" t="str">
        <f t="array" ref="M291">_xlfn.IFS(HR_Data[[#This Row],[Salary]]&lt;40000,"Low",HR_Data[[#This Row],[Salary]]&lt;70000,"Medium",HR_Data[[#This Row],[Salary]]&lt;100000,"High",TRUE(),"Very High")</f>
        <v>Very High</v>
      </c>
      <c r="N291" t="str">
        <f t="array" ref="N291">_xlfn.IFS(HR_Data[[#This Row],[Age]]&lt;25,"18-24",HR_Data[[#This Row],[Age]]&lt;35,"25-34",HR_Data[[#This Row],[Age]]&lt;45,"35-44",TRUE(),"45+")</f>
        <v>45+</v>
      </c>
      <c r="O291">
        <f>YEAR(HR_Data[[#This Row],[Joining Date]])</f>
        <v>2025</v>
      </c>
      <c r="P291" t="str">
        <f>TEXT(HR_Data[[#This Row],[Joining Date]],"mmmm")</f>
        <v>April</v>
      </c>
      <c r="Q291">
        <f t="array" ref="Q291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291">
        <f>HR_Data[[#This Row],[Salary]]*HR_Data[[#This Row],[Bonus %]]</f>
        <v>0</v>
      </c>
      <c r="S291">
        <f>HR_Data[[#This Row],[Salary]]+HR_Data[[#This Row],[Bonus Amount]]</f>
        <v>134805</v>
      </c>
      <c r="T291" t="str">
        <f>IF(HR_Data[[#This Row],[Attrition]]="Yes","Inactive","Active")</f>
        <v>Inactive</v>
      </c>
      <c r="U291" t="str">
        <f t="array" ref="U291">_xlfn.IFS(HR_Data[[#This Row],[Salary]]&gt;=100000,"A",HR_Data[[#This Row],[Salary]]&gt;=70000,"B",HR_Data[[#This Row],[Salary]]&gt;=50000,"C",TRUE(),"D")</f>
        <v>A</v>
      </c>
      <c r="V291" t="str">
        <f t="array" ref="V291">_xlfn.IFS(HR_Data[[#This Row],[Experience]]&gt;=15,"Expert",HR_Data[[#This Row],[Experience]]&gt;=8,"Senior",HR_Data[[#This Row],[Experience]]&gt;=3,"Mid-Level",TRUE(),"Junior")</f>
        <v>Expert</v>
      </c>
    </row>
    <row r="292" spans="1:22" ht="14.25" customHeight="1" x14ac:dyDescent="0.3">
      <c r="A292" t="s">
        <v>762</v>
      </c>
      <c r="B292" t="s">
        <v>155</v>
      </c>
      <c r="C292" t="s">
        <v>55</v>
      </c>
      <c r="D292" t="s">
        <v>25</v>
      </c>
      <c r="E292">
        <v>28</v>
      </c>
      <c r="F292">
        <v>30883</v>
      </c>
      <c r="G292">
        <v>3</v>
      </c>
      <c r="H292" t="s">
        <v>763</v>
      </c>
      <c r="I292" t="s">
        <v>80</v>
      </c>
      <c r="J292" t="s">
        <v>28</v>
      </c>
      <c r="K292" t="s">
        <v>29</v>
      </c>
      <c r="L292" t="str">
        <f t="array" ref="L292">_xlfn.IFS(HR_Data[[#This Row],[Experience]]&lt;2,"0-2 Years",HR_Data[[#This Row],[Experience]]&lt;5,"2-5 Years",HR_Data[[#This Row],[Experience]]&lt;10,"5-10 Years",TRUE(),"10+ Years")</f>
        <v>2-5 Years</v>
      </c>
      <c r="M292" t="str">
        <f t="array" ref="M292">_xlfn.IFS(HR_Data[[#This Row],[Salary]]&lt;40000,"Low",HR_Data[[#This Row],[Salary]]&lt;70000,"Medium",HR_Data[[#This Row],[Salary]]&lt;100000,"High",TRUE(),"Very High")</f>
        <v>Low</v>
      </c>
      <c r="N292" t="str">
        <f t="array" ref="N292">_xlfn.IFS(HR_Data[[#This Row],[Age]]&lt;25,"18-24",HR_Data[[#This Row],[Age]]&lt;35,"25-34",HR_Data[[#This Row],[Age]]&lt;45,"35-44",TRUE(),"45+")</f>
        <v>25-34</v>
      </c>
      <c r="O292">
        <f>YEAR(HR_Data[[#This Row],[Joining Date]])</f>
        <v>2020</v>
      </c>
      <c r="P292" t="str">
        <f>TEXT(HR_Data[[#This Row],[Joining Date]],"mmmm")</f>
        <v>April</v>
      </c>
      <c r="Q292">
        <f t="array" ref="Q292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92">
        <f>HR_Data[[#This Row],[Salary]]*HR_Data[[#This Row],[Bonus %]]</f>
        <v>4632.45</v>
      </c>
      <c r="S292">
        <f>HR_Data[[#This Row],[Salary]]+HR_Data[[#This Row],[Bonus Amount]]</f>
        <v>35515.449999999997</v>
      </c>
      <c r="T292" t="str">
        <f>IF(HR_Data[[#This Row],[Attrition]]="Yes","Inactive","Active")</f>
        <v>Active</v>
      </c>
      <c r="U292" t="str">
        <f t="array" ref="U292">_xlfn.IFS(HR_Data[[#This Row],[Salary]]&gt;=100000,"A",HR_Data[[#This Row],[Salary]]&gt;=70000,"B",HR_Data[[#This Row],[Salary]]&gt;=50000,"C",TRUE(),"D")</f>
        <v>D</v>
      </c>
      <c r="V292" t="str">
        <f t="array" ref="V292">_xlfn.IFS(HR_Data[[#This Row],[Experience]]&gt;=15,"Expert",HR_Data[[#This Row],[Experience]]&gt;=8,"Senior",HR_Data[[#This Row],[Experience]]&gt;=3,"Mid-Level",TRUE(),"Junior")</f>
        <v>Mid-Level</v>
      </c>
    </row>
    <row r="293" spans="1:22" ht="14.25" customHeight="1" x14ac:dyDescent="0.3">
      <c r="A293" t="s">
        <v>764</v>
      </c>
      <c r="B293" t="s">
        <v>257</v>
      </c>
      <c r="C293" t="s">
        <v>70</v>
      </c>
      <c r="D293" t="s">
        <v>25</v>
      </c>
      <c r="E293">
        <v>34</v>
      </c>
      <c r="F293">
        <v>68442</v>
      </c>
      <c r="G293">
        <v>14</v>
      </c>
      <c r="H293" t="s">
        <v>651</v>
      </c>
      <c r="I293" t="s">
        <v>35</v>
      </c>
      <c r="J293" t="s">
        <v>46</v>
      </c>
      <c r="K293" t="s">
        <v>29</v>
      </c>
      <c r="L293" t="str">
        <f t="array" ref="L293">_xlfn.IFS(HR_Data[[#This Row],[Experience]]&lt;2,"0-2 Years",HR_Data[[#This Row],[Experience]]&lt;5,"2-5 Years",HR_Data[[#This Row],[Experience]]&lt;10,"5-10 Years",TRUE(),"10+ Years")</f>
        <v>10+ Years</v>
      </c>
      <c r="M293" t="str">
        <f t="array" ref="M293">_xlfn.IFS(HR_Data[[#This Row],[Salary]]&lt;40000,"Low",HR_Data[[#This Row],[Salary]]&lt;70000,"Medium",HR_Data[[#This Row],[Salary]]&lt;100000,"High",TRUE(),"Very High")</f>
        <v>Medium</v>
      </c>
      <c r="N293" t="str">
        <f t="array" ref="N293">_xlfn.IFS(HR_Data[[#This Row],[Age]]&lt;25,"18-24",HR_Data[[#This Row],[Age]]&lt;35,"25-34",HR_Data[[#This Row],[Age]]&lt;45,"35-44",TRUE(),"45+")</f>
        <v>25-34</v>
      </c>
      <c r="O293">
        <f>YEAR(HR_Data[[#This Row],[Joining Date]])</f>
        <v>2018</v>
      </c>
      <c r="P293" t="str">
        <f>TEXT(HR_Data[[#This Row],[Joining Date]],"mmmm")</f>
        <v>January</v>
      </c>
      <c r="Q293">
        <f t="array" ref="Q293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293">
        <f>HR_Data[[#This Row],[Salary]]*HR_Data[[#This Row],[Bonus %]]</f>
        <v>3422.1000000000004</v>
      </c>
      <c r="S293">
        <f>HR_Data[[#This Row],[Salary]]+HR_Data[[#This Row],[Bonus Amount]]</f>
        <v>71864.100000000006</v>
      </c>
      <c r="T293" t="str">
        <f>IF(HR_Data[[#This Row],[Attrition]]="Yes","Inactive","Active")</f>
        <v>Active</v>
      </c>
      <c r="U293" t="str">
        <f t="array" ref="U293">_xlfn.IFS(HR_Data[[#This Row],[Salary]]&gt;=100000,"A",HR_Data[[#This Row],[Salary]]&gt;=70000,"B",HR_Data[[#This Row],[Salary]]&gt;=50000,"C",TRUE(),"D")</f>
        <v>C</v>
      </c>
      <c r="V293" t="str">
        <f t="array" ref="V293">_xlfn.IFS(HR_Data[[#This Row],[Experience]]&gt;=15,"Expert",HR_Data[[#This Row],[Experience]]&gt;=8,"Senior",HR_Data[[#This Row],[Experience]]&gt;=3,"Mid-Level",TRUE(),"Junior")</f>
        <v>Senior</v>
      </c>
    </row>
    <row r="294" spans="1:22" ht="14.25" customHeight="1" x14ac:dyDescent="0.3">
      <c r="A294" t="s">
        <v>765</v>
      </c>
      <c r="B294" t="s">
        <v>242</v>
      </c>
      <c r="C294" t="s">
        <v>134</v>
      </c>
      <c r="D294" t="s">
        <v>33</v>
      </c>
      <c r="E294">
        <v>45</v>
      </c>
      <c r="F294">
        <v>84956</v>
      </c>
      <c r="G294">
        <v>20</v>
      </c>
      <c r="H294" t="s">
        <v>766</v>
      </c>
      <c r="I294" t="s">
        <v>42</v>
      </c>
      <c r="J294" t="s">
        <v>90</v>
      </c>
      <c r="K294" t="s">
        <v>29</v>
      </c>
      <c r="L294" t="str">
        <f t="array" ref="L294">_xlfn.IFS(HR_Data[[#This Row],[Experience]]&lt;2,"0-2 Years",HR_Data[[#This Row],[Experience]]&lt;5,"2-5 Years",HR_Data[[#This Row],[Experience]]&lt;10,"5-10 Years",TRUE(),"10+ Years")</f>
        <v>10+ Years</v>
      </c>
      <c r="M294" t="str">
        <f t="array" ref="M294">_xlfn.IFS(HR_Data[[#This Row],[Salary]]&lt;40000,"Low",HR_Data[[#This Row],[Salary]]&lt;70000,"Medium",HR_Data[[#This Row],[Salary]]&lt;100000,"High",TRUE(),"Very High")</f>
        <v>High</v>
      </c>
      <c r="N294" t="str">
        <f t="array" ref="N294">_xlfn.IFS(HR_Data[[#This Row],[Age]]&lt;25,"18-24",HR_Data[[#This Row],[Age]]&lt;35,"25-34",HR_Data[[#This Row],[Age]]&lt;45,"35-44",TRUE(),"45+")</f>
        <v>45+</v>
      </c>
      <c r="O294">
        <f>YEAR(HR_Data[[#This Row],[Joining Date]])</f>
        <v>2023</v>
      </c>
      <c r="P294" t="str">
        <f>TEXT(HR_Data[[#This Row],[Joining Date]],"mmmm")</f>
        <v>January</v>
      </c>
      <c r="Q294">
        <f t="array" ref="Q294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294">
        <f>HR_Data[[#This Row],[Salary]]*HR_Data[[#This Row],[Bonus %]]</f>
        <v>0</v>
      </c>
      <c r="S294">
        <f>HR_Data[[#This Row],[Salary]]+HR_Data[[#This Row],[Bonus Amount]]</f>
        <v>84956</v>
      </c>
      <c r="T294" t="str">
        <f>IF(HR_Data[[#This Row],[Attrition]]="Yes","Inactive","Active")</f>
        <v>Active</v>
      </c>
      <c r="U294" t="str">
        <f t="array" ref="U294">_xlfn.IFS(HR_Data[[#This Row],[Salary]]&gt;=100000,"A",HR_Data[[#This Row],[Salary]]&gt;=70000,"B",HR_Data[[#This Row],[Salary]]&gt;=50000,"C",TRUE(),"D")</f>
        <v>B</v>
      </c>
      <c r="V294" t="str">
        <f t="array" ref="V294">_xlfn.IFS(HR_Data[[#This Row],[Experience]]&gt;=15,"Expert",HR_Data[[#This Row],[Experience]]&gt;=8,"Senior",HR_Data[[#This Row],[Experience]]&gt;=3,"Mid-Level",TRUE(),"Junior")</f>
        <v>Expert</v>
      </c>
    </row>
    <row r="295" spans="1:22" ht="14.25" customHeight="1" x14ac:dyDescent="0.3">
      <c r="A295" t="s">
        <v>767</v>
      </c>
      <c r="B295" t="s">
        <v>257</v>
      </c>
      <c r="C295" t="s">
        <v>60</v>
      </c>
      <c r="D295" t="s">
        <v>25</v>
      </c>
      <c r="E295">
        <v>39</v>
      </c>
      <c r="F295">
        <v>58968</v>
      </c>
      <c r="G295">
        <v>10</v>
      </c>
      <c r="H295" t="s">
        <v>768</v>
      </c>
      <c r="I295" t="s">
        <v>62</v>
      </c>
      <c r="J295" t="s">
        <v>28</v>
      </c>
      <c r="K295" t="s">
        <v>29</v>
      </c>
      <c r="L295" t="str">
        <f t="array" ref="L295">_xlfn.IFS(HR_Data[[#This Row],[Experience]]&lt;2,"0-2 Years",HR_Data[[#This Row],[Experience]]&lt;5,"2-5 Years",HR_Data[[#This Row],[Experience]]&lt;10,"5-10 Years",TRUE(),"10+ Years")</f>
        <v>10+ Years</v>
      </c>
      <c r="M295" t="str">
        <f t="array" ref="M295">_xlfn.IFS(HR_Data[[#This Row],[Salary]]&lt;40000,"Low",HR_Data[[#This Row],[Salary]]&lt;70000,"Medium",HR_Data[[#This Row],[Salary]]&lt;100000,"High",TRUE(),"Very High")</f>
        <v>Medium</v>
      </c>
      <c r="N295" t="str">
        <f t="array" ref="N295">_xlfn.IFS(HR_Data[[#This Row],[Age]]&lt;25,"18-24",HR_Data[[#This Row],[Age]]&lt;35,"25-34",HR_Data[[#This Row],[Age]]&lt;45,"35-44",TRUE(),"45+")</f>
        <v>35-44</v>
      </c>
      <c r="O295">
        <f>YEAR(HR_Data[[#This Row],[Joining Date]])</f>
        <v>2015</v>
      </c>
      <c r="P295" t="str">
        <f>TEXT(HR_Data[[#This Row],[Joining Date]],"mmmm")</f>
        <v>November</v>
      </c>
      <c r="Q295">
        <f t="array" ref="Q295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295">
        <f>HR_Data[[#This Row],[Salary]]*HR_Data[[#This Row],[Bonus %]]</f>
        <v>8845.1999999999989</v>
      </c>
      <c r="S295">
        <f>HR_Data[[#This Row],[Salary]]+HR_Data[[#This Row],[Bonus Amount]]</f>
        <v>67813.2</v>
      </c>
      <c r="T295" t="str">
        <f>IF(HR_Data[[#This Row],[Attrition]]="Yes","Inactive","Active")</f>
        <v>Active</v>
      </c>
      <c r="U295" t="str">
        <f t="array" ref="U295">_xlfn.IFS(HR_Data[[#This Row],[Salary]]&gt;=100000,"A",HR_Data[[#This Row],[Salary]]&gt;=70000,"B",HR_Data[[#This Row],[Salary]]&gt;=50000,"C",TRUE(),"D")</f>
        <v>C</v>
      </c>
      <c r="V295" t="str">
        <f t="array" ref="V295">_xlfn.IFS(HR_Data[[#This Row],[Experience]]&gt;=15,"Expert",HR_Data[[#This Row],[Experience]]&gt;=8,"Senior",HR_Data[[#This Row],[Experience]]&gt;=3,"Mid-Level",TRUE(),"Junior")</f>
        <v>Senior</v>
      </c>
    </row>
    <row r="296" spans="1:22" ht="14.25" customHeight="1" x14ac:dyDescent="0.3">
      <c r="A296" t="s">
        <v>769</v>
      </c>
      <c r="B296" t="s">
        <v>770</v>
      </c>
      <c r="C296" t="s">
        <v>75</v>
      </c>
      <c r="D296" t="s">
        <v>33</v>
      </c>
      <c r="E296">
        <v>51</v>
      </c>
      <c r="F296">
        <v>129192</v>
      </c>
      <c r="G296">
        <v>32</v>
      </c>
      <c r="H296" t="s">
        <v>771</v>
      </c>
      <c r="I296" t="s">
        <v>42</v>
      </c>
      <c r="J296" t="s">
        <v>46</v>
      </c>
      <c r="K296" t="s">
        <v>29</v>
      </c>
      <c r="L296" t="str">
        <f t="array" ref="L296">_xlfn.IFS(HR_Data[[#This Row],[Experience]]&lt;2,"0-2 Years",HR_Data[[#This Row],[Experience]]&lt;5,"2-5 Years",HR_Data[[#This Row],[Experience]]&lt;10,"5-10 Years",TRUE(),"10+ Years")</f>
        <v>10+ Years</v>
      </c>
      <c r="M296" t="str">
        <f t="array" ref="M296">_xlfn.IFS(HR_Data[[#This Row],[Salary]]&lt;40000,"Low",HR_Data[[#This Row],[Salary]]&lt;70000,"Medium",HR_Data[[#This Row],[Salary]]&lt;100000,"High",TRUE(),"Very High")</f>
        <v>Very High</v>
      </c>
      <c r="N296" t="str">
        <f t="array" ref="N296">_xlfn.IFS(HR_Data[[#This Row],[Age]]&lt;25,"18-24",HR_Data[[#This Row],[Age]]&lt;35,"25-34",HR_Data[[#This Row],[Age]]&lt;45,"35-44",TRUE(),"45+")</f>
        <v>45+</v>
      </c>
      <c r="O296">
        <f>YEAR(HR_Data[[#This Row],[Joining Date]])</f>
        <v>2020</v>
      </c>
      <c r="P296" t="str">
        <f>TEXT(HR_Data[[#This Row],[Joining Date]],"mmmm")</f>
        <v>November</v>
      </c>
      <c r="Q296">
        <f t="array" ref="Q296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296">
        <f>HR_Data[[#This Row],[Salary]]*HR_Data[[#This Row],[Bonus %]]</f>
        <v>6459.6</v>
      </c>
      <c r="S296">
        <f>HR_Data[[#This Row],[Salary]]+HR_Data[[#This Row],[Bonus Amount]]</f>
        <v>135651.6</v>
      </c>
      <c r="T296" t="str">
        <f>IF(HR_Data[[#This Row],[Attrition]]="Yes","Inactive","Active")</f>
        <v>Active</v>
      </c>
      <c r="U296" t="str">
        <f t="array" ref="U296">_xlfn.IFS(HR_Data[[#This Row],[Salary]]&gt;=100000,"A",HR_Data[[#This Row],[Salary]]&gt;=70000,"B",HR_Data[[#This Row],[Salary]]&gt;=50000,"C",TRUE(),"D")</f>
        <v>A</v>
      </c>
      <c r="V296" t="str">
        <f t="array" ref="V296">_xlfn.IFS(HR_Data[[#This Row],[Experience]]&gt;=15,"Expert",HR_Data[[#This Row],[Experience]]&gt;=8,"Senior",HR_Data[[#This Row],[Experience]]&gt;=3,"Mid-Level",TRUE(),"Junior")</f>
        <v>Expert</v>
      </c>
    </row>
    <row r="297" spans="1:22" ht="14.25" customHeight="1" x14ac:dyDescent="0.3">
      <c r="A297" t="s">
        <v>772</v>
      </c>
      <c r="B297" t="s">
        <v>773</v>
      </c>
      <c r="C297" t="s">
        <v>60</v>
      </c>
      <c r="D297" t="s">
        <v>25</v>
      </c>
      <c r="E297">
        <v>49</v>
      </c>
      <c r="F297">
        <v>114380</v>
      </c>
      <c r="G297">
        <v>29</v>
      </c>
      <c r="H297" t="s">
        <v>774</v>
      </c>
      <c r="I297" t="s">
        <v>67</v>
      </c>
      <c r="J297" t="s">
        <v>63</v>
      </c>
      <c r="K297" t="s">
        <v>29</v>
      </c>
      <c r="L297" t="str">
        <f t="array" ref="L297">_xlfn.IFS(HR_Data[[#This Row],[Experience]]&lt;2,"0-2 Years",HR_Data[[#This Row],[Experience]]&lt;5,"2-5 Years",HR_Data[[#This Row],[Experience]]&lt;10,"5-10 Years",TRUE(),"10+ Years")</f>
        <v>10+ Years</v>
      </c>
      <c r="M297" t="str">
        <f t="array" ref="M297">_xlfn.IFS(HR_Data[[#This Row],[Salary]]&lt;40000,"Low",HR_Data[[#This Row],[Salary]]&lt;70000,"Medium",HR_Data[[#This Row],[Salary]]&lt;100000,"High",TRUE(),"Very High")</f>
        <v>Very High</v>
      </c>
      <c r="N297" t="str">
        <f t="array" ref="N297">_xlfn.IFS(HR_Data[[#This Row],[Age]]&lt;25,"18-24",HR_Data[[#This Row],[Age]]&lt;35,"25-34",HR_Data[[#This Row],[Age]]&lt;45,"35-44",TRUE(),"45+")</f>
        <v>45+</v>
      </c>
      <c r="O297">
        <f>YEAR(HR_Data[[#This Row],[Joining Date]])</f>
        <v>2017</v>
      </c>
      <c r="P297" t="str">
        <f>TEXT(HR_Data[[#This Row],[Joining Date]],"mmmm")</f>
        <v>September</v>
      </c>
      <c r="Q297">
        <f t="array" ref="Q297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297">
        <f>HR_Data[[#This Row],[Salary]]*HR_Data[[#This Row],[Bonus %]]</f>
        <v>22876</v>
      </c>
      <c r="S297">
        <f>HR_Data[[#This Row],[Salary]]+HR_Data[[#This Row],[Bonus Amount]]</f>
        <v>137256</v>
      </c>
      <c r="T297" t="str">
        <f>IF(HR_Data[[#This Row],[Attrition]]="Yes","Inactive","Active")</f>
        <v>Active</v>
      </c>
      <c r="U297" t="str">
        <f t="array" ref="U297">_xlfn.IFS(HR_Data[[#This Row],[Salary]]&gt;=100000,"A",HR_Data[[#This Row],[Salary]]&gt;=70000,"B",HR_Data[[#This Row],[Salary]]&gt;=50000,"C",TRUE(),"D")</f>
        <v>A</v>
      </c>
      <c r="V297" t="str">
        <f t="array" ref="V297">_xlfn.IFS(HR_Data[[#This Row],[Experience]]&gt;=15,"Expert",HR_Data[[#This Row],[Experience]]&gt;=8,"Senior",HR_Data[[#This Row],[Experience]]&gt;=3,"Mid-Level",TRUE(),"Junior")</f>
        <v>Expert</v>
      </c>
    </row>
    <row r="298" spans="1:22" ht="14.25" customHeight="1" x14ac:dyDescent="0.3">
      <c r="A298" t="s">
        <v>775</v>
      </c>
      <c r="B298" t="s">
        <v>130</v>
      </c>
      <c r="C298" t="s">
        <v>93</v>
      </c>
      <c r="D298" t="s">
        <v>33</v>
      </c>
      <c r="E298">
        <v>33</v>
      </c>
      <c r="F298">
        <v>52205</v>
      </c>
      <c r="G298">
        <v>5</v>
      </c>
      <c r="H298" t="s">
        <v>776</v>
      </c>
      <c r="I298" t="s">
        <v>42</v>
      </c>
      <c r="J298" t="s">
        <v>46</v>
      </c>
      <c r="K298" t="s">
        <v>37</v>
      </c>
      <c r="L298" t="str">
        <f t="array" ref="L298">_xlfn.IFS(HR_Data[[#This Row],[Experience]]&lt;2,"0-2 Years",HR_Data[[#This Row],[Experience]]&lt;5,"2-5 Years",HR_Data[[#This Row],[Experience]]&lt;10,"5-10 Years",TRUE(),"10+ Years")</f>
        <v>5-10 Years</v>
      </c>
      <c r="M298" t="str">
        <f t="array" ref="M298">_xlfn.IFS(HR_Data[[#This Row],[Salary]]&lt;40000,"Low",HR_Data[[#This Row],[Salary]]&lt;70000,"Medium",HR_Data[[#This Row],[Salary]]&lt;100000,"High",TRUE(),"Very High")</f>
        <v>Medium</v>
      </c>
      <c r="N298" t="str">
        <f t="array" ref="N298">_xlfn.IFS(HR_Data[[#This Row],[Age]]&lt;25,"18-24",HR_Data[[#This Row],[Age]]&lt;35,"25-34",HR_Data[[#This Row],[Age]]&lt;45,"35-44",TRUE(),"45+")</f>
        <v>25-34</v>
      </c>
      <c r="O298">
        <f>YEAR(HR_Data[[#This Row],[Joining Date]])</f>
        <v>2020</v>
      </c>
      <c r="P298" t="str">
        <f>TEXT(HR_Data[[#This Row],[Joining Date]],"mmmm")</f>
        <v>October</v>
      </c>
      <c r="Q298">
        <f t="array" ref="Q298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298">
        <f>HR_Data[[#This Row],[Salary]]*HR_Data[[#This Row],[Bonus %]]</f>
        <v>2610.25</v>
      </c>
      <c r="S298">
        <f>HR_Data[[#This Row],[Salary]]+HR_Data[[#This Row],[Bonus Amount]]</f>
        <v>54815.25</v>
      </c>
      <c r="T298" t="str">
        <f>IF(HR_Data[[#This Row],[Attrition]]="Yes","Inactive","Active")</f>
        <v>Inactive</v>
      </c>
      <c r="U298" t="str">
        <f t="array" ref="U298">_xlfn.IFS(HR_Data[[#This Row],[Salary]]&gt;=100000,"A",HR_Data[[#This Row],[Salary]]&gt;=70000,"B",HR_Data[[#This Row],[Salary]]&gt;=50000,"C",TRUE(),"D")</f>
        <v>C</v>
      </c>
      <c r="V298" t="str">
        <f t="array" ref="V298">_xlfn.IFS(HR_Data[[#This Row],[Experience]]&gt;=15,"Expert",HR_Data[[#This Row],[Experience]]&gt;=8,"Senior",HR_Data[[#This Row],[Experience]]&gt;=3,"Mid-Level",TRUE(),"Junior")</f>
        <v>Mid-Level</v>
      </c>
    </row>
    <row r="299" spans="1:22" ht="14.25" customHeight="1" x14ac:dyDescent="0.3">
      <c r="A299" t="s">
        <v>777</v>
      </c>
      <c r="B299" t="s">
        <v>657</v>
      </c>
      <c r="C299" t="s">
        <v>93</v>
      </c>
      <c r="D299" t="s">
        <v>33</v>
      </c>
      <c r="E299">
        <v>41</v>
      </c>
      <c r="F299">
        <v>85599</v>
      </c>
      <c r="G299">
        <v>21</v>
      </c>
      <c r="H299" t="s">
        <v>778</v>
      </c>
      <c r="I299" t="s">
        <v>62</v>
      </c>
      <c r="J299" t="s">
        <v>63</v>
      </c>
      <c r="K299" t="s">
        <v>29</v>
      </c>
      <c r="L299" t="str">
        <f t="array" ref="L299">_xlfn.IFS(HR_Data[[#This Row],[Experience]]&lt;2,"0-2 Years",HR_Data[[#This Row],[Experience]]&lt;5,"2-5 Years",HR_Data[[#This Row],[Experience]]&lt;10,"5-10 Years",TRUE(),"10+ Years")</f>
        <v>10+ Years</v>
      </c>
      <c r="M299" t="str">
        <f t="array" ref="M299">_xlfn.IFS(HR_Data[[#This Row],[Salary]]&lt;40000,"Low",HR_Data[[#This Row],[Salary]]&lt;70000,"Medium",HR_Data[[#This Row],[Salary]]&lt;100000,"High",TRUE(),"Very High")</f>
        <v>High</v>
      </c>
      <c r="N299" t="str">
        <f t="array" ref="N299">_xlfn.IFS(HR_Data[[#This Row],[Age]]&lt;25,"18-24",HR_Data[[#This Row],[Age]]&lt;35,"25-34",HR_Data[[#This Row],[Age]]&lt;45,"35-44",TRUE(),"45+")</f>
        <v>35-44</v>
      </c>
      <c r="O299">
        <f>YEAR(HR_Data[[#This Row],[Joining Date]])</f>
        <v>2025</v>
      </c>
      <c r="P299" t="str">
        <f>TEXT(HR_Data[[#This Row],[Joining Date]],"mmmm")</f>
        <v>May</v>
      </c>
      <c r="Q299">
        <f t="array" ref="Q299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299">
        <f>HR_Data[[#This Row],[Salary]]*HR_Data[[#This Row],[Bonus %]]</f>
        <v>17119.8</v>
      </c>
      <c r="S299">
        <f>HR_Data[[#This Row],[Salary]]+HR_Data[[#This Row],[Bonus Amount]]</f>
        <v>102718.8</v>
      </c>
      <c r="T299" t="str">
        <f>IF(HR_Data[[#This Row],[Attrition]]="Yes","Inactive","Active")</f>
        <v>Active</v>
      </c>
      <c r="U299" t="str">
        <f t="array" ref="U299">_xlfn.IFS(HR_Data[[#This Row],[Salary]]&gt;=100000,"A",HR_Data[[#This Row],[Salary]]&gt;=70000,"B",HR_Data[[#This Row],[Salary]]&gt;=50000,"C",TRUE(),"D")</f>
        <v>B</v>
      </c>
      <c r="V299" t="str">
        <f t="array" ref="V299">_xlfn.IFS(HR_Data[[#This Row],[Experience]]&gt;=15,"Expert",HR_Data[[#This Row],[Experience]]&gt;=8,"Senior",HR_Data[[#This Row],[Experience]]&gt;=3,"Mid-Level",TRUE(),"Junior")</f>
        <v>Expert</v>
      </c>
    </row>
    <row r="300" spans="1:22" ht="14.25" customHeight="1" x14ac:dyDescent="0.3">
      <c r="A300" t="s">
        <v>779</v>
      </c>
      <c r="B300" t="s">
        <v>202</v>
      </c>
      <c r="C300" t="s">
        <v>112</v>
      </c>
      <c r="D300" t="s">
        <v>33</v>
      </c>
      <c r="E300">
        <v>48</v>
      </c>
      <c r="F300">
        <v>114998</v>
      </c>
      <c r="G300">
        <v>27</v>
      </c>
      <c r="H300" t="s">
        <v>780</v>
      </c>
      <c r="I300" t="s">
        <v>80</v>
      </c>
      <c r="J300" t="s">
        <v>46</v>
      </c>
      <c r="K300" t="s">
        <v>29</v>
      </c>
      <c r="L300" t="str">
        <f t="array" ref="L300">_xlfn.IFS(HR_Data[[#This Row],[Experience]]&lt;2,"0-2 Years",HR_Data[[#This Row],[Experience]]&lt;5,"2-5 Years",HR_Data[[#This Row],[Experience]]&lt;10,"5-10 Years",TRUE(),"10+ Years")</f>
        <v>10+ Years</v>
      </c>
      <c r="M300" t="str">
        <f t="array" ref="M300">_xlfn.IFS(HR_Data[[#This Row],[Salary]]&lt;40000,"Low",HR_Data[[#This Row],[Salary]]&lt;70000,"Medium",HR_Data[[#This Row],[Salary]]&lt;100000,"High",TRUE(),"Very High")</f>
        <v>Very High</v>
      </c>
      <c r="N300" t="str">
        <f t="array" ref="N300">_xlfn.IFS(HR_Data[[#This Row],[Age]]&lt;25,"18-24",HR_Data[[#This Row],[Age]]&lt;35,"25-34",HR_Data[[#This Row],[Age]]&lt;45,"35-44",TRUE(),"45+")</f>
        <v>45+</v>
      </c>
      <c r="O300">
        <f>YEAR(HR_Data[[#This Row],[Joining Date]])</f>
        <v>2019</v>
      </c>
      <c r="P300" t="str">
        <f>TEXT(HR_Data[[#This Row],[Joining Date]],"mmmm")</f>
        <v>October</v>
      </c>
      <c r="Q300">
        <f t="array" ref="Q300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300">
        <f>HR_Data[[#This Row],[Salary]]*HR_Data[[#This Row],[Bonus %]]</f>
        <v>5749.9000000000005</v>
      </c>
      <c r="S300">
        <f>HR_Data[[#This Row],[Salary]]+HR_Data[[#This Row],[Bonus Amount]]</f>
        <v>120747.9</v>
      </c>
      <c r="T300" t="str">
        <f>IF(HR_Data[[#This Row],[Attrition]]="Yes","Inactive","Active")</f>
        <v>Active</v>
      </c>
      <c r="U300" t="str">
        <f t="array" ref="U300">_xlfn.IFS(HR_Data[[#This Row],[Salary]]&gt;=100000,"A",HR_Data[[#This Row],[Salary]]&gt;=70000,"B",HR_Data[[#This Row],[Salary]]&gt;=50000,"C",TRUE(),"D")</f>
        <v>A</v>
      </c>
      <c r="V300" t="str">
        <f t="array" ref="V300">_xlfn.IFS(HR_Data[[#This Row],[Experience]]&gt;=15,"Expert",HR_Data[[#This Row],[Experience]]&gt;=8,"Senior",HR_Data[[#This Row],[Experience]]&gt;=3,"Mid-Level",TRUE(),"Junior")</f>
        <v>Expert</v>
      </c>
    </row>
    <row r="301" spans="1:22" ht="14.25" customHeight="1" x14ac:dyDescent="0.3">
      <c r="A301" t="s">
        <v>781</v>
      </c>
      <c r="B301" t="s">
        <v>594</v>
      </c>
      <c r="C301" t="s">
        <v>60</v>
      </c>
      <c r="D301" t="s">
        <v>33</v>
      </c>
      <c r="E301">
        <v>56</v>
      </c>
      <c r="F301">
        <v>134244</v>
      </c>
      <c r="G301">
        <v>31</v>
      </c>
      <c r="H301" t="s">
        <v>782</v>
      </c>
      <c r="I301" t="s">
        <v>45</v>
      </c>
      <c r="J301" t="s">
        <v>63</v>
      </c>
      <c r="K301" t="s">
        <v>29</v>
      </c>
      <c r="L301" t="str">
        <f t="array" ref="L301">_xlfn.IFS(HR_Data[[#This Row],[Experience]]&lt;2,"0-2 Years",HR_Data[[#This Row],[Experience]]&lt;5,"2-5 Years",HR_Data[[#This Row],[Experience]]&lt;10,"5-10 Years",TRUE(),"10+ Years")</f>
        <v>10+ Years</v>
      </c>
      <c r="M301" t="str">
        <f t="array" ref="M301">_xlfn.IFS(HR_Data[[#This Row],[Salary]]&lt;40000,"Low",HR_Data[[#This Row],[Salary]]&lt;70000,"Medium",HR_Data[[#This Row],[Salary]]&lt;100000,"High",TRUE(),"Very High")</f>
        <v>Very High</v>
      </c>
      <c r="N301" t="str">
        <f t="array" ref="N301">_xlfn.IFS(HR_Data[[#This Row],[Age]]&lt;25,"18-24",HR_Data[[#This Row],[Age]]&lt;35,"25-34",HR_Data[[#This Row],[Age]]&lt;45,"35-44",TRUE(),"45+")</f>
        <v>45+</v>
      </c>
      <c r="O301">
        <f>YEAR(HR_Data[[#This Row],[Joining Date]])</f>
        <v>2025</v>
      </c>
      <c r="P301" t="str">
        <f>TEXT(HR_Data[[#This Row],[Joining Date]],"mmmm")</f>
        <v>September</v>
      </c>
      <c r="Q301">
        <f t="array" ref="Q301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301">
        <f>HR_Data[[#This Row],[Salary]]*HR_Data[[#This Row],[Bonus %]]</f>
        <v>26848.800000000003</v>
      </c>
      <c r="S301">
        <f>HR_Data[[#This Row],[Salary]]+HR_Data[[#This Row],[Bonus Amount]]</f>
        <v>161092.79999999999</v>
      </c>
      <c r="T301" t="str">
        <f>IF(HR_Data[[#This Row],[Attrition]]="Yes","Inactive","Active")</f>
        <v>Active</v>
      </c>
      <c r="U301" t="str">
        <f t="array" ref="U301">_xlfn.IFS(HR_Data[[#This Row],[Salary]]&gt;=100000,"A",HR_Data[[#This Row],[Salary]]&gt;=70000,"B",HR_Data[[#This Row],[Salary]]&gt;=50000,"C",TRUE(),"D")</f>
        <v>A</v>
      </c>
      <c r="V301" t="str">
        <f t="array" ref="V301">_xlfn.IFS(HR_Data[[#This Row],[Experience]]&gt;=15,"Expert",HR_Data[[#This Row],[Experience]]&gt;=8,"Senior",HR_Data[[#This Row],[Experience]]&gt;=3,"Mid-Level",TRUE(),"Junior")</f>
        <v>Expert</v>
      </c>
    </row>
    <row r="302" spans="1:22" ht="14.25" customHeight="1" x14ac:dyDescent="0.3">
      <c r="A302" t="s">
        <v>783</v>
      </c>
      <c r="B302" t="s">
        <v>363</v>
      </c>
      <c r="C302" t="s">
        <v>55</v>
      </c>
      <c r="D302" t="s">
        <v>25</v>
      </c>
      <c r="E302">
        <v>26</v>
      </c>
      <c r="F302">
        <v>31967</v>
      </c>
      <c r="G302">
        <v>1</v>
      </c>
      <c r="H302" t="s">
        <v>784</v>
      </c>
      <c r="I302" t="s">
        <v>80</v>
      </c>
      <c r="J302" t="s">
        <v>36</v>
      </c>
      <c r="K302" t="s">
        <v>29</v>
      </c>
      <c r="L302" t="str">
        <f t="array" ref="L302">_xlfn.IFS(HR_Data[[#This Row],[Experience]]&lt;2,"0-2 Years",HR_Data[[#This Row],[Experience]]&lt;5,"2-5 Years",HR_Data[[#This Row],[Experience]]&lt;10,"5-10 Years",TRUE(),"10+ Years")</f>
        <v>0-2 Years</v>
      </c>
      <c r="M302" t="str">
        <f t="array" ref="M302">_xlfn.IFS(HR_Data[[#This Row],[Salary]]&lt;40000,"Low",HR_Data[[#This Row],[Salary]]&lt;70000,"Medium",HR_Data[[#This Row],[Salary]]&lt;100000,"High",TRUE(),"Very High")</f>
        <v>Low</v>
      </c>
      <c r="N302" t="str">
        <f t="array" ref="N302">_xlfn.IFS(HR_Data[[#This Row],[Age]]&lt;25,"18-24",HR_Data[[#This Row],[Age]]&lt;35,"25-34",HR_Data[[#This Row],[Age]]&lt;45,"35-44",TRUE(),"45+")</f>
        <v>25-34</v>
      </c>
      <c r="O302">
        <f>YEAR(HR_Data[[#This Row],[Joining Date]])</f>
        <v>2025</v>
      </c>
      <c r="P302" t="str">
        <f>TEXT(HR_Data[[#This Row],[Joining Date]],"mmmm")</f>
        <v>October</v>
      </c>
      <c r="Q302">
        <f t="array" ref="Q30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02">
        <f>HR_Data[[#This Row],[Salary]]*HR_Data[[#This Row],[Bonus %]]</f>
        <v>3196.7000000000003</v>
      </c>
      <c r="S302">
        <f>HR_Data[[#This Row],[Salary]]+HR_Data[[#This Row],[Bonus Amount]]</f>
        <v>35163.699999999997</v>
      </c>
      <c r="T302" t="str">
        <f>IF(HR_Data[[#This Row],[Attrition]]="Yes","Inactive","Active")</f>
        <v>Active</v>
      </c>
      <c r="U302" t="str">
        <f t="array" ref="U302">_xlfn.IFS(HR_Data[[#This Row],[Salary]]&gt;=100000,"A",HR_Data[[#This Row],[Salary]]&gt;=70000,"B",HR_Data[[#This Row],[Salary]]&gt;=50000,"C",TRUE(),"D")</f>
        <v>D</v>
      </c>
      <c r="V302" t="str">
        <f t="array" ref="V302">_xlfn.IFS(HR_Data[[#This Row],[Experience]]&gt;=15,"Expert",HR_Data[[#This Row],[Experience]]&gt;=8,"Senior",HR_Data[[#This Row],[Experience]]&gt;=3,"Mid-Level",TRUE(),"Junior")</f>
        <v>Junior</v>
      </c>
    </row>
    <row r="303" spans="1:22" ht="14.25" customHeight="1" x14ac:dyDescent="0.3">
      <c r="A303" t="s">
        <v>785</v>
      </c>
      <c r="B303" t="s">
        <v>786</v>
      </c>
      <c r="C303" t="s">
        <v>93</v>
      </c>
      <c r="D303" t="s">
        <v>25</v>
      </c>
      <c r="E303">
        <v>30</v>
      </c>
      <c r="F303">
        <v>62648</v>
      </c>
      <c r="G303">
        <v>11</v>
      </c>
      <c r="H303" t="s">
        <v>787</v>
      </c>
      <c r="I303" t="s">
        <v>72</v>
      </c>
      <c r="J303" t="s">
        <v>63</v>
      </c>
      <c r="K303" t="s">
        <v>29</v>
      </c>
      <c r="L303" t="str">
        <f t="array" ref="L303">_xlfn.IFS(HR_Data[[#This Row],[Experience]]&lt;2,"0-2 Years",HR_Data[[#This Row],[Experience]]&lt;5,"2-5 Years",HR_Data[[#This Row],[Experience]]&lt;10,"5-10 Years",TRUE(),"10+ Years")</f>
        <v>10+ Years</v>
      </c>
      <c r="M303" t="str">
        <f t="array" ref="M303">_xlfn.IFS(HR_Data[[#This Row],[Salary]]&lt;40000,"Low",HR_Data[[#This Row],[Salary]]&lt;70000,"Medium",HR_Data[[#This Row],[Salary]]&lt;100000,"High",TRUE(),"Very High")</f>
        <v>Medium</v>
      </c>
      <c r="N303" t="str">
        <f t="array" ref="N303">_xlfn.IFS(HR_Data[[#This Row],[Age]]&lt;25,"18-24",HR_Data[[#This Row],[Age]]&lt;35,"25-34",HR_Data[[#This Row],[Age]]&lt;45,"35-44",TRUE(),"45+")</f>
        <v>25-34</v>
      </c>
      <c r="O303">
        <f>YEAR(HR_Data[[#This Row],[Joining Date]])</f>
        <v>2019</v>
      </c>
      <c r="P303" t="str">
        <f>TEXT(HR_Data[[#This Row],[Joining Date]],"mmmm")</f>
        <v>November</v>
      </c>
      <c r="Q303">
        <f t="array" ref="Q303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303">
        <f>HR_Data[[#This Row],[Salary]]*HR_Data[[#This Row],[Bonus %]]</f>
        <v>12529.6</v>
      </c>
      <c r="S303">
        <f>HR_Data[[#This Row],[Salary]]+HR_Data[[#This Row],[Bonus Amount]]</f>
        <v>75177.600000000006</v>
      </c>
      <c r="T303" t="str">
        <f>IF(HR_Data[[#This Row],[Attrition]]="Yes","Inactive","Active")</f>
        <v>Active</v>
      </c>
      <c r="U303" t="str">
        <f t="array" ref="U303">_xlfn.IFS(HR_Data[[#This Row],[Salary]]&gt;=100000,"A",HR_Data[[#This Row],[Salary]]&gt;=70000,"B",HR_Data[[#This Row],[Salary]]&gt;=50000,"C",TRUE(),"D")</f>
        <v>C</v>
      </c>
      <c r="V303" t="str">
        <f t="array" ref="V303">_xlfn.IFS(HR_Data[[#This Row],[Experience]]&gt;=15,"Expert",HR_Data[[#This Row],[Experience]]&gt;=8,"Senior",HR_Data[[#This Row],[Experience]]&gt;=3,"Mid-Level",TRUE(),"Junior")</f>
        <v>Senior</v>
      </c>
    </row>
    <row r="304" spans="1:22" ht="14.25" customHeight="1" x14ac:dyDescent="0.3">
      <c r="A304" t="s">
        <v>788</v>
      </c>
      <c r="B304" t="s">
        <v>727</v>
      </c>
      <c r="C304" t="s">
        <v>24</v>
      </c>
      <c r="D304" t="s">
        <v>25</v>
      </c>
      <c r="E304">
        <v>35</v>
      </c>
      <c r="F304">
        <v>65081</v>
      </c>
      <c r="G304">
        <v>14</v>
      </c>
      <c r="H304" t="s">
        <v>504</v>
      </c>
      <c r="I304" t="s">
        <v>67</v>
      </c>
      <c r="J304" t="s">
        <v>36</v>
      </c>
      <c r="K304" t="s">
        <v>29</v>
      </c>
      <c r="L304" t="str">
        <f t="array" ref="L304">_xlfn.IFS(HR_Data[[#This Row],[Experience]]&lt;2,"0-2 Years",HR_Data[[#This Row],[Experience]]&lt;5,"2-5 Years",HR_Data[[#This Row],[Experience]]&lt;10,"5-10 Years",TRUE(),"10+ Years")</f>
        <v>10+ Years</v>
      </c>
      <c r="M304" t="str">
        <f t="array" ref="M304">_xlfn.IFS(HR_Data[[#This Row],[Salary]]&lt;40000,"Low",HR_Data[[#This Row],[Salary]]&lt;70000,"Medium",HR_Data[[#This Row],[Salary]]&lt;100000,"High",TRUE(),"Very High")</f>
        <v>Medium</v>
      </c>
      <c r="N304" t="str">
        <f t="array" ref="N304">_xlfn.IFS(HR_Data[[#This Row],[Age]]&lt;25,"18-24",HR_Data[[#This Row],[Age]]&lt;35,"25-34",HR_Data[[#This Row],[Age]]&lt;45,"35-44",TRUE(),"45+")</f>
        <v>35-44</v>
      </c>
      <c r="O304">
        <f>YEAR(HR_Data[[#This Row],[Joining Date]])</f>
        <v>2020</v>
      </c>
      <c r="P304" t="str">
        <f>TEXT(HR_Data[[#This Row],[Joining Date]],"mmmm")</f>
        <v>July</v>
      </c>
      <c r="Q304">
        <f t="array" ref="Q304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04">
        <f>HR_Data[[#This Row],[Salary]]*HR_Data[[#This Row],[Bonus %]]</f>
        <v>6508.1</v>
      </c>
      <c r="S304">
        <f>HR_Data[[#This Row],[Salary]]+HR_Data[[#This Row],[Bonus Amount]]</f>
        <v>71589.100000000006</v>
      </c>
      <c r="T304" t="str">
        <f>IF(HR_Data[[#This Row],[Attrition]]="Yes","Inactive","Active")</f>
        <v>Active</v>
      </c>
      <c r="U304" t="str">
        <f t="array" ref="U304">_xlfn.IFS(HR_Data[[#This Row],[Salary]]&gt;=100000,"A",HR_Data[[#This Row],[Salary]]&gt;=70000,"B",HR_Data[[#This Row],[Salary]]&gt;=50000,"C",TRUE(),"D")</f>
        <v>C</v>
      </c>
      <c r="V304" t="str">
        <f t="array" ref="V304">_xlfn.IFS(HR_Data[[#This Row],[Experience]]&gt;=15,"Expert",HR_Data[[#This Row],[Experience]]&gt;=8,"Senior",HR_Data[[#This Row],[Experience]]&gt;=3,"Mid-Level",TRUE(),"Junior")</f>
        <v>Senior</v>
      </c>
    </row>
    <row r="305" spans="1:22" ht="14.25" customHeight="1" x14ac:dyDescent="0.3">
      <c r="A305" t="s">
        <v>789</v>
      </c>
      <c r="B305" t="s">
        <v>193</v>
      </c>
      <c r="C305" t="s">
        <v>55</v>
      </c>
      <c r="D305" t="s">
        <v>33</v>
      </c>
      <c r="E305">
        <v>32</v>
      </c>
      <c r="F305">
        <v>59951</v>
      </c>
      <c r="G305">
        <v>11</v>
      </c>
      <c r="H305" t="s">
        <v>790</v>
      </c>
      <c r="I305" t="s">
        <v>72</v>
      </c>
      <c r="J305" t="s">
        <v>46</v>
      </c>
      <c r="K305" t="s">
        <v>29</v>
      </c>
      <c r="L305" t="str">
        <f t="array" ref="L305">_xlfn.IFS(HR_Data[[#This Row],[Experience]]&lt;2,"0-2 Years",HR_Data[[#This Row],[Experience]]&lt;5,"2-5 Years",HR_Data[[#This Row],[Experience]]&lt;10,"5-10 Years",TRUE(),"10+ Years")</f>
        <v>10+ Years</v>
      </c>
      <c r="M305" t="str">
        <f t="array" ref="M305">_xlfn.IFS(HR_Data[[#This Row],[Salary]]&lt;40000,"Low",HR_Data[[#This Row],[Salary]]&lt;70000,"Medium",HR_Data[[#This Row],[Salary]]&lt;100000,"High",TRUE(),"Very High")</f>
        <v>Medium</v>
      </c>
      <c r="N305" t="str">
        <f t="array" ref="N305">_xlfn.IFS(HR_Data[[#This Row],[Age]]&lt;25,"18-24",HR_Data[[#This Row],[Age]]&lt;35,"25-34",HR_Data[[#This Row],[Age]]&lt;45,"35-44",TRUE(),"45+")</f>
        <v>25-34</v>
      </c>
      <c r="O305">
        <f>YEAR(HR_Data[[#This Row],[Joining Date]])</f>
        <v>2022</v>
      </c>
      <c r="P305" t="str">
        <f>TEXT(HR_Data[[#This Row],[Joining Date]],"mmmm")</f>
        <v>February</v>
      </c>
      <c r="Q305">
        <f t="array" ref="Q305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305">
        <f>HR_Data[[#This Row],[Salary]]*HR_Data[[#This Row],[Bonus %]]</f>
        <v>2997.55</v>
      </c>
      <c r="S305">
        <f>HR_Data[[#This Row],[Salary]]+HR_Data[[#This Row],[Bonus Amount]]</f>
        <v>62948.55</v>
      </c>
      <c r="T305" t="str">
        <f>IF(HR_Data[[#This Row],[Attrition]]="Yes","Inactive","Active")</f>
        <v>Active</v>
      </c>
      <c r="U305" t="str">
        <f t="array" ref="U305">_xlfn.IFS(HR_Data[[#This Row],[Salary]]&gt;=100000,"A",HR_Data[[#This Row],[Salary]]&gt;=70000,"B",HR_Data[[#This Row],[Salary]]&gt;=50000,"C",TRUE(),"D")</f>
        <v>C</v>
      </c>
      <c r="V305" t="str">
        <f t="array" ref="V305">_xlfn.IFS(HR_Data[[#This Row],[Experience]]&gt;=15,"Expert",HR_Data[[#This Row],[Experience]]&gt;=8,"Senior",HR_Data[[#This Row],[Experience]]&gt;=3,"Mid-Level",TRUE(),"Junior")</f>
        <v>Senior</v>
      </c>
    </row>
    <row r="306" spans="1:22" ht="14.25" customHeight="1" x14ac:dyDescent="0.3">
      <c r="A306" t="s">
        <v>791</v>
      </c>
      <c r="B306" t="s">
        <v>727</v>
      </c>
      <c r="C306" t="s">
        <v>24</v>
      </c>
      <c r="D306" t="s">
        <v>33</v>
      </c>
      <c r="E306">
        <v>38</v>
      </c>
      <c r="F306">
        <v>73164</v>
      </c>
      <c r="G306">
        <v>12</v>
      </c>
      <c r="H306" t="s">
        <v>792</v>
      </c>
      <c r="I306" t="s">
        <v>27</v>
      </c>
      <c r="J306" t="s">
        <v>28</v>
      </c>
      <c r="K306" t="s">
        <v>37</v>
      </c>
      <c r="L306" t="str">
        <f t="array" ref="L306">_xlfn.IFS(HR_Data[[#This Row],[Experience]]&lt;2,"0-2 Years",HR_Data[[#This Row],[Experience]]&lt;5,"2-5 Years",HR_Data[[#This Row],[Experience]]&lt;10,"5-10 Years",TRUE(),"10+ Years")</f>
        <v>10+ Years</v>
      </c>
      <c r="M306" t="str">
        <f t="array" ref="M306">_xlfn.IFS(HR_Data[[#This Row],[Salary]]&lt;40000,"Low",HR_Data[[#This Row],[Salary]]&lt;70000,"Medium",HR_Data[[#This Row],[Salary]]&lt;100000,"High",TRUE(),"Very High")</f>
        <v>High</v>
      </c>
      <c r="N306" t="str">
        <f t="array" ref="N306">_xlfn.IFS(HR_Data[[#This Row],[Age]]&lt;25,"18-24",HR_Data[[#This Row],[Age]]&lt;35,"25-34",HR_Data[[#This Row],[Age]]&lt;45,"35-44",TRUE(),"45+")</f>
        <v>35-44</v>
      </c>
      <c r="O306">
        <f>YEAR(HR_Data[[#This Row],[Joining Date]])</f>
        <v>2021</v>
      </c>
      <c r="P306" t="str">
        <f>TEXT(HR_Data[[#This Row],[Joining Date]],"mmmm")</f>
        <v>December</v>
      </c>
      <c r="Q306">
        <f t="array" ref="Q306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06">
        <f>HR_Data[[#This Row],[Salary]]*HR_Data[[#This Row],[Bonus %]]</f>
        <v>10974.6</v>
      </c>
      <c r="S306">
        <f>HR_Data[[#This Row],[Salary]]+HR_Data[[#This Row],[Bonus Amount]]</f>
        <v>84138.6</v>
      </c>
      <c r="T306" t="str">
        <f>IF(HR_Data[[#This Row],[Attrition]]="Yes","Inactive","Active")</f>
        <v>Inactive</v>
      </c>
      <c r="U306" t="str">
        <f t="array" ref="U306">_xlfn.IFS(HR_Data[[#This Row],[Salary]]&gt;=100000,"A",HR_Data[[#This Row],[Salary]]&gt;=70000,"B",HR_Data[[#This Row],[Salary]]&gt;=50000,"C",TRUE(),"D")</f>
        <v>B</v>
      </c>
      <c r="V306" t="str">
        <f t="array" ref="V306">_xlfn.IFS(HR_Data[[#This Row],[Experience]]&gt;=15,"Expert",HR_Data[[#This Row],[Experience]]&gt;=8,"Senior",HR_Data[[#This Row],[Experience]]&gt;=3,"Mid-Level",TRUE(),"Junior")</f>
        <v>Senior</v>
      </c>
    </row>
    <row r="307" spans="1:22" ht="14.25" customHeight="1" x14ac:dyDescent="0.3">
      <c r="A307" t="s">
        <v>793</v>
      </c>
      <c r="B307" t="s">
        <v>518</v>
      </c>
      <c r="C307" t="s">
        <v>70</v>
      </c>
      <c r="D307" t="s">
        <v>25</v>
      </c>
      <c r="E307">
        <v>59</v>
      </c>
      <c r="F307">
        <v>122622</v>
      </c>
      <c r="G307">
        <v>33</v>
      </c>
      <c r="H307" t="s">
        <v>794</v>
      </c>
      <c r="I307" t="s">
        <v>27</v>
      </c>
      <c r="J307" t="s">
        <v>46</v>
      </c>
      <c r="K307" t="s">
        <v>29</v>
      </c>
      <c r="L307" t="str">
        <f t="array" ref="L307">_xlfn.IFS(HR_Data[[#This Row],[Experience]]&lt;2,"0-2 Years",HR_Data[[#This Row],[Experience]]&lt;5,"2-5 Years",HR_Data[[#This Row],[Experience]]&lt;10,"5-10 Years",TRUE(),"10+ Years")</f>
        <v>10+ Years</v>
      </c>
      <c r="M307" t="str">
        <f t="array" ref="M307">_xlfn.IFS(HR_Data[[#This Row],[Salary]]&lt;40000,"Low",HR_Data[[#This Row],[Salary]]&lt;70000,"Medium",HR_Data[[#This Row],[Salary]]&lt;100000,"High",TRUE(),"Very High")</f>
        <v>Very High</v>
      </c>
      <c r="N307" t="str">
        <f t="array" ref="N307">_xlfn.IFS(HR_Data[[#This Row],[Age]]&lt;25,"18-24",HR_Data[[#This Row],[Age]]&lt;35,"25-34",HR_Data[[#This Row],[Age]]&lt;45,"35-44",TRUE(),"45+")</f>
        <v>45+</v>
      </c>
      <c r="O307">
        <f>YEAR(HR_Data[[#This Row],[Joining Date]])</f>
        <v>2022</v>
      </c>
      <c r="P307" t="str">
        <f>TEXT(HR_Data[[#This Row],[Joining Date]],"mmmm")</f>
        <v>June</v>
      </c>
      <c r="Q307">
        <f t="array" ref="Q307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307">
        <f>HR_Data[[#This Row],[Salary]]*HR_Data[[#This Row],[Bonus %]]</f>
        <v>6131.1</v>
      </c>
      <c r="S307">
        <f>HR_Data[[#This Row],[Salary]]+HR_Data[[#This Row],[Bonus Amount]]</f>
        <v>128753.1</v>
      </c>
      <c r="T307" t="str">
        <f>IF(HR_Data[[#This Row],[Attrition]]="Yes","Inactive","Active")</f>
        <v>Active</v>
      </c>
      <c r="U307" t="str">
        <f t="array" ref="U307">_xlfn.IFS(HR_Data[[#This Row],[Salary]]&gt;=100000,"A",HR_Data[[#This Row],[Salary]]&gt;=70000,"B",HR_Data[[#This Row],[Salary]]&gt;=50000,"C",TRUE(),"D")</f>
        <v>A</v>
      </c>
      <c r="V307" t="str">
        <f t="array" ref="V307">_xlfn.IFS(HR_Data[[#This Row],[Experience]]&gt;=15,"Expert",HR_Data[[#This Row],[Experience]]&gt;=8,"Senior",HR_Data[[#This Row],[Experience]]&gt;=3,"Mid-Level",TRUE(),"Junior")</f>
        <v>Expert</v>
      </c>
    </row>
    <row r="308" spans="1:22" ht="14.25" customHeight="1" x14ac:dyDescent="0.3">
      <c r="A308" t="s">
        <v>795</v>
      </c>
      <c r="B308" t="s">
        <v>325</v>
      </c>
      <c r="C308" t="s">
        <v>55</v>
      </c>
      <c r="D308" t="s">
        <v>25</v>
      </c>
      <c r="E308">
        <v>22</v>
      </c>
      <c r="F308">
        <v>39422</v>
      </c>
      <c r="G308">
        <v>1</v>
      </c>
      <c r="H308" t="s">
        <v>796</v>
      </c>
      <c r="I308" t="s">
        <v>72</v>
      </c>
      <c r="J308" t="s">
        <v>46</v>
      </c>
      <c r="K308" t="s">
        <v>29</v>
      </c>
      <c r="L308" t="str">
        <f t="array" ref="L308">_xlfn.IFS(HR_Data[[#This Row],[Experience]]&lt;2,"0-2 Years",HR_Data[[#This Row],[Experience]]&lt;5,"2-5 Years",HR_Data[[#This Row],[Experience]]&lt;10,"5-10 Years",TRUE(),"10+ Years")</f>
        <v>0-2 Years</v>
      </c>
      <c r="M308" t="str">
        <f t="array" ref="M308">_xlfn.IFS(HR_Data[[#This Row],[Salary]]&lt;40000,"Low",HR_Data[[#This Row],[Salary]]&lt;70000,"Medium",HR_Data[[#This Row],[Salary]]&lt;100000,"High",TRUE(),"Very High")</f>
        <v>Low</v>
      </c>
      <c r="N308" t="str">
        <f t="array" ref="N308">_xlfn.IFS(HR_Data[[#This Row],[Age]]&lt;25,"18-24",HR_Data[[#This Row],[Age]]&lt;35,"25-34",HR_Data[[#This Row],[Age]]&lt;45,"35-44",TRUE(),"45+")</f>
        <v>18-24</v>
      </c>
      <c r="O308">
        <f>YEAR(HR_Data[[#This Row],[Joining Date]])</f>
        <v>2018</v>
      </c>
      <c r="P308" t="str">
        <f>TEXT(HR_Data[[#This Row],[Joining Date]],"mmmm")</f>
        <v>March</v>
      </c>
      <c r="Q308">
        <f t="array" ref="Q308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308">
        <f>HR_Data[[#This Row],[Salary]]*HR_Data[[#This Row],[Bonus %]]</f>
        <v>1971.1000000000001</v>
      </c>
      <c r="S308">
        <f>HR_Data[[#This Row],[Salary]]+HR_Data[[#This Row],[Bonus Amount]]</f>
        <v>41393.1</v>
      </c>
      <c r="T308" t="str">
        <f>IF(HR_Data[[#This Row],[Attrition]]="Yes","Inactive","Active")</f>
        <v>Active</v>
      </c>
      <c r="U308" t="str">
        <f t="array" ref="U308">_xlfn.IFS(HR_Data[[#This Row],[Salary]]&gt;=100000,"A",HR_Data[[#This Row],[Salary]]&gt;=70000,"B",HR_Data[[#This Row],[Salary]]&gt;=50000,"C",TRUE(),"D")</f>
        <v>D</v>
      </c>
      <c r="V308" t="str">
        <f t="array" ref="V308">_xlfn.IFS(HR_Data[[#This Row],[Experience]]&gt;=15,"Expert",HR_Data[[#This Row],[Experience]]&gt;=8,"Senior",HR_Data[[#This Row],[Experience]]&gt;=3,"Mid-Level",TRUE(),"Junior")</f>
        <v>Junior</v>
      </c>
    </row>
    <row r="309" spans="1:22" ht="14.25" customHeight="1" x14ac:dyDescent="0.3">
      <c r="A309" t="s">
        <v>797</v>
      </c>
      <c r="B309" t="s">
        <v>798</v>
      </c>
      <c r="C309" t="s">
        <v>55</v>
      </c>
      <c r="D309" t="s">
        <v>33</v>
      </c>
      <c r="E309">
        <v>30</v>
      </c>
      <c r="F309">
        <v>46088</v>
      </c>
      <c r="G309">
        <v>6</v>
      </c>
      <c r="H309" t="s">
        <v>799</v>
      </c>
      <c r="I309" t="s">
        <v>45</v>
      </c>
      <c r="J309" t="s">
        <v>63</v>
      </c>
      <c r="K309" t="s">
        <v>29</v>
      </c>
      <c r="L309" t="str">
        <f t="array" ref="L309">_xlfn.IFS(HR_Data[[#This Row],[Experience]]&lt;2,"0-2 Years",HR_Data[[#This Row],[Experience]]&lt;5,"2-5 Years",HR_Data[[#This Row],[Experience]]&lt;10,"5-10 Years",TRUE(),"10+ Years")</f>
        <v>5-10 Years</v>
      </c>
      <c r="M309" t="str">
        <f t="array" ref="M309">_xlfn.IFS(HR_Data[[#This Row],[Salary]]&lt;40000,"Low",HR_Data[[#This Row],[Salary]]&lt;70000,"Medium",HR_Data[[#This Row],[Salary]]&lt;100000,"High",TRUE(),"Very High")</f>
        <v>Medium</v>
      </c>
      <c r="N309" t="str">
        <f t="array" ref="N309">_xlfn.IFS(HR_Data[[#This Row],[Age]]&lt;25,"18-24",HR_Data[[#This Row],[Age]]&lt;35,"25-34",HR_Data[[#This Row],[Age]]&lt;45,"35-44",TRUE(),"45+")</f>
        <v>25-34</v>
      </c>
      <c r="O309">
        <f>YEAR(HR_Data[[#This Row],[Joining Date]])</f>
        <v>2022</v>
      </c>
      <c r="P309" t="str">
        <f>TEXT(HR_Data[[#This Row],[Joining Date]],"mmmm")</f>
        <v>March</v>
      </c>
      <c r="Q309">
        <f t="array" ref="Q309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309">
        <f>HR_Data[[#This Row],[Salary]]*HR_Data[[#This Row],[Bonus %]]</f>
        <v>9217.6</v>
      </c>
      <c r="S309">
        <f>HR_Data[[#This Row],[Salary]]+HR_Data[[#This Row],[Bonus Amount]]</f>
        <v>55305.599999999999</v>
      </c>
      <c r="T309" t="str">
        <f>IF(HR_Data[[#This Row],[Attrition]]="Yes","Inactive","Active")</f>
        <v>Active</v>
      </c>
      <c r="U309" t="str">
        <f t="array" ref="U309">_xlfn.IFS(HR_Data[[#This Row],[Salary]]&gt;=100000,"A",HR_Data[[#This Row],[Salary]]&gt;=70000,"B",HR_Data[[#This Row],[Salary]]&gt;=50000,"C",TRUE(),"D")</f>
        <v>D</v>
      </c>
      <c r="V309" t="str">
        <f t="array" ref="V309">_xlfn.IFS(HR_Data[[#This Row],[Experience]]&gt;=15,"Expert",HR_Data[[#This Row],[Experience]]&gt;=8,"Senior",HR_Data[[#This Row],[Experience]]&gt;=3,"Mid-Level",TRUE(),"Junior")</f>
        <v>Mid-Level</v>
      </c>
    </row>
    <row r="310" spans="1:22" ht="14.25" customHeight="1" x14ac:dyDescent="0.3">
      <c r="A310" t="s">
        <v>800</v>
      </c>
      <c r="B310" t="s">
        <v>801</v>
      </c>
      <c r="C310" t="s">
        <v>70</v>
      </c>
      <c r="D310" t="s">
        <v>33</v>
      </c>
      <c r="E310">
        <v>44</v>
      </c>
      <c r="F310">
        <v>106698</v>
      </c>
      <c r="G310">
        <v>22</v>
      </c>
      <c r="H310" t="s">
        <v>802</v>
      </c>
      <c r="I310" t="s">
        <v>72</v>
      </c>
      <c r="J310" t="s">
        <v>28</v>
      </c>
      <c r="K310" t="s">
        <v>29</v>
      </c>
      <c r="L310" t="str">
        <f t="array" ref="L310">_xlfn.IFS(HR_Data[[#This Row],[Experience]]&lt;2,"0-2 Years",HR_Data[[#This Row],[Experience]]&lt;5,"2-5 Years",HR_Data[[#This Row],[Experience]]&lt;10,"5-10 Years",TRUE(),"10+ Years")</f>
        <v>10+ Years</v>
      </c>
      <c r="M310" t="str">
        <f t="array" ref="M310">_xlfn.IFS(HR_Data[[#This Row],[Salary]]&lt;40000,"Low",HR_Data[[#This Row],[Salary]]&lt;70000,"Medium",HR_Data[[#This Row],[Salary]]&lt;100000,"High",TRUE(),"Very High")</f>
        <v>Very High</v>
      </c>
      <c r="N310" t="str">
        <f t="array" ref="N310">_xlfn.IFS(HR_Data[[#This Row],[Age]]&lt;25,"18-24",HR_Data[[#This Row],[Age]]&lt;35,"25-34",HR_Data[[#This Row],[Age]]&lt;45,"35-44",TRUE(),"45+")</f>
        <v>35-44</v>
      </c>
      <c r="O310">
        <f>YEAR(HR_Data[[#This Row],[Joining Date]])</f>
        <v>2018</v>
      </c>
      <c r="P310" t="str">
        <f>TEXT(HR_Data[[#This Row],[Joining Date]],"mmmm")</f>
        <v>December</v>
      </c>
      <c r="Q310">
        <f t="array" ref="Q310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10">
        <f>HR_Data[[#This Row],[Salary]]*HR_Data[[#This Row],[Bonus %]]</f>
        <v>16004.699999999999</v>
      </c>
      <c r="S310">
        <f>HR_Data[[#This Row],[Salary]]+HR_Data[[#This Row],[Bonus Amount]]</f>
        <v>122702.7</v>
      </c>
      <c r="T310" t="str">
        <f>IF(HR_Data[[#This Row],[Attrition]]="Yes","Inactive","Active")</f>
        <v>Active</v>
      </c>
      <c r="U310" t="str">
        <f t="array" ref="U310">_xlfn.IFS(HR_Data[[#This Row],[Salary]]&gt;=100000,"A",HR_Data[[#This Row],[Salary]]&gt;=70000,"B",HR_Data[[#This Row],[Salary]]&gt;=50000,"C",TRUE(),"D")</f>
        <v>A</v>
      </c>
      <c r="V310" t="str">
        <f t="array" ref="V310">_xlfn.IFS(HR_Data[[#This Row],[Experience]]&gt;=15,"Expert",HR_Data[[#This Row],[Experience]]&gt;=8,"Senior",HR_Data[[#This Row],[Experience]]&gt;=3,"Mid-Level",TRUE(),"Junior")</f>
        <v>Expert</v>
      </c>
    </row>
    <row r="311" spans="1:22" ht="14.25" customHeight="1" x14ac:dyDescent="0.3">
      <c r="A311" t="s">
        <v>803</v>
      </c>
      <c r="B311" t="s">
        <v>276</v>
      </c>
      <c r="C311" t="s">
        <v>24</v>
      </c>
      <c r="D311" t="s">
        <v>33</v>
      </c>
      <c r="E311">
        <v>53</v>
      </c>
      <c r="F311">
        <v>98061</v>
      </c>
      <c r="G311">
        <v>25</v>
      </c>
      <c r="H311" t="s">
        <v>804</v>
      </c>
      <c r="I311" t="s">
        <v>35</v>
      </c>
      <c r="J311" t="s">
        <v>36</v>
      </c>
      <c r="K311" t="s">
        <v>29</v>
      </c>
      <c r="L311" t="str">
        <f t="array" ref="L311">_xlfn.IFS(HR_Data[[#This Row],[Experience]]&lt;2,"0-2 Years",HR_Data[[#This Row],[Experience]]&lt;5,"2-5 Years",HR_Data[[#This Row],[Experience]]&lt;10,"5-10 Years",TRUE(),"10+ Years")</f>
        <v>10+ Years</v>
      </c>
      <c r="M311" t="str">
        <f t="array" ref="M311">_xlfn.IFS(HR_Data[[#This Row],[Salary]]&lt;40000,"Low",HR_Data[[#This Row],[Salary]]&lt;70000,"Medium",HR_Data[[#This Row],[Salary]]&lt;100000,"High",TRUE(),"Very High")</f>
        <v>High</v>
      </c>
      <c r="N311" t="str">
        <f t="array" ref="N311">_xlfn.IFS(HR_Data[[#This Row],[Age]]&lt;25,"18-24",HR_Data[[#This Row],[Age]]&lt;35,"25-34",HR_Data[[#This Row],[Age]]&lt;45,"35-44",TRUE(),"45+")</f>
        <v>45+</v>
      </c>
      <c r="O311">
        <f>YEAR(HR_Data[[#This Row],[Joining Date]])</f>
        <v>2019</v>
      </c>
      <c r="P311" t="str">
        <f>TEXT(HR_Data[[#This Row],[Joining Date]],"mmmm")</f>
        <v>January</v>
      </c>
      <c r="Q311">
        <f t="array" ref="Q31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11">
        <f>HR_Data[[#This Row],[Salary]]*HR_Data[[#This Row],[Bonus %]]</f>
        <v>9806.1</v>
      </c>
      <c r="S311">
        <f>HR_Data[[#This Row],[Salary]]+HR_Data[[#This Row],[Bonus Amount]]</f>
        <v>107867.1</v>
      </c>
      <c r="T311" t="str">
        <f>IF(HR_Data[[#This Row],[Attrition]]="Yes","Inactive","Active")</f>
        <v>Active</v>
      </c>
      <c r="U311" t="str">
        <f t="array" ref="U311">_xlfn.IFS(HR_Data[[#This Row],[Salary]]&gt;=100000,"A",HR_Data[[#This Row],[Salary]]&gt;=70000,"B",HR_Data[[#This Row],[Salary]]&gt;=50000,"C",TRUE(),"D")</f>
        <v>B</v>
      </c>
      <c r="V311" t="str">
        <f t="array" ref="V311">_xlfn.IFS(HR_Data[[#This Row],[Experience]]&gt;=15,"Expert",HR_Data[[#This Row],[Experience]]&gt;=8,"Senior",HR_Data[[#This Row],[Experience]]&gt;=3,"Mid-Level",TRUE(),"Junior")</f>
        <v>Expert</v>
      </c>
    </row>
    <row r="312" spans="1:22" ht="14.25" customHeight="1" x14ac:dyDescent="0.3">
      <c r="A312" t="s">
        <v>805</v>
      </c>
      <c r="B312" t="s">
        <v>433</v>
      </c>
      <c r="C312" t="s">
        <v>93</v>
      </c>
      <c r="D312" t="s">
        <v>33</v>
      </c>
      <c r="E312">
        <v>33</v>
      </c>
      <c r="F312">
        <v>48349</v>
      </c>
      <c r="G312">
        <v>9</v>
      </c>
      <c r="H312" t="s">
        <v>806</v>
      </c>
      <c r="I312" t="s">
        <v>80</v>
      </c>
      <c r="J312" t="s">
        <v>28</v>
      </c>
      <c r="K312" t="s">
        <v>29</v>
      </c>
      <c r="L312" t="str">
        <f t="array" ref="L312">_xlfn.IFS(HR_Data[[#This Row],[Experience]]&lt;2,"0-2 Years",HR_Data[[#This Row],[Experience]]&lt;5,"2-5 Years",HR_Data[[#This Row],[Experience]]&lt;10,"5-10 Years",TRUE(),"10+ Years")</f>
        <v>5-10 Years</v>
      </c>
      <c r="M312" t="str">
        <f t="array" ref="M312">_xlfn.IFS(HR_Data[[#This Row],[Salary]]&lt;40000,"Low",HR_Data[[#This Row],[Salary]]&lt;70000,"Medium",HR_Data[[#This Row],[Salary]]&lt;100000,"High",TRUE(),"Very High")</f>
        <v>Medium</v>
      </c>
      <c r="N312" t="str">
        <f t="array" ref="N312">_xlfn.IFS(HR_Data[[#This Row],[Age]]&lt;25,"18-24",HR_Data[[#This Row],[Age]]&lt;35,"25-34",HR_Data[[#This Row],[Age]]&lt;45,"35-44",TRUE(),"45+")</f>
        <v>25-34</v>
      </c>
      <c r="O312">
        <f>YEAR(HR_Data[[#This Row],[Joining Date]])</f>
        <v>2020</v>
      </c>
      <c r="P312" t="str">
        <f>TEXT(HR_Data[[#This Row],[Joining Date]],"mmmm")</f>
        <v>May</v>
      </c>
      <c r="Q312">
        <f t="array" ref="Q312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12">
        <f>HR_Data[[#This Row],[Salary]]*HR_Data[[#This Row],[Bonus %]]</f>
        <v>7252.3499999999995</v>
      </c>
      <c r="S312">
        <f>HR_Data[[#This Row],[Salary]]+HR_Data[[#This Row],[Bonus Amount]]</f>
        <v>55601.35</v>
      </c>
      <c r="T312" t="str">
        <f>IF(HR_Data[[#This Row],[Attrition]]="Yes","Inactive","Active")</f>
        <v>Active</v>
      </c>
      <c r="U312" t="str">
        <f t="array" ref="U312">_xlfn.IFS(HR_Data[[#This Row],[Salary]]&gt;=100000,"A",HR_Data[[#This Row],[Salary]]&gt;=70000,"B",HR_Data[[#This Row],[Salary]]&gt;=50000,"C",TRUE(),"D")</f>
        <v>D</v>
      </c>
      <c r="V312" t="str">
        <f t="array" ref="V312">_xlfn.IFS(HR_Data[[#This Row],[Experience]]&gt;=15,"Expert",HR_Data[[#This Row],[Experience]]&gt;=8,"Senior",HR_Data[[#This Row],[Experience]]&gt;=3,"Mid-Level",TRUE(),"Junior")</f>
        <v>Senior</v>
      </c>
    </row>
    <row r="313" spans="1:22" ht="14.25" customHeight="1" x14ac:dyDescent="0.3">
      <c r="A313" t="s">
        <v>807</v>
      </c>
      <c r="B313" t="s">
        <v>299</v>
      </c>
      <c r="C313" t="s">
        <v>32</v>
      </c>
      <c r="D313" t="s">
        <v>25</v>
      </c>
      <c r="E313">
        <v>35</v>
      </c>
      <c r="F313">
        <v>60821</v>
      </c>
      <c r="G313">
        <v>13</v>
      </c>
      <c r="H313" t="s">
        <v>808</v>
      </c>
      <c r="I313" t="s">
        <v>62</v>
      </c>
      <c r="J313" t="s">
        <v>28</v>
      </c>
      <c r="K313" t="s">
        <v>37</v>
      </c>
      <c r="L313" t="str">
        <f t="array" ref="L313">_xlfn.IFS(HR_Data[[#This Row],[Experience]]&lt;2,"0-2 Years",HR_Data[[#This Row],[Experience]]&lt;5,"2-5 Years",HR_Data[[#This Row],[Experience]]&lt;10,"5-10 Years",TRUE(),"10+ Years")</f>
        <v>10+ Years</v>
      </c>
      <c r="M313" t="str">
        <f t="array" ref="M313">_xlfn.IFS(HR_Data[[#This Row],[Salary]]&lt;40000,"Low",HR_Data[[#This Row],[Salary]]&lt;70000,"Medium",HR_Data[[#This Row],[Salary]]&lt;100000,"High",TRUE(),"Very High")</f>
        <v>Medium</v>
      </c>
      <c r="N313" t="str">
        <f t="array" ref="N313">_xlfn.IFS(HR_Data[[#This Row],[Age]]&lt;25,"18-24",HR_Data[[#This Row],[Age]]&lt;35,"25-34",HR_Data[[#This Row],[Age]]&lt;45,"35-44",TRUE(),"45+")</f>
        <v>35-44</v>
      </c>
      <c r="O313">
        <f>YEAR(HR_Data[[#This Row],[Joining Date]])</f>
        <v>2022</v>
      </c>
      <c r="P313" t="str">
        <f>TEXT(HR_Data[[#This Row],[Joining Date]],"mmmm")</f>
        <v>November</v>
      </c>
      <c r="Q313">
        <f t="array" ref="Q31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13">
        <f>HR_Data[[#This Row],[Salary]]*HR_Data[[#This Row],[Bonus %]]</f>
        <v>9123.15</v>
      </c>
      <c r="S313">
        <f>HR_Data[[#This Row],[Salary]]+HR_Data[[#This Row],[Bonus Amount]]</f>
        <v>69944.149999999994</v>
      </c>
      <c r="T313" t="str">
        <f>IF(HR_Data[[#This Row],[Attrition]]="Yes","Inactive","Active")</f>
        <v>Inactive</v>
      </c>
      <c r="U313" t="str">
        <f t="array" ref="U313">_xlfn.IFS(HR_Data[[#This Row],[Salary]]&gt;=100000,"A",HR_Data[[#This Row],[Salary]]&gt;=70000,"B",HR_Data[[#This Row],[Salary]]&gt;=50000,"C",TRUE(),"D")</f>
        <v>C</v>
      </c>
      <c r="V313" t="str">
        <f t="array" ref="V313">_xlfn.IFS(HR_Data[[#This Row],[Experience]]&gt;=15,"Expert",HR_Data[[#This Row],[Experience]]&gt;=8,"Senior",HR_Data[[#This Row],[Experience]]&gt;=3,"Mid-Level",TRUE(),"Junior")</f>
        <v>Senior</v>
      </c>
    </row>
    <row r="314" spans="1:22" ht="14.25" customHeight="1" x14ac:dyDescent="0.3">
      <c r="A314" t="s">
        <v>809</v>
      </c>
      <c r="B314" t="s">
        <v>378</v>
      </c>
      <c r="C314" t="s">
        <v>60</v>
      </c>
      <c r="D314" t="s">
        <v>33</v>
      </c>
      <c r="E314">
        <v>35</v>
      </c>
      <c r="F314">
        <v>65157</v>
      </c>
      <c r="G314">
        <v>10</v>
      </c>
      <c r="H314" t="s">
        <v>810</v>
      </c>
      <c r="I314" t="s">
        <v>35</v>
      </c>
      <c r="J314" t="s">
        <v>28</v>
      </c>
      <c r="K314" t="s">
        <v>29</v>
      </c>
      <c r="L314" t="str">
        <f t="array" ref="L314">_xlfn.IFS(HR_Data[[#This Row],[Experience]]&lt;2,"0-2 Years",HR_Data[[#This Row],[Experience]]&lt;5,"2-5 Years",HR_Data[[#This Row],[Experience]]&lt;10,"5-10 Years",TRUE(),"10+ Years")</f>
        <v>10+ Years</v>
      </c>
      <c r="M314" t="str">
        <f t="array" ref="M314">_xlfn.IFS(HR_Data[[#This Row],[Salary]]&lt;40000,"Low",HR_Data[[#This Row],[Salary]]&lt;70000,"Medium",HR_Data[[#This Row],[Salary]]&lt;100000,"High",TRUE(),"Very High")</f>
        <v>Medium</v>
      </c>
      <c r="N314" t="str">
        <f t="array" ref="N314">_xlfn.IFS(HR_Data[[#This Row],[Age]]&lt;25,"18-24",HR_Data[[#This Row],[Age]]&lt;35,"25-34",HR_Data[[#This Row],[Age]]&lt;45,"35-44",TRUE(),"45+")</f>
        <v>35-44</v>
      </c>
      <c r="O314">
        <f>YEAR(HR_Data[[#This Row],[Joining Date]])</f>
        <v>2023</v>
      </c>
      <c r="P314" t="str">
        <f>TEXT(HR_Data[[#This Row],[Joining Date]],"mmmm")</f>
        <v>June</v>
      </c>
      <c r="Q314">
        <f t="array" ref="Q314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14">
        <f>HR_Data[[#This Row],[Salary]]*HR_Data[[#This Row],[Bonus %]]</f>
        <v>9773.5499999999993</v>
      </c>
      <c r="S314">
        <f>HR_Data[[#This Row],[Salary]]+HR_Data[[#This Row],[Bonus Amount]]</f>
        <v>74930.55</v>
      </c>
      <c r="T314" t="str">
        <f>IF(HR_Data[[#This Row],[Attrition]]="Yes","Inactive","Active")</f>
        <v>Active</v>
      </c>
      <c r="U314" t="str">
        <f t="array" ref="U314">_xlfn.IFS(HR_Data[[#This Row],[Salary]]&gt;=100000,"A",HR_Data[[#This Row],[Salary]]&gt;=70000,"B",HR_Data[[#This Row],[Salary]]&gt;=50000,"C",TRUE(),"D")</f>
        <v>C</v>
      </c>
      <c r="V314" t="str">
        <f t="array" ref="V314">_xlfn.IFS(HR_Data[[#This Row],[Experience]]&gt;=15,"Expert",HR_Data[[#This Row],[Experience]]&gt;=8,"Senior",HR_Data[[#This Row],[Experience]]&gt;=3,"Mid-Level",TRUE(),"Junior")</f>
        <v>Senior</v>
      </c>
    </row>
    <row r="315" spans="1:22" ht="14.25" customHeight="1" x14ac:dyDescent="0.3">
      <c r="A315" t="s">
        <v>811</v>
      </c>
      <c r="B315" t="s">
        <v>433</v>
      </c>
      <c r="C315" t="s">
        <v>70</v>
      </c>
      <c r="D315" t="s">
        <v>25</v>
      </c>
      <c r="E315">
        <v>23</v>
      </c>
      <c r="F315">
        <v>39463</v>
      </c>
      <c r="G315">
        <v>4</v>
      </c>
      <c r="H315" t="s">
        <v>812</v>
      </c>
      <c r="I315" t="s">
        <v>132</v>
      </c>
      <c r="J315" t="s">
        <v>28</v>
      </c>
      <c r="K315" t="s">
        <v>29</v>
      </c>
      <c r="L315" t="str">
        <f t="array" ref="L315">_xlfn.IFS(HR_Data[[#This Row],[Experience]]&lt;2,"0-2 Years",HR_Data[[#This Row],[Experience]]&lt;5,"2-5 Years",HR_Data[[#This Row],[Experience]]&lt;10,"5-10 Years",TRUE(),"10+ Years")</f>
        <v>2-5 Years</v>
      </c>
      <c r="M315" t="str">
        <f t="array" ref="M315">_xlfn.IFS(HR_Data[[#This Row],[Salary]]&lt;40000,"Low",HR_Data[[#This Row],[Salary]]&lt;70000,"Medium",HR_Data[[#This Row],[Salary]]&lt;100000,"High",TRUE(),"Very High")</f>
        <v>Low</v>
      </c>
      <c r="N315" t="str">
        <f t="array" ref="N315">_xlfn.IFS(HR_Data[[#This Row],[Age]]&lt;25,"18-24",HR_Data[[#This Row],[Age]]&lt;35,"25-34",HR_Data[[#This Row],[Age]]&lt;45,"35-44",TRUE(),"45+")</f>
        <v>18-24</v>
      </c>
      <c r="O315">
        <f>YEAR(HR_Data[[#This Row],[Joining Date]])</f>
        <v>2015</v>
      </c>
      <c r="P315" t="str">
        <f>TEXT(HR_Data[[#This Row],[Joining Date]],"mmmm")</f>
        <v>June</v>
      </c>
      <c r="Q315">
        <f t="array" ref="Q315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15">
        <f>HR_Data[[#This Row],[Salary]]*HR_Data[[#This Row],[Bonus %]]</f>
        <v>5919.45</v>
      </c>
      <c r="S315">
        <f>HR_Data[[#This Row],[Salary]]+HR_Data[[#This Row],[Bonus Amount]]</f>
        <v>45382.45</v>
      </c>
      <c r="T315" t="str">
        <f>IF(HR_Data[[#This Row],[Attrition]]="Yes","Inactive","Active")</f>
        <v>Active</v>
      </c>
      <c r="U315" t="str">
        <f t="array" ref="U315">_xlfn.IFS(HR_Data[[#This Row],[Salary]]&gt;=100000,"A",HR_Data[[#This Row],[Salary]]&gt;=70000,"B",HR_Data[[#This Row],[Salary]]&gt;=50000,"C",TRUE(),"D")</f>
        <v>D</v>
      </c>
      <c r="V315" t="str">
        <f t="array" ref="V315">_xlfn.IFS(HR_Data[[#This Row],[Experience]]&gt;=15,"Expert",HR_Data[[#This Row],[Experience]]&gt;=8,"Senior",HR_Data[[#This Row],[Experience]]&gt;=3,"Mid-Level",TRUE(),"Junior")</f>
        <v>Mid-Level</v>
      </c>
    </row>
    <row r="316" spans="1:22" ht="14.25" customHeight="1" x14ac:dyDescent="0.3">
      <c r="A316" t="s">
        <v>813</v>
      </c>
      <c r="B316" t="s">
        <v>573</v>
      </c>
      <c r="C316" t="s">
        <v>32</v>
      </c>
      <c r="D316" t="s">
        <v>33</v>
      </c>
      <c r="E316">
        <v>31</v>
      </c>
      <c r="F316">
        <v>32850</v>
      </c>
      <c r="G316">
        <v>4</v>
      </c>
      <c r="H316" t="s">
        <v>814</v>
      </c>
      <c r="I316" t="s">
        <v>72</v>
      </c>
      <c r="J316" t="s">
        <v>36</v>
      </c>
      <c r="K316" t="s">
        <v>29</v>
      </c>
      <c r="L316" t="str">
        <f t="array" ref="L316">_xlfn.IFS(HR_Data[[#This Row],[Experience]]&lt;2,"0-2 Years",HR_Data[[#This Row],[Experience]]&lt;5,"2-5 Years",HR_Data[[#This Row],[Experience]]&lt;10,"5-10 Years",TRUE(),"10+ Years")</f>
        <v>2-5 Years</v>
      </c>
      <c r="M316" t="str">
        <f t="array" ref="M316">_xlfn.IFS(HR_Data[[#This Row],[Salary]]&lt;40000,"Low",HR_Data[[#This Row],[Salary]]&lt;70000,"Medium",HR_Data[[#This Row],[Salary]]&lt;100000,"High",TRUE(),"Very High")</f>
        <v>Low</v>
      </c>
      <c r="N316" t="str">
        <f t="array" ref="N316">_xlfn.IFS(HR_Data[[#This Row],[Age]]&lt;25,"18-24",HR_Data[[#This Row],[Age]]&lt;35,"25-34",HR_Data[[#This Row],[Age]]&lt;45,"35-44",TRUE(),"45+")</f>
        <v>25-34</v>
      </c>
      <c r="O316">
        <f>YEAR(HR_Data[[#This Row],[Joining Date]])</f>
        <v>2022</v>
      </c>
      <c r="P316" t="str">
        <f>TEXT(HR_Data[[#This Row],[Joining Date]],"mmmm")</f>
        <v>July</v>
      </c>
      <c r="Q316">
        <f t="array" ref="Q31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16">
        <f>HR_Data[[#This Row],[Salary]]*HR_Data[[#This Row],[Bonus %]]</f>
        <v>3285</v>
      </c>
      <c r="S316">
        <f>HR_Data[[#This Row],[Salary]]+HR_Data[[#This Row],[Bonus Amount]]</f>
        <v>36135</v>
      </c>
      <c r="T316" t="str">
        <f>IF(HR_Data[[#This Row],[Attrition]]="Yes","Inactive","Active")</f>
        <v>Active</v>
      </c>
      <c r="U316" t="str">
        <f t="array" ref="U316">_xlfn.IFS(HR_Data[[#This Row],[Salary]]&gt;=100000,"A",HR_Data[[#This Row],[Salary]]&gt;=70000,"B",HR_Data[[#This Row],[Salary]]&gt;=50000,"C",TRUE(),"D")</f>
        <v>D</v>
      </c>
      <c r="V316" t="str">
        <f t="array" ref="V316">_xlfn.IFS(HR_Data[[#This Row],[Experience]]&gt;=15,"Expert",HR_Data[[#This Row],[Experience]]&gt;=8,"Senior",HR_Data[[#This Row],[Experience]]&gt;=3,"Mid-Level",TRUE(),"Junior")</f>
        <v>Mid-Level</v>
      </c>
    </row>
    <row r="317" spans="1:22" ht="14.25" customHeight="1" x14ac:dyDescent="0.3">
      <c r="A317" t="s">
        <v>815</v>
      </c>
      <c r="B317" t="s">
        <v>196</v>
      </c>
      <c r="C317" t="s">
        <v>75</v>
      </c>
      <c r="D317" t="s">
        <v>25</v>
      </c>
      <c r="E317">
        <v>48</v>
      </c>
      <c r="F317">
        <v>105154</v>
      </c>
      <c r="G317">
        <v>27</v>
      </c>
      <c r="H317" t="s">
        <v>816</v>
      </c>
      <c r="I317" t="s">
        <v>80</v>
      </c>
      <c r="J317" t="s">
        <v>28</v>
      </c>
      <c r="K317" t="s">
        <v>29</v>
      </c>
      <c r="L317" t="str">
        <f t="array" ref="L317">_xlfn.IFS(HR_Data[[#This Row],[Experience]]&lt;2,"0-2 Years",HR_Data[[#This Row],[Experience]]&lt;5,"2-5 Years",HR_Data[[#This Row],[Experience]]&lt;10,"5-10 Years",TRUE(),"10+ Years")</f>
        <v>10+ Years</v>
      </c>
      <c r="M317" t="str">
        <f t="array" ref="M317">_xlfn.IFS(HR_Data[[#This Row],[Salary]]&lt;40000,"Low",HR_Data[[#This Row],[Salary]]&lt;70000,"Medium",HR_Data[[#This Row],[Salary]]&lt;100000,"High",TRUE(),"Very High")</f>
        <v>Very High</v>
      </c>
      <c r="N317" t="str">
        <f t="array" ref="N317">_xlfn.IFS(HR_Data[[#This Row],[Age]]&lt;25,"18-24",HR_Data[[#This Row],[Age]]&lt;35,"25-34",HR_Data[[#This Row],[Age]]&lt;45,"35-44",TRUE(),"45+")</f>
        <v>45+</v>
      </c>
      <c r="O317">
        <f>YEAR(HR_Data[[#This Row],[Joining Date]])</f>
        <v>2017</v>
      </c>
      <c r="P317" t="str">
        <f>TEXT(HR_Data[[#This Row],[Joining Date]],"mmmm")</f>
        <v>April</v>
      </c>
      <c r="Q317">
        <f t="array" ref="Q31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17">
        <f>HR_Data[[#This Row],[Salary]]*HR_Data[[#This Row],[Bonus %]]</f>
        <v>15773.099999999999</v>
      </c>
      <c r="S317">
        <f>HR_Data[[#This Row],[Salary]]+HR_Data[[#This Row],[Bonus Amount]]</f>
        <v>120927.1</v>
      </c>
      <c r="T317" t="str">
        <f>IF(HR_Data[[#This Row],[Attrition]]="Yes","Inactive","Active")</f>
        <v>Active</v>
      </c>
      <c r="U317" t="str">
        <f t="array" ref="U317">_xlfn.IFS(HR_Data[[#This Row],[Salary]]&gt;=100000,"A",HR_Data[[#This Row],[Salary]]&gt;=70000,"B",HR_Data[[#This Row],[Salary]]&gt;=50000,"C",TRUE(),"D")</f>
        <v>A</v>
      </c>
      <c r="V317" t="str">
        <f t="array" ref="V317">_xlfn.IFS(HR_Data[[#This Row],[Experience]]&gt;=15,"Expert",HR_Data[[#This Row],[Experience]]&gt;=8,"Senior",HR_Data[[#This Row],[Experience]]&gt;=3,"Mid-Level",TRUE(),"Junior")</f>
        <v>Expert</v>
      </c>
    </row>
    <row r="318" spans="1:22" ht="14.25" customHeight="1" x14ac:dyDescent="0.3">
      <c r="A318" t="s">
        <v>817</v>
      </c>
      <c r="B318" t="s">
        <v>436</v>
      </c>
      <c r="C318" t="s">
        <v>112</v>
      </c>
      <c r="D318" t="s">
        <v>25</v>
      </c>
      <c r="E318">
        <v>41</v>
      </c>
      <c r="F318">
        <v>80942</v>
      </c>
      <c r="G318">
        <v>19</v>
      </c>
      <c r="H318" t="s">
        <v>818</v>
      </c>
      <c r="I318" t="s">
        <v>27</v>
      </c>
      <c r="J318" t="s">
        <v>28</v>
      </c>
      <c r="K318" t="s">
        <v>29</v>
      </c>
      <c r="L318" t="str">
        <f t="array" ref="L318">_xlfn.IFS(HR_Data[[#This Row],[Experience]]&lt;2,"0-2 Years",HR_Data[[#This Row],[Experience]]&lt;5,"2-5 Years",HR_Data[[#This Row],[Experience]]&lt;10,"5-10 Years",TRUE(),"10+ Years")</f>
        <v>10+ Years</v>
      </c>
      <c r="M318" t="str">
        <f t="array" ref="M318">_xlfn.IFS(HR_Data[[#This Row],[Salary]]&lt;40000,"Low",HR_Data[[#This Row],[Salary]]&lt;70000,"Medium",HR_Data[[#This Row],[Salary]]&lt;100000,"High",TRUE(),"Very High")</f>
        <v>High</v>
      </c>
      <c r="N318" t="str">
        <f t="array" ref="N318">_xlfn.IFS(HR_Data[[#This Row],[Age]]&lt;25,"18-24",HR_Data[[#This Row],[Age]]&lt;35,"25-34",HR_Data[[#This Row],[Age]]&lt;45,"35-44",TRUE(),"45+")</f>
        <v>35-44</v>
      </c>
      <c r="O318">
        <f>YEAR(HR_Data[[#This Row],[Joining Date]])</f>
        <v>2016</v>
      </c>
      <c r="P318" t="str">
        <f>TEXT(HR_Data[[#This Row],[Joining Date]],"mmmm")</f>
        <v>February</v>
      </c>
      <c r="Q318">
        <f t="array" ref="Q318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18">
        <f>HR_Data[[#This Row],[Salary]]*HR_Data[[#This Row],[Bonus %]]</f>
        <v>12141.3</v>
      </c>
      <c r="S318">
        <f>HR_Data[[#This Row],[Salary]]+HR_Data[[#This Row],[Bonus Amount]]</f>
        <v>93083.3</v>
      </c>
      <c r="T318" t="str">
        <f>IF(HR_Data[[#This Row],[Attrition]]="Yes","Inactive","Active")</f>
        <v>Active</v>
      </c>
      <c r="U318" t="str">
        <f t="array" ref="U318">_xlfn.IFS(HR_Data[[#This Row],[Salary]]&gt;=100000,"A",HR_Data[[#This Row],[Salary]]&gt;=70000,"B",HR_Data[[#This Row],[Salary]]&gt;=50000,"C",TRUE(),"D")</f>
        <v>B</v>
      </c>
      <c r="V318" t="str">
        <f t="array" ref="V318">_xlfn.IFS(HR_Data[[#This Row],[Experience]]&gt;=15,"Expert",HR_Data[[#This Row],[Experience]]&gt;=8,"Senior",HR_Data[[#This Row],[Experience]]&gt;=3,"Mid-Level",TRUE(),"Junior")</f>
        <v>Expert</v>
      </c>
    </row>
    <row r="319" spans="1:22" ht="14.25" customHeight="1" x14ac:dyDescent="0.3">
      <c r="A319" t="s">
        <v>819</v>
      </c>
      <c r="B319" t="s">
        <v>820</v>
      </c>
      <c r="C319" t="s">
        <v>40</v>
      </c>
      <c r="D319" t="s">
        <v>25</v>
      </c>
      <c r="E319">
        <v>47</v>
      </c>
      <c r="F319">
        <v>113051</v>
      </c>
      <c r="G319">
        <v>27</v>
      </c>
      <c r="H319" t="s">
        <v>821</v>
      </c>
      <c r="I319" t="s">
        <v>42</v>
      </c>
      <c r="J319" t="s">
        <v>28</v>
      </c>
      <c r="K319" t="s">
        <v>37</v>
      </c>
      <c r="L319" t="str">
        <f t="array" ref="L319">_xlfn.IFS(HR_Data[[#This Row],[Experience]]&lt;2,"0-2 Years",HR_Data[[#This Row],[Experience]]&lt;5,"2-5 Years",HR_Data[[#This Row],[Experience]]&lt;10,"5-10 Years",TRUE(),"10+ Years")</f>
        <v>10+ Years</v>
      </c>
      <c r="M319" t="str">
        <f t="array" ref="M319">_xlfn.IFS(HR_Data[[#This Row],[Salary]]&lt;40000,"Low",HR_Data[[#This Row],[Salary]]&lt;70000,"Medium",HR_Data[[#This Row],[Salary]]&lt;100000,"High",TRUE(),"Very High")</f>
        <v>Very High</v>
      </c>
      <c r="N319" t="str">
        <f t="array" ref="N319">_xlfn.IFS(HR_Data[[#This Row],[Age]]&lt;25,"18-24",HR_Data[[#This Row],[Age]]&lt;35,"25-34",HR_Data[[#This Row],[Age]]&lt;45,"35-44",TRUE(),"45+")</f>
        <v>45+</v>
      </c>
      <c r="O319">
        <f>YEAR(HR_Data[[#This Row],[Joining Date]])</f>
        <v>2025</v>
      </c>
      <c r="P319" t="str">
        <f>TEXT(HR_Data[[#This Row],[Joining Date]],"mmmm")</f>
        <v>October</v>
      </c>
      <c r="Q319">
        <f t="array" ref="Q31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19">
        <f>HR_Data[[#This Row],[Salary]]*HR_Data[[#This Row],[Bonus %]]</f>
        <v>16957.649999999998</v>
      </c>
      <c r="S319">
        <f>HR_Data[[#This Row],[Salary]]+HR_Data[[#This Row],[Bonus Amount]]</f>
        <v>130008.65</v>
      </c>
      <c r="T319" t="str">
        <f>IF(HR_Data[[#This Row],[Attrition]]="Yes","Inactive","Active")</f>
        <v>Inactive</v>
      </c>
      <c r="U319" t="str">
        <f t="array" ref="U319">_xlfn.IFS(HR_Data[[#This Row],[Salary]]&gt;=100000,"A",HR_Data[[#This Row],[Salary]]&gt;=70000,"B",HR_Data[[#This Row],[Salary]]&gt;=50000,"C",TRUE(),"D")</f>
        <v>A</v>
      </c>
      <c r="V319" t="str">
        <f t="array" ref="V319">_xlfn.IFS(HR_Data[[#This Row],[Experience]]&gt;=15,"Expert",HR_Data[[#This Row],[Experience]]&gt;=8,"Senior",HR_Data[[#This Row],[Experience]]&gt;=3,"Mid-Level",TRUE(),"Junior")</f>
        <v>Expert</v>
      </c>
    </row>
    <row r="320" spans="1:22" ht="14.25" customHeight="1" x14ac:dyDescent="0.3">
      <c r="A320" t="s">
        <v>822</v>
      </c>
      <c r="B320" t="s">
        <v>823</v>
      </c>
      <c r="C320" t="s">
        <v>70</v>
      </c>
      <c r="D320" t="s">
        <v>25</v>
      </c>
      <c r="E320">
        <v>44</v>
      </c>
      <c r="F320">
        <v>93231</v>
      </c>
      <c r="G320">
        <v>19</v>
      </c>
      <c r="H320" t="s">
        <v>824</v>
      </c>
      <c r="I320" t="s">
        <v>62</v>
      </c>
      <c r="J320" t="s">
        <v>46</v>
      </c>
      <c r="K320" t="s">
        <v>29</v>
      </c>
      <c r="L320" t="str">
        <f t="array" ref="L320">_xlfn.IFS(HR_Data[[#This Row],[Experience]]&lt;2,"0-2 Years",HR_Data[[#This Row],[Experience]]&lt;5,"2-5 Years",HR_Data[[#This Row],[Experience]]&lt;10,"5-10 Years",TRUE(),"10+ Years")</f>
        <v>10+ Years</v>
      </c>
      <c r="M320" t="str">
        <f t="array" ref="M320">_xlfn.IFS(HR_Data[[#This Row],[Salary]]&lt;40000,"Low",HR_Data[[#This Row],[Salary]]&lt;70000,"Medium",HR_Data[[#This Row],[Salary]]&lt;100000,"High",TRUE(),"Very High")</f>
        <v>High</v>
      </c>
      <c r="N320" t="str">
        <f t="array" ref="N320">_xlfn.IFS(HR_Data[[#This Row],[Age]]&lt;25,"18-24",HR_Data[[#This Row],[Age]]&lt;35,"25-34",HR_Data[[#This Row],[Age]]&lt;45,"35-44",TRUE(),"45+")</f>
        <v>35-44</v>
      </c>
      <c r="O320">
        <f>YEAR(HR_Data[[#This Row],[Joining Date]])</f>
        <v>2025</v>
      </c>
      <c r="P320" t="str">
        <f>TEXT(HR_Data[[#This Row],[Joining Date]],"mmmm")</f>
        <v>December</v>
      </c>
      <c r="Q320">
        <f t="array" ref="Q320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320">
        <f>HR_Data[[#This Row],[Salary]]*HR_Data[[#This Row],[Bonus %]]</f>
        <v>4661.55</v>
      </c>
      <c r="S320">
        <f>HR_Data[[#This Row],[Salary]]+HR_Data[[#This Row],[Bonus Amount]]</f>
        <v>97892.55</v>
      </c>
      <c r="T320" t="str">
        <f>IF(HR_Data[[#This Row],[Attrition]]="Yes","Inactive","Active")</f>
        <v>Active</v>
      </c>
      <c r="U320" t="str">
        <f t="array" ref="U320">_xlfn.IFS(HR_Data[[#This Row],[Salary]]&gt;=100000,"A",HR_Data[[#This Row],[Salary]]&gt;=70000,"B",HR_Data[[#This Row],[Salary]]&gt;=50000,"C",TRUE(),"D")</f>
        <v>B</v>
      </c>
      <c r="V320" t="str">
        <f t="array" ref="V320">_xlfn.IFS(HR_Data[[#This Row],[Experience]]&gt;=15,"Expert",HR_Data[[#This Row],[Experience]]&gt;=8,"Senior",HR_Data[[#This Row],[Experience]]&gt;=3,"Mid-Level",TRUE(),"Junior")</f>
        <v>Expert</v>
      </c>
    </row>
    <row r="321" spans="1:22" ht="14.25" customHeight="1" x14ac:dyDescent="0.3">
      <c r="A321" t="s">
        <v>825</v>
      </c>
      <c r="B321" t="s">
        <v>48</v>
      </c>
      <c r="C321" t="s">
        <v>24</v>
      </c>
      <c r="D321" t="s">
        <v>33</v>
      </c>
      <c r="E321">
        <v>44</v>
      </c>
      <c r="F321">
        <v>105207</v>
      </c>
      <c r="G321">
        <v>23</v>
      </c>
      <c r="H321" t="s">
        <v>826</v>
      </c>
      <c r="I321" t="s">
        <v>132</v>
      </c>
      <c r="J321" t="s">
        <v>28</v>
      </c>
      <c r="K321" t="s">
        <v>29</v>
      </c>
      <c r="L321" t="str">
        <f t="array" ref="L321">_xlfn.IFS(HR_Data[[#This Row],[Experience]]&lt;2,"0-2 Years",HR_Data[[#This Row],[Experience]]&lt;5,"2-5 Years",HR_Data[[#This Row],[Experience]]&lt;10,"5-10 Years",TRUE(),"10+ Years")</f>
        <v>10+ Years</v>
      </c>
      <c r="M321" t="str">
        <f t="array" ref="M321">_xlfn.IFS(HR_Data[[#This Row],[Salary]]&lt;40000,"Low",HR_Data[[#This Row],[Salary]]&lt;70000,"Medium",HR_Data[[#This Row],[Salary]]&lt;100000,"High",TRUE(),"Very High")</f>
        <v>Very High</v>
      </c>
      <c r="N321" t="str">
        <f t="array" ref="N321">_xlfn.IFS(HR_Data[[#This Row],[Age]]&lt;25,"18-24",HR_Data[[#This Row],[Age]]&lt;35,"25-34",HR_Data[[#This Row],[Age]]&lt;45,"35-44",TRUE(),"45+")</f>
        <v>35-44</v>
      </c>
      <c r="O321">
        <f>YEAR(HR_Data[[#This Row],[Joining Date]])</f>
        <v>2016</v>
      </c>
      <c r="P321" t="str">
        <f>TEXT(HR_Data[[#This Row],[Joining Date]],"mmmm")</f>
        <v>January</v>
      </c>
      <c r="Q321">
        <f t="array" ref="Q321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21">
        <f>HR_Data[[#This Row],[Salary]]*HR_Data[[#This Row],[Bonus %]]</f>
        <v>15781.05</v>
      </c>
      <c r="S321">
        <f>HR_Data[[#This Row],[Salary]]+HR_Data[[#This Row],[Bonus Amount]]</f>
        <v>120988.05</v>
      </c>
      <c r="T321" t="str">
        <f>IF(HR_Data[[#This Row],[Attrition]]="Yes","Inactive","Active")</f>
        <v>Active</v>
      </c>
      <c r="U321" t="str">
        <f t="array" ref="U321">_xlfn.IFS(HR_Data[[#This Row],[Salary]]&gt;=100000,"A",HR_Data[[#This Row],[Salary]]&gt;=70000,"B",HR_Data[[#This Row],[Salary]]&gt;=50000,"C",TRUE(),"D")</f>
        <v>A</v>
      </c>
      <c r="V321" t="str">
        <f t="array" ref="V321">_xlfn.IFS(HR_Data[[#This Row],[Experience]]&gt;=15,"Expert",HR_Data[[#This Row],[Experience]]&gt;=8,"Senior",HR_Data[[#This Row],[Experience]]&gt;=3,"Mid-Level",TRUE(),"Junior")</f>
        <v>Expert</v>
      </c>
    </row>
    <row r="322" spans="1:22" ht="14.25" customHeight="1" x14ac:dyDescent="0.3">
      <c r="A322" t="s">
        <v>827</v>
      </c>
      <c r="B322" t="s">
        <v>828</v>
      </c>
      <c r="C322" t="s">
        <v>32</v>
      </c>
      <c r="D322" t="s">
        <v>25</v>
      </c>
      <c r="E322">
        <v>26</v>
      </c>
      <c r="F322">
        <v>47465</v>
      </c>
      <c r="G322">
        <v>6</v>
      </c>
      <c r="H322" t="s">
        <v>829</v>
      </c>
      <c r="I322" t="s">
        <v>45</v>
      </c>
      <c r="J322" t="s">
        <v>90</v>
      </c>
      <c r="K322" t="s">
        <v>29</v>
      </c>
      <c r="L322" t="str">
        <f t="array" ref="L322">_xlfn.IFS(HR_Data[[#This Row],[Experience]]&lt;2,"0-2 Years",HR_Data[[#This Row],[Experience]]&lt;5,"2-5 Years",HR_Data[[#This Row],[Experience]]&lt;10,"5-10 Years",TRUE(),"10+ Years")</f>
        <v>5-10 Years</v>
      </c>
      <c r="M322" t="str">
        <f t="array" ref="M322">_xlfn.IFS(HR_Data[[#This Row],[Salary]]&lt;40000,"Low",HR_Data[[#This Row],[Salary]]&lt;70000,"Medium",HR_Data[[#This Row],[Salary]]&lt;100000,"High",TRUE(),"Very High")</f>
        <v>Medium</v>
      </c>
      <c r="N322" t="str">
        <f t="array" ref="N322">_xlfn.IFS(HR_Data[[#This Row],[Age]]&lt;25,"18-24",HR_Data[[#This Row],[Age]]&lt;35,"25-34",HR_Data[[#This Row],[Age]]&lt;45,"35-44",TRUE(),"45+")</f>
        <v>25-34</v>
      </c>
      <c r="O322">
        <f>YEAR(HR_Data[[#This Row],[Joining Date]])</f>
        <v>2024</v>
      </c>
      <c r="P322" t="str">
        <f>TEXT(HR_Data[[#This Row],[Joining Date]],"mmmm")</f>
        <v>April</v>
      </c>
      <c r="Q322">
        <f t="array" ref="Q322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322">
        <f>HR_Data[[#This Row],[Salary]]*HR_Data[[#This Row],[Bonus %]]</f>
        <v>0</v>
      </c>
      <c r="S322">
        <f>HR_Data[[#This Row],[Salary]]+HR_Data[[#This Row],[Bonus Amount]]</f>
        <v>47465</v>
      </c>
      <c r="T322" t="str">
        <f>IF(HR_Data[[#This Row],[Attrition]]="Yes","Inactive","Active")</f>
        <v>Active</v>
      </c>
      <c r="U322" t="str">
        <f t="array" ref="U322">_xlfn.IFS(HR_Data[[#This Row],[Salary]]&gt;=100000,"A",HR_Data[[#This Row],[Salary]]&gt;=70000,"B",HR_Data[[#This Row],[Salary]]&gt;=50000,"C",TRUE(),"D")</f>
        <v>D</v>
      </c>
      <c r="V322" t="str">
        <f t="array" ref="V322">_xlfn.IFS(HR_Data[[#This Row],[Experience]]&gt;=15,"Expert",HR_Data[[#This Row],[Experience]]&gt;=8,"Senior",HR_Data[[#This Row],[Experience]]&gt;=3,"Mid-Level",TRUE(),"Junior")</f>
        <v>Mid-Level</v>
      </c>
    </row>
    <row r="323" spans="1:22" ht="14.25" customHeight="1" x14ac:dyDescent="0.3">
      <c r="A323" t="s">
        <v>830</v>
      </c>
      <c r="B323" t="s">
        <v>831</v>
      </c>
      <c r="C323" t="s">
        <v>24</v>
      </c>
      <c r="D323" t="s">
        <v>33</v>
      </c>
      <c r="E323">
        <v>58</v>
      </c>
      <c r="F323">
        <v>120721</v>
      </c>
      <c r="G323">
        <v>30</v>
      </c>
      <c r="H323" t="s">
        <v>832</v>
      </c>
      <c r="I323" t="s">
        <v>42</v>
      </c>
      <c r="J323" t="s">
        <v>28</v>
      </c>
      <c r="K323" t="s">
        <v>29</v>
      </c>
      <c r="L323" t="str">
        <f t="array" ref="L323">_xlfn.IFS(HR_Data[[#This Row],[Experience]]&lt;2,"0-2 Years",HR_Data[[#This Row],[Experience]]&lt;5,"2-5 Years",HR_Data[[#This Row],[Experience]]&lt;10,"5-10 Years",TRUE(),"10+ Years")</f>
        <v>10+ Years</v>
      </c>
      <c r="M323" t="str">
        <f t="array" ref="M323">_xlfn.IFS(HR_Data[[#This Row],[Salary]]&lt;40000,"Low",HR_Data[[#This Row],[Salary]]&lt;70000,"Medium",HR_Data[[#This Row],[Salary]]&lt;100000,"High",TRUE(),"Very High")</f>
        <v>Very High</v>
      </c>
      <c r="N323" t="str">
        <f t="array" ref="N323">_xlfn.IFS(HR_Data[[#This Row],[Age]]&lt;25,"18-24",HR_Data[[#This Row],[Age]]&lt;35,"25-34",HR_Data[[#This Row],[Age]]&lt;45,"35-44",TRUE(),"45+")</f>
        <v>45+</v>
      </c>
      <c r="O323">
        <f>YEAR(HR_Data[[#This Row],[Joining Date]])</f>
        <v>2025</v>
      </c>
      <c r="P323" t="str">
        <f>TEXT(HR_Data[[#This Row],[Joining Date]],"mmmm")</f>
        <v>September</v>
      </c>
      <c r="Q323">
        <f t="array" ref="Q32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23">
        <f>HR_Data[[#This Row],[Salary]]*HR_Data[[#This Row],[Bonus %]]</f>
        <v>18108.149999999998</v>
      </c>
      <c r="S323">
        <f>HR_Data[[#This Row],[Salary]]+HR_Data[[#This Row],[Bonus Amount]]</f>
        <v>138829.15</v>
      </c>
      <c r="T323" t="str">
        <f>IF(HR_Data[[#This Row],[Attrition]]="Yes","Inactive","Active")</f>
        <v>Active</v>
      </c>
      <c r="U323" t="str">
        <f t="array" ref="U323">_xlfn.IFS(HR_Data[[#This Row],[Salary]]&gt;=100000,"A",HR_Data[[#This Row],[Salary]]&gt;=70000,"B",HR_Data[[#This Row],[Salary]]&gt;=50000,"C",TRUE(),"D")</f>
        <v>A</v>
      </c>
      <c r="V323" t="str">
        <f t="array" ref="V323">_xlfn.IFS(HR_Data[[#This Row],[Experience]]&gt;=15,"Expert",HR_Data[[#This Row],[Experience]]&gt;=8,"Senior",HR_Data[[#This Row],[Experience]]&gt;=3,"Mid-Level",TRUE(),"Junior")</f>
        <v>Expert</v>
      </c>
    </row>
    <row r="324" spans="1:22" ht="14.25" customHeight="1" x14ac:dyDescent="0.3">
      <c r="A324" t="s">
        <v>833</v>
      </c>
      <c r="B324" t="s">
        <v>335</v>
      </c>
      <c r="C324" t="s">
        <v>32</v>
      </c>
      <c r="D324" t="s">
        <v>33</v>
      </c>
      <c r="E324">
        <v>49</v>
      </c>
      <c r="F324">
        <v>112077</v>
      </c>
      <c r="G324">
        <v>28</v>
      </c>
      <c r="H324" t="s">
        <v>834</v>
      </c>
      <c r="I324" t="s">
        <v>132</v>
      </c>
      <c r="J324" t="s">
        <v>46</v>
      </c>
      <c r="K324" t="s">
        <v>29</v>
      </c>
      <c r="L324" t="str">
        <f t="array" ref="L324">_xlfn.IFS(HR_Data[[#This Row],[Experience]]&lt;2,"0-2 Years",HR_Data[[#This Row],[Experience]]&lt;5,"2-5 Years",HR_Data[[#This Row],[Experience]]&lt;10,"5-10 Years",TRUE(),"10+ Years")</f>
        <v>10+ Years</v>
      </c>
      <c r="M324" t="str">
        <f t="array" ref="M324">_xlfn.IFS(HR_Data[[#This Row],[Salary]]&lt;40000,"Low",HR_Data[[#This Row],[Salary]]&lt;70000,"Medium",HR_Data[[#This Row],[Salary]]&lt;100000,"High",TRUE(),"Very High")</f>
        <v>Very High</v>
      </c>
      <c r="N324" t="str">
        <f t="array" ref="N324">_xlfn.IFS(HR_Data[[#This Row],[Age]]&lt;25,"18-24",HR_Data[[#This Row],[Age]]&lt;35,"25-34",HR_Data[[#This Row],[Age]]&lt;45,"35-44",TRUE(),"45+")</f>
        <v>45+</v>
      </c>
      <c r="O324">
        <f>YEAR(HR_Data[[#This Row],[Joining Date]])</f>
        <v>2019</v>
      </c>
      <c r="P324" t="str">
        <f>TEXT(HR_Data[[#This Row],[Joining Date]],"mmmm")</f>
        <v>October</v>
      </c>
      <c r="Q324">
        <f t="array" ref="Q324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324">
        <f>HR_Data[[#This Row],[Salary]]*HR_Data[[#This Row],[Bonus %]]</f>
        <v>5603.85</v>
      </c>
      <c r="S324">
        <f>HR_Data[[#This Row],[Salary]]+HR_Data[[#This Row],[Bonus Amount]]</f>
        <v>117680.85</v>
      </c>
      <c r="T324" t="str">
        <f>IF(HR_Data[[#This Row],[Attrition]]="Yes","Inactive","Active")</f>
        <v>Active</v>
      </c>
      <c r="U324" t="str">
        <f t="array" ref="U324">_xlfn.IFS(HR_Data[[#This Row],[Salary]]&gt;=100000,"A",HR_Data[[#This Row],[Salary]]&gt;=70000,"B",HR_Data[[#This Row],[Salary]]&gt;=50000,"C",TRUE(),"D")</f>
        <v>A</v>
      </c>
      <c r="V324" t="str">
        <f t="array" ref="V324">_xlfn.IFS(HR_Data[[#This Row],[Experience]]&gt;=15,"Expert",HR_Data[[#This Row],[Experience]]&gt;=8,"Senior",HR_Data[[#This Row],[Experience]]&gt;=3,"Mid-Level",TRUE(),"Junior")</f>
        <v>Expert</v>
      </c>
    </row>
    <row r="325" spans="1:22" ht="14.25" customHeight="1" x14ac:dyDescent="0.3">
      <c r="A325" t="s">
        <v>835</v>
      </c>
      <c r="B325" t="s">
        <v>124</v>
      </c>
      <c r="C325" t="s">
        <v>75</v>
      </c>
      <c r="D325" t="s">
        <v>25</v>
      </c>
      <c r="E325">
        <v>40</v>
      </c>
      <c r="F325">
        <v>70395</v>
      </c>
      <c r="G325">
        <v>16</v>
      </c>
      <c r="H325" t="s">
        <v>836</v>
      </c>
      <c r="I325" t="s">
        <v>27</v>
      </c>
      <c r="J325" t="s">
        <v>28</v>
      </c>
      <c r="K325" t="s">
        <v>29</v>
      </c>
      <c r="L325" t="str">
        <f t="array" ref="L325">_xlfn.IFS(HR_Data[[#This Row],[Experience]]&lt;2,"0-2 Years",HR_Data[[#This Row],[Experience]]&lt;5,"2-5 Years",HR_Data[[#This Row],[Experience]]&lt;10,"5-10 Years",TRUE(),"10+ Years")</f>
        <v>10+ Years</v>
      </c>
      <c r="M325" t="str">
        <f t="array" ref="M325">_xlfn.IFS(HR_Data[[#This Row],[Salary]]&lt;40000,"Low",HR_Data[[#This Row],[Salary]]&lt;70000,"Medium",HR_Data[[#This Row],[Salary]]&lt;100000,"High",TRUE(),"Very High")</f>
        <v>High</v>
      </c>
      <c r="N325" t="str">
        <f t="array" ref="N325">_xlfn.IFS(HR_Data[[#This Row],[Age]]&lt;25,"18-24",HR_Data[[#This Row],[Age]]&lt;35,"25-34",HR_Data[[#This Row],[Age]]&lt;45,"35-44",TRUE(),"45+")</f>
        <v>35-44</v>
      </c>
      <c r="O325">
        <f>YEAR(HR_Data[[#This Row],[Joining Date]])</f>
        <v>2016</v>
      </c>
      <c r="P325" t="str">
        <f>TEXT(HR_Data[[#This Row],[Joining Date]],"mmmm")</f>
        <v>December</v>
      </c>
      <c r="Q325">
        <f t="array" ref="Q325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25">
        <f>HR_Data[[#This Row],[Salary]]*HR_Data[[#This Row],[Bonus %]]</f>
        <v>10559.25</v>
      </c>
      <c r="S325">
        <f>HR_Data[[#This Row],[Salary]]+HR_Data[[#This Row],[Bonus Amount]]</f>
        <v>80954.25</v>
      </c>
      <c r="T325" t="str">
        <f>IF(HR_Data[[#This Row],[Attrition]]="Yes","Inactive","Active")</f>
        <v>Active</v>
      </c>
      <c r="U325" t="str">
        <f t="array" ref="U325">_xlfn.IFS(HR_Data[[#This Row],[Salary]]&gt;=100000,"A",HR_Data[[#This Row],[Salary]]&gt;=70000,"B",HR_Data[[#This Row],[Salary]]&gt;=50000,"C",TRUE(),"D")</f>
        <v>B</v>
      </c>
      <c r="V325" t="str">
        <f t="array" ref="V325">_xlfn.IFS(HR_Data[[#This Row],[Experience]]&gt;=15,"Expert",HR_Data[[#This Row],[Experience]]&gt;=8,"Senior",HR_Data[[#This Row],[Experience]]&gt;=3,"Mid-Level",TRUE(),"Junior")</f>
        <v>Expert</v>
      </c>
    </row>
    <row r="326" spans="1:22" ht="14.25" customHeight="1" x14ac:dyDescent="0.3">
      <c r="A326" t="s">
        <v>837</v>
      </c>
      <c r="B326" t="s">
        <v>85</v>
      </c>
      <c r="C326" t="s">
        <v>40</v>
      </c>
      <c r="D326" t="s">
        <v>33</v>
      </c>
      <c r="E326">
        <v>58</v>
      </c>
      <c r="F326">
        <v>126287</v>
      </c>
      <c r="G326">
        <v>33</v>
      </c>
      <c r="H326" t="s">
        <v>838</v>
      </c>
      <c r="I326" t="s">
        <v>80</v>
      </c>
      <c r="J326" t="s">
        <v>63</v>
      </c>
      <c r="K326" t="s">
        <v>29</v>
      </c>
      <c r="L326" t="str">
        <f t="array" ref="L326">_xlfn.IFS(HR_Data[[#This Row],[Experience]]&lt;2,"0-2 Years",HR_Data[[#This Row],[Experience]]&lt;5,"2-5 Years",HR_Data[[#This Row],[Experience]]&lt;10,"5-10 Years",TRUE(),"10+ Years")</f>
        <v>10+ Years</v>
      </c>
      <c r="M326" t="str">
        <f t="array" ref="M326">_xlfn.IFS(HR_Data[[#This Row],[Salary]]&lt;40000,"Low",HR_Data[[#This Row],[Salary]]&lt;70000,"Medium",HR_Data[[#This Row],[Salary]]&lt;100000,"High",TRUE(),"Very High")</f>
        <v>Very High</v>
      </c>
      <c r="N326" t="str">
        <f t="array" ref="N326">_xlfn.IFS(HR_Data[[#This Row],[Age]]&lt;25,"18-24",HR_Data[[#This Row],[Age]]&lt;35,"25-34",HR_Data[[#This Row],[Age]]&lt;45,"35-44",TRUE(),"45+")</f>
        <v>45+</v>
      </c>
      <c r="O326">
        <f>YEAR(HR_Data[[#This Row],[Joining Date]])</f>
        <v>2024</v>
      </c>
      <c r="P326" t="str">
        <f>TEXT(HR_Data[[#This Row],[Joining Date]],"mmmm")</f>
        <v>April</v>
      </c>
      <c r="Q326">
        <f t="array" ref="Q326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326">
        <f>HR_Data[[#This Row],[Salary]]*HR_Data[[#This Row],[Bonus %]]</f>
        <v>25257.4</v>
      </c>
      <c r="S326">
        <f>HR_Data[[#This Row],[Salary]]+HR_Data[[#This Row],[Bonus Amount]]</f>
        <v>151544.4</v>
      </c>
      <c r="T326" t="str">
        <f>IF(HR_Data[[#This Row],[Attrition]]="Yes","Inactive","Active")</f>
        <v>Active</v>
      </c>
      <c r="U326" t="str">
        <f t="array" ref="U326">_xlfn.IFS(HR_Data[[#This Row],[Salary]]&gt;=100000,"A",HR_Data[[#This Row],[Salary]]&gt;=70000,"B",HR_Data[[#This Row],[Salary]]&gt;=50000,"C",TRUE(),"D")</f>
        <v>A</v>
      </c>
      <c r="V326" t="str">
        <f t="array" ref="V326">_xlfn.IFS(HR_Data[[#This Row],[Experience]]&gt;=15,"Expert",HR_Data[[#This Row],[Experience]]&gt;=8,"Senior",HR_Data[[#This Row],[Experience]]&gt;=3,"Mid-Level",TRUE(),"Junior")</f>
        <v>Expert</v>
      </c>
    </row>
    <row r="327" spans="1:22" ht="14.25" customHeight="1" x14ac:dyDescent="0.3">
      <c r="A327" t="s">
        <v>839</v>
      </c>
      <c r="B327" t="s">
        <v>390</v>
      </c>
      <c r="C327" t="s">
        <v>112</v>
      </c>
      <c r="D327" t="s">
        <v>33</v>
      </c>
      <c r="E327">
        <v>58</v>
      </c>
      <c r="F327">
        <v>139264</v>
      </c>
      <c r="G327">
        <v>34</v>
      </c>
      <c r="H327" t="s">
        <v>840</v>
      </c>
      <c r="I327" t="s">
        <v>80</v>
      </c>
      <c r="J327" t="s">
        <v>28</v>
      </c>
      <c r="K327" t="s">
        <v>29</v>
      </c>
      <c r="L327" t="str">
        <f t="array" ref="L327">_xlfn.IFS(HR_Data[[#This Row],[Experience]]&lt;2,"0-2 Years",HR_Data[[#This Row],[Experience]]&lt;5,"2-5 Years",HR_Data[[#This Row],[Experience]]&lt;10,"5-10 Years",TRUE(),"10+ Years")</f>
        <v>10+ Years</v>
      </c>
      <c r="M327" t="str">
        <f t="array" ref="M327">_xlfn.IFS(HR_Data[[#This Row],[Salary]]&lt;40000,"Low",HR_Data[[#This Row],[Salary]]&lt;70000,"Medium",HR_Data[[#This Row],[Salary]]&lt;100000,"High",TRUE(),"Very High")</f>
        <v>Very High</v>
      </c>
      <c r="N327" t="str">
        <f t="array" ref="N327">_xlfn.IFS(HR_Data[[#This Row],[Age]]&lt;25,"18-24",HR_Data[[#This Row],[Age]]&lt;35,"25-34",HR_Data[[#This Row],[Age]]&lt;45,"35-44",TRUE(),"45+")</f>
        <v>45+</v>
      </c>
      <c r="O327">
        <f>YEAR(HR_Data[[#This Row],[Joining Date]])</f>
        <v>2020</v>
      </c>
      <c r="P327" t="str">
        <f>TEXT(HR_Data[[#This Row],[Joining Date]],"mmmm")</f>
        <v>December</v>
      </c>
      <c r="Q327">
        <f t="array" ref="Q32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27">
        <f>HR_Data[[#This Row],[Salary]]*HR_Data[[#This Row],[Bonus %]]</f>
        <v>20889.599999999999</v>
      </c>
      <c r="S327">
        <f>HR_Data[[#This Row],[Salary]]+HR_Data[[#This Row],[Bonus Amount]]</f>
        <v>160153.60000000001</v>
      </c>
      <c r="T327" t="str">
        <f>IF(HR_Data[[#This Row],[Attrition]]="Yes","Inactive","Active")</f>
        <v>Active</v>
      </c>
      <c r="U327" t="str">
        <f t="array" ref="U327">_xlfn.IFS(HR_Data[[#This Row],[Salary]]&gt;=100000,"A",HR_Data[[#This Row],[Salary]]&gt;=70000,"B",HR_Data[[#This Row],[Salary]]&gt;=50000,"C",TRUE(),"D")</f>
        <v>A</v>
      </c>
      <c r="V327" t="str">
        <f t="array" ref="V327">_xlfn.IFS(HR_Data[[#This Row],[Experience]]&gt;=15,"Expert",HR_Data[[#This Row],[Experience]]&gt;=8,"Senior",HR_Data[[#This Row],[Experience]]&gt;=3,"Mid-Level",TRUE(),"Junior")</f>
        <v>Expert</v>
      </c>
    </row>
    <row r="328" spans="1:22" ht="14.25" customHeight="1" x14ac:dyDescent="0.3">
      <c r="A328" t="s">
        <v>841</v>
      </c>
      <c r="B328" t="s">
        <v>842</v>
      </c>
      <c r="C328" t="s">
        <v>112</v>
      </c>
      <c r="D328" t="s">
        <v>25</v>
      </c>
      <c r="E328">
        <v>46</v>
      </c>
      <c r="F328">
        <v>116944</v>
      </c>
      <c r="G328">
        <v>25</v>
      </c>
      <c r="H328" t="s">
        <v>843</v>
      </c>
      <c r="I328" t="s">
        <v>80</v>
      </c>
      <c r="J328" t="s">
        <v>63</v>
      </c>
      <c r="K328" t="s">
        <v>29</v>
      </c>
      <c r="L328" t="str">
        <f t="array" ref="L328">_xlfn.IFS(HR_Data[[#This Row],[Experience]]&lt;2,"0-2 Years",HR_Data[[#This Row],[Experience]]&lt;5,"2-5 Years",HR_Data[[#This Row],[Experience]]&lt;10,"5-10 Years",TRUE(),"10+ Years")</f>
        <v>10+ Years</v>
      </c>
      <c r="M328" t="str">
        <f t="array" ref="M328">_xlfn.IFS(HR_Data[[#This Row],[Salary]]&lt;40000,"Low",HR_Data[[#This Row],[Salary]]&lt;70000,"Medium",HR_Data[[#This Row],[Salary]]&lt;100000,"High",TRUE(),"Very High")</f>
        <v>Very High</v>
      </c>
      <c r="N328" t="str">
        <f t="array" ref="N328">_xlfn.IFS(HR_Data[[#This Row],[Age]]&lt;25,"18-24",HR_Data[[#This Row],[Age]]&lt;35,"25-34",HR_Data[[#This Row],[Age]]&lt;45,"35-44",TRUE(),"45+")</f>
        <v>45+</v>
      </c>
      <c r="O328">
        <f>YEAR(HR_Data[[#This Row],[Joining Date]])</f>
        <v>2024</v>
      </c>
      <c r="P328" t="str">
        <f>TEXT(HR_Data[[#This Row],[Joining Date]],"mmmm")</f>
        <v>January</v>
      </c>
      <c r="Q328">
        <f t="array" ref="Q328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328">
        <f>HR_Data[[#This Row],[Salary]]*HR_Data[[#This Row],[Bonus %]]</f>
        <v>23388.800000000003</v>
      </c>
      <c r="S328">
        <f>HR_Data[[#This Row],[Salary]]+HR_Data[[#This Row],[Bonus Amount]]</f>
        <v>140332.79999999999</v>
      </c>
      <c r="T328" t="str">
        <f>IF(HR_Data[[#This Row],[Attrition]]="Yes","Inactive","Active")</f>
        <v>Active</v>
      </c>
      <c r="U328" t="str">
        <f t="array" ref="U328">_xlfn.IFS(HR_Data[[#This Row],[Salary]]&gt;=100000,"A",HR_Data[[#This Row],[Salary]]&gt;=70000,"B",HR_Data[[#This Row],[Salary]]&gt;=50000,"C",TRUE(),"D")</f>
        <v>A</v>
      </c>
      <c r="V328" t="str">
        <f t="array" ref="V328">_xlfn.IFS(HR_Data[[#This Row],[Experience]]&gt;=15,"Expert",HR_Data[[#This Row],[Experience]]&gt;=8,"Senior",HR_Data[[#This Row],[Experience]]&gt;=3,"Mid-Level",TRUE(),"Junior")</f>
        <v>Expert</v>
      </c>
    </row>
    <row r="329" spans="1:22" ht="14.25" customHeight="1" x14ac:dyDescent="0.3">
      <c r="A329" t="s">
        <v>844</v>
      </c>
      <c r="B329" t="s">
        <v>105</v>
      </c>
      <c r="C329" t="s">
        <v>70</v>
      </c>
      <c r="D329" t="s">
        <v>25</v>
      </c>
      <c r="E329">
        <v>42</v>
      </c>
      <c r="F329">
        <v>101671</v>
      </c>
      <c r="G329">
        <v>23</v>
      </c>
      <c r="H329" t="s">
        <v>845</v>
      </c>
      <c r="I329" t="s">
        <v>35</v>
      </c>
      <c r="J329" t="s">
        <v>28</v>
      </c>
      <c r="K329" t="s">
        <v>29</v>
      </c>
      <c r="L329" t="str">
        <f t="array" ref="L329">_xlfn.IFS(HR_Data[[#This Row],[Experience]]&lt;2,"0-2 Years",HR_Data[[#This Row],[Experience]]&lt;5,"2-5 Years",HR_Data[[#This Row],[Experience]]&lt;10,"5-10 Years",TRUE(),"10+ Years")</f>
        <v>10+ Years</v>
      </c>
      <c r="M329" t="str">
        <f t="array" ref="M329">_xlfn.IFS(HR_Data[[#This Row],[Salary]]&lt;40000,"Low",HR_Data[[#This Row],[Salary]]&lt;70000,"Medium",HR_Data[[#This Row],[Salary]]&lt;100000,"High",TRUE(),"Very High")</f>
        <v>Very High</v>
      </c>
      <c r="N329" t="str">
        <f t="array" ref="N329">_xlfn.IFS(HR_Data[[#This Row],[Age]]&lt;25,"18-24",HR_Data[[#This Row],[Age]]&lt;35,"25-34",HR_Data[[#This Row],[Age]]&lt;45,"35-44",TRUE(),"45+")</f>
        <v>35-44</v>
      </c>
      <c r="O329">
        <f>YEAR(HR_Data[[#This Row],[Joining Date]])</f>
        <v>2021</v>
      </c>
      <c r="P329" t="str">
        <f>TEXT(HR_Data[[#This Row],[Joining Date]],"mmmm")</f>
        <v>October</v>
      </c>
      <c r="Q329">
        <f t="array" ref="Q32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29">
        <f>HR_Data[[#This Row],[Salary]]*HR_Data[[#This Row],[Bonus %]]</f>
        <v>15250.65</v>
      </c>
      <c r="S329">
        <f>HR_Data[[#This Row],[Salary]]+HR_Data[[#This Row],[Bonus Amount]]</f>
        <v>116921.65</v>
      </c>
      <c r="T329" t="str">
        <f>IF(HR_Data[[#This Row],[Attrition]]="Yes","Inactive","Active")</f>
        <v>Active</v>
      </c>
      <c r="U329" t="str">
        <f t="array" ref="U329">_xlfn.IFS(HR_Data[[#This Row],[Salary]]&gt;=100000,"A",HR_Data[[#This Row],[Salary]]&gt;=70000,"B",HR_Data[[#This Row],[Salary]]&gt;=50000,"C",TRUE(),"D")</f>
        <v>A</v>
      </c>
      <c r="V329" t="str">
        <f t="array" ref="V329">_xlfn.IFS(HR_Data[[#This Row],[Experience]]&gt;=15,"Expert",HR_Data[[#This Row],[Experience]]&gt;=8,"Senior",HR_Data[[#This Row],[Experience]]&gt;=3,"Mid-Level",TRUE(),"Junior")</f>
        <v>Expert</v>
      </c>
    </row>
    <row r="330" spans="1:22" ht="14.25" customHeight="1" x14ac:dyDescent="0.3">
      <c r="A330" t="s">
        <v>846</v>
      </c>
      <c r="B330" t="s">
        <v>798</v>
      </c>
      <c r="C330" t="s">
        <v>75</v>
      </c>
      <c r="D330" t="s">
        <v>25</v>
      </c>
      <c r="E330">
        <v>43</v>
      </c>
      <c r="F330">
        <v>94656</v>
      </c>
      <c r="G330">
        <v>20</v>
      </c>
      <c r="H330" t="s">
        <v>847</v>
      </c>
      <c r="I330" t="s">
        <v>27</v>
      </c>
      <c r="J330" t="s">
        <v>28</v>
      </c>
      <c r="K330" t="s">
        <v>29</v>
      </c>
      <c r="L330" t="str">
        <f t="array" ref="L330">_xlfn.IFS(HR_Data[[#This Row],[Experience]]&lt;2,"0-2 Years",HR_Data[[#This Row],[Experience]]&lt;5,"2-5 Years",HR_Data[[#This Row],[Experience]]&lt;10,"5-10 Years",TRUE(),"10+ Years")</f>
        <v>10+ Years</v>
      </c>
      <c r="M330" t="str">
        <f t="array" ref="M330">_xlfn.IFS(HR_Data[[#This Row],[Salary]]&lt;40000,"Low",HR_Data[[#This Row],[Salary]]&lt;70000,"Medium",HR_Data[[#This Row],[Salary]]&lt;100000,"High",TRUE(),"Very High")</f>
        <v>High</v>
      </c>
      <c r="N330" t="str">
        <f t="array" ref="N330">_xlfn.IFS(HR_Data[[#This Row],[Age]]&lt;25,"18-24",HR_Data[[#This Row],[Age]]&lt;35,"25-34",HR_Data[[#This Row],[Age]]&lt;45,"35-44",TRUE(),"45+")</f>
        <v>35-44</v>
      </c>
      <c r="O330">
        <f>YEAR(HR_Data[[#This Row],[Joining Date]])</f>
        <v>2017</v>
      </c>
      <c r="P330" t="str">
        <f>TEXT(HR_Data[[#This Row],[Joining Date]],"mmmm")</f>
        <v>January</v>
      </c>
      <c r="Q330">
        <f t="array" ref="Q330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30">
        <f>HR_Data[[#This Row],[Salary]]*HR_Data[[#This Row],[Bonus %]]</f>
        <v>14198.4</v>
      </c>
      <c r="S330">
        <f>HR_Data[[#This Row],[Salary]]+HR_Data[[#This Row],[Bonus Amount]]</f>
        <v>108854.39999999999</v>
      </c>
      <c r="T330" t="str">
        <f>IF(HR_Data[[#This Row],[Attrition]]="Yes","Inactive","Active")</f>
        <v>Active</v>
      </c>
      <c r="U330" t="str">
        <f t="array" ref="U330">_xlfn.IFS(HR_Data[[#This Row],[Salary]]&gt;=100000,"A",HR_Data[[#This Row],[Salary]]&gt;=70000,"B",HR_Data[[#This Row],[Salary]]&gt;=50000,"C",TRUE(),"D")</f>
        <v>B</v>
      </c>
      <c r="V330" t="str">
        <f t="array" ref="V330">_xlfn.IFS(HR_Data[[#This Row],[Experience]]&gt;=15,"Expert",HR_Data[[#This Row],[Experience]]&gt;=8,"Senior",HR_Data[[#This Row],[Experience]]&gt;=3,"Mid-Level",TRUE(),"Junior")</f>
        <v>Expert</v>
      </c>
    </row>
    <row r="331" spans="1:22" ht="14.25" customHeight="1" x14ac:dyDescent="0.3">
      <c r="A331" t="s">
        <v>848</v>
      </c>
      <c r="B331" t="s">
        <v>88</v>
      </c>
      <c r="C331" t="s">
        <v>112</v>
      </c>
      <c r="D331" t="s">
        <v>33</v>
      </c>
      <c r="E331">
        <v>53</v>
      </c>
      <c r="F331">
        <v>121550</v>
      </c>
      <c r="G331">
        <v>32</v>
      </c>
      <c r="H331" t="s">
        <v>849</v>
      </c>
      <c r="I331" t="s">
        <v>57</v>
      </c>
      <c r="J331" t="s">
        <v>36</v>
      </c>
      <c r="K331" t="s">
        <v>29</v>
      </c>
      <c r="L331" t="str">
        <f t="array" ref="L331">_xlfn.IFS(HR_Data[[#This Row],[Experience]]&lt;2,"0-2 Years",HR_Data[[#This Row],[Experience]]&lt;5,"2-5 Years",HR_Data[[#This Row],[Experience]]&lt;10,"5-10 Years",TRUE(),"10+ Years")</f>
        <v>10+ Years</v>
      </c>
      <c r="M331" t="str">
        <f t="array" ref="M331">_xlfn.IFS(HR_Data[[#This Row],[Salary]]&lt;40000,"Low",HR_Data[[#This Row],[Salary]]&lt;70000,"Medium",HR_Data[[#This Row],[Salary]]&lt;100000,"High",TRUE(),"Very High")</f>
        <v>Very High</v>
      </c>
      <c r="N331" t="str">
        <f t="array" ref="N331">_xlfn.IFS(HR_Data[[#This Row],[Age]]&lt;25,"18-24",HR_Data[[#This Row],[Age]]&lt;35,"25-34",HR_Data[[#This Row],[Age]]&lt;45,"35-44",TRUE(),"45+")</f>
        <v>45+</v>
      </c>
      <c r="O331">
        <f>YEAR(HR_Data[[#This Row],[Joining Date]])</f>
        <v>2021</v>
      </c>
      <c r="P331" t="str">
        <f>TEXT(HR_Data[[#This Row],[Joining Date]],"mmmm")</f>
        <v>December</v>
      </c>
      <c r="Q331">
        <f t="array" ref="Q33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31">
        <f>HR_Data[[#This Row],[Salary]]*HR_Data[[#This Row],[Bonus %]]</f>
        <v>12155</v>
      </c>
      <c r="S331">
        <f>HR_Data[[#This Row],[Salary]]+HR_Data[[#This Row],[Bonus Amount]]</f>
        <v>133705</v>
      </c>
      <c r="T331" t="str">
        <f>IF(HR_Data[[#This Row],[Attrition]]="Yes","Inactive","Active")</f>
        <v>Active</v>
      </c>
      <c r="U331" t="str">
        <f t="array" ref="U331">_xlfn.IFS(HR_Data[[#This Row],[Salary]]&gt;=100000,"A",HR_Data[[#This Row],[Salary]]&gt;=70000,"B",HR_Data[[#This Row],[Salary]]&gt;=50000,"C",TRUE(),"D")</f>
        <v>A</v>
      </c>
      <c r="V331" t="str">
        <f t="array" ref="V331">_xlfn.IFS(HR_Data[[#This Row],[Experience]]&gt;=15,"Expert",HR_Data[[#This Row],[Experience]]&gt;=8,"Senior",HR_Data[[#This Row],[Experience]]&gt;=3,"Mid-Level",TRUE(),"Junior")</f>
        <v>Expert</v>
      </c>
    </row>
    <row r="332" spans="1:22" ht="14.25" customHeight="1" x14ac:dyDescent="0.3">
      <c r="A332" t="s">
        <v>850</v>
      </c>
      <c r="B332" t="s">
        <v>137</v>
      </c>
      <c r="C332" t="s">
        <v>55</v>
      </c>
      <c r="D332" t="s">
        <v>25</v>
      </c>
      <c r="E332">
        <v>31</v>
      </c>
      <c r="F332">
        <v>63575</v>
      </c>
      <c r="G332">
        <v>12</v>
      </c>
      <c r="H332" t="s">
        <v>851</v>
      </c>
      <c r="I332" t="s">
        <v>45</v>
      </c>
      <c r="J332" t="s">
        <v>36</v>
      </c>
      <c r="K332" t="s">
        <v>29</v>
      </c>
      <c r="L332" t="str">
        <f t="array" ref="L332">_xlfn.IFS(HR_Data[[#This Row],[Experience]]&lt;2,"0-2 Years",HR_Data[[#This Row],[Experience]]&lt;5,"2-5 Years",HR_Data[[#This Row],[Experience]]&lt;10,"5-10 Years",TRUE(),"10+ Years")</f>
        <v>10+ Years</v>
      </c>
      <c r="M332" t="str">
        <f t="array" ref="M332">_xlfn.IFS(HR_Data[[#This Row],[Salary]]&lt;40000,"Low",HR_Data[[#This Row],[Salary]]&lt;70000,"Medium",HR_Data[[#This Row],[Salary]]&lt;100000,"High",TRUE(),"Very High")</f>
        <v>Medium</v>
      </c>
      <c r="N332" t="str">
        <f t="array" ref="N332">_xlfn.IFS(HR_Data[[#This Row],[Age]]&lt;25,"18-24",HR_Data[[#This Row],[Age]]&lt;35,"25-34",HR_Data[[#This Row],[Age]]&lt;45,"35-44",TRUE(),"45+")</f>
        <v>25-34</v>
      </c>
      <c r="O332">
        <f>YEAR(HR_Data[[#This Row],[Joining Date]])</f>
        <v>2015</v>
      </c>
      <c r="P332" t="str">
        <f>TEXT(HR_Data[[#This Row],[Joining Date]],"mmmm")</f>
        <v>September</v>
      </c>
      <c r="Q332">
        <f t="array" ref="Q33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32">
        <f>HR_Data[[#This Row],[Salary]]*HR_Data[[#This Row],[Bonus %]]</f>
        <v>6357.5</v>
      </c>
      <c r="S332">
        <f>HR_Data[[#This Row],[Salary]]+HR_Data[[#This Row],[Bonus Amount]]</f>
        <v>69932.5</v>
      </c>
      <c r="T332" t="str">
        <f>IF(HR_Data[[#This Row],[Attrition]]="Yes","Inactive","Active")</f>
        <v>Active</v>
      </c>
      <c r="U332" t="str">
        <f t="array" ref="U332">_xlfn.IFS(HR_Data[[#This Row],[Salary]]&gt;=100000,"A",HR_Data[[#This Row],[Salary]]&gt;=70000,"B",HR_Data[[#This Row],[Salary]]&gt;=50000,"C",TRUE(),"D")</f>
        <v>C</v>
      </c>
      <c r="V332" t="str">
        <f t="array" ref="V332">_xlfn.IFS(HR_Data[[#This Row],[Experience]]&gt;=15,"Expert",HR_Data[[#This Row],[Experience]]&gt;=8,"Senior",HR_Data[[#This Row],[Experience]]&gt;=3,"Mid-Level",TRUE(),"Junior")</f>
        <v>Senior</v>
      </c>
    </row>
    <row r="333" spans="1:22" ht="14.25" customHeight="1" x14ac:dyDescent="0.3">
      <c r="A333" t="s">
        <v>852</v>
      </c>
      <c r="B333" t="s">
        <v>202</v>
      </c>
      <c r="C333" t="s">
        <v>93</v>
      </c>
      <c r="D333" t="s">
        <v>25</v>
      </c>
      <c r="E333">
        <v>54</v>
      </c>
      <c r="F333">
        <v>101059</v>
      </c>
      <c r="G333">
        <v>25</v>
      </c>
      <c r="H333" t="s">
        <v>853</v>
      </c>
      <c r="I333" t="s">
        <v>67</v>
      </c>
      <c r="J333" t="s">
        <v>28</v>
      </c>
      <c r="K333" t="s">
        <v>29</v>
      </c>
      <c r="L333" t="str">
        <f t="array" ref="L333">_xlfn.IFS(HR_Data[[#This Row],[Experience]]&lt;2,"0-2 Years",HR_Data[[#This Row],[Experience]]&lt;5,"2-5 Years",HR_Data[[#This Row],[Experience]]&lt;10,"5-10 Years",TRUE(),"10+ Years")</f>
        <v>10+ Years</v>
      </c>
      <c r="M333" t="str">
        <f t="array" ref="M333">_xlfn.IFS(HR_Data[[#This Row],[Salary]]&lt;40000,"Low",HR_Data[[#This Row],[Salary]]&lt;70000,"Medium",HR_Data[[#This Row],[Salary]]&lt;100000,"High",TRUE(),"Very High")</f>
        <v>Very High</v>
      </c>
      <c r="N333" t="str">
        <f t="array" ref="N333">_xlfn.IFS(HR_Data[[#This Row],[Age]]&lt;25,"18-24",HR_Data[[#This Row],[Age]]&lt;35,"25-34",HR_Data[[#This Row],[Age]]&lt;45,"35-44",TRUE(),"45+")</f>
        <v>45+</v>
      </c>
      <c r="O333">
        <f>YEAR(HR_Data[[#This Row],[Joining Date]])</f>
        <v>2015</v>
      </c>
      <c r="P333" t="str">
        <f>TEXT(HR_Data[[#This Row],[Joining Date]],"mmmm")</f>
        <v>September</v>
      </c>
      <c r="Q333">
        <f t="array" ref="Q33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33">
        <f>HR_Data[[#This Row],[Salary]]*HR_Data[[#This Row],[Bonus %]]</f>
        <v>15158.849999999999</v>
      </c>
      <c r="S333">
        <f>HR_Data[[#This Row],[Salary]]+HR_Data[[#This Row],[Bonus Amount]]</f>
        <v>116217.85</v>
      </c>
      <c r="T333" t="str">
        <f>IF(HR_Data[[#This Row],[Attrition]]="Yes","Inactive","Active")</f>
        <v>Active</v>
      </c>
      <c r="U333" t="str">
        <f t="array" ref="U333">_xlfn.IFS(HR_Data[[#This Row],[Salary]]&gt;=100000,"A",HR_Data[[#This Row],[Salary]]&gt;=70000,"B",HR_Data[[#This Row],[Salary]]&gt;=50000,"C",TRUE(),"D")</f>
        <v>A</v>
      </c>
      <c r="V333" t="str">
        <f t="array" ref="V333">_xlfn.IFS(HR_Data[[#This Row],[Experience]]&gt;=15,"Expert",HR_Data[[#This Row],[Experience]]&gt;=8,"Senior",HR_Data[[#This Row],[Experience]]&gt;=3,"Mid-Level",TRUE(),"Junior")</f>
        <v>Expert</v>
      </c>
    </row>
    <row r="334" spans="1:22" ht="14.25" customHeight="1" x14ac:dyDescent="0.3">
      <c r="A334" t="s">
        <v>854</v>
      </c>
      <c r="B334" t="s">
        <v>210</v>
      </c>
      <c r="C334" t="s">
        <v>60</v>
      </c>
      <c r="D334" t="s">
        <v>33</v>
      </c>
      <c r="E334">
        <v>33</v>
      </c>
      <c r="F334">
        <v>51961</v>
      </c>
      <c r="G334">
        <v>10</v>
      </c>
      <c r="H334" t="s">
        <v>855</v>
      </c>
      <c r="I334" t="s">
        <v>57</v>
      </c>
      <c r="J334" t="s">
        <v>63</v>
      </c>
      <c r="K334" t="s">
        <v>37</v>
      </c>
      <c r="L334" t="str">
        <f t="array" ref="L334">_xlfn.IFS(HR_Data[[#This Row],[Experience]]&lt;2,"0-2 Years",HR_Data[[#This Row],[Experience]]&lt;5,"2-5 Years",HR_Data[[#This Row],[Experience]]&lt;10,"5-10 Years",TRUE(),"10+ Years")</f>
        <v>10+ Years</v>
      </c>
      <c r="M334" t="str">
        <f t="array" ref="M334">_xlfn.IFS(HR_Data[[#This Row],[Salary]]&lt;40000,"Low",HR_Data[[#This Row],[Salary]]&lt;70000,"Medium",HR_Data[[#This Row],[Salary]]&lt;100000,"High",TRUE(),"Very High")</f>
        <v>Medium</v>
      </c>
      <c r="N334" t="str">
        <f t="array" ref="N334">_xlfn.IFS(HR_Data[[#This Row],[Age]]&lt;25,"18-24",HR_Data[[#This Row],[Age]]&lt;35,"25-34",HR_Data[[#This Row],[Age]]&lt;45,"35-44",TRUE(),"45+")</f>
        <v>25-34</v>
      </c>
      <c r="O334">
        <f>YEAR(HR_Data[[#This Row],[Joining Date]])</f>
        <v>2021</v>
      </c>
      <c r="P334" t="str">
        <f>TEXT(HR_Data[[#This Row],[Joining Date]],"mmmm")</f>
        <v>May</v>
      </c>
      <c r="Q334">
        <f t="array" ref="Q334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334">
        <f>HR_Data[[#This Row],[Salary]]*HR_Data[[#This Row],[Bonus %]]</f>
        <v>10392.200000000001</v>
      </c>
      <c r="S334">
        <f>HR_Data[[#This Row],[Salary]]+HR_Data[[#This Row],[Bonus Amount]]</f>
        <v>62353.2</v>
      </c>
      <c r="T334" t="str">
        <f>IF(HR_Data[[#This Row],[Attrition]]="Yes","Inactive","Active")</f>
        <v>Inactive</v>
      </c>
      <c r="U334" t="str">
        <f t="array" ref="U334">_xlfn.IFS(HR_Data[[#This Row],[Salary]]&gt;=100000,"A",HR_Data[[#This Row],[Salary]]&gt;=70000,"B",HR_Data[[#This Row],[Salary]]&gt;=50000,"C",TRUE(),"D")</f>
        <v>C</v>
      </c>
      <c r="V334" t="str">
        <f t="array" ref="V334">_xlfn.IFS(HR_Data[[#This Row],[Experience]]&gt;=15,"Expert",HR_Data[[#This Row],[Experience]]&gt;=8,"Senior",HR_Data[[#This Row],[Experience]]&gt;=3,"Mid-Level",TRUE(),"Junior")</f>
        <v>Senior</v>
      </c>
    </row>
    <row r="335" spans="1:22" ht="14.25" customHeight="1" x14ac:dyDescent="0.3">
      <c r="A335" t="s">
        <v>856</v>
      </c>
      <c r="B335" t="s">
        <v>686</v>
      </c>
      <c r="C335" t="s">
        <v>70</v>
      </c>
      <c r="D335" t="s">
        <v>33</v>
      </c>
      <c r="E335">
        <v>46</v>
      </c>
      <c r="F335">
        <v>84818</v>
      </c>
      <c r="G335">
        <v>17</v>
      </c>
      <c r="H335" t="s">
        <v>812</v>
      </c>
      <c r="I335" t="s">
        <v>72</v>
      </c>
      <c r="J335" t="s">
        <v>46</v>
      </c>
      <c r="K335" t="s">
        <v>29</v>
      </c>
      <c r="L335" t="str">
        <f t="array" ref="L335">_xlfn.IFS(HR_Data[[#This Row],[Experience]]&lt;2,"0-2 Years",HR_Data[[#This Row],[Experience]]&lt;5,"2-5 Years",HR_Data[[#This Row],[Experience]]&lt;10,"5-10 Years",TRUE(),"10+ Years")</f>
        <v>10+ Years</v>
      </c>
      <c r="M335" t="str">
        <f t="array" ref="M335">_xlfn.IFS(HR_Data[[#This Row],[Salary]]&lt;40000,"Low",HR_Data[[#This Row],[Salary]]&lt;70000,"Medium",HR_Data[[#This Row],[Salary]]&lt;100000,"High",TRUE(),"Very High")</f>
        <v>High</v>
      </c>
      <c r="N335" t="str">
        <f t="array" ref="N335">_xlfn.IFS(HR_Data[[#This Row],[Age]]&lt;25,"18-24",HR_Data[[#This Row],[Age]]&lt;35,"25-34",HR_Data[[#This Row],[Age]]&lt;45,"35-44",TRUE(),"45+")</f>
        <v>45+</v>
      </c>
      <c r="O335">
        <f>YEAR(HR_Data[[#This Row],[Joining Date]])</f>
        <v>2015</v>
      </c>
      <c r="P335" t="str">
        <f>TEXT(HR_Data[[#This Row],[Joining Date]],"mmmm")</f>
        <v>June</v>
      </c>
      <c r="Q335">
        <f t="array" ref="Q335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335">
        <f>HR_Data[[#This Row],[Salary]]*HR_Data[[#This Row],[Bonus %]]</f>
        <v>4240.9000000000005</v>
      </c>
      <c r="S335">
        <f>HR_Data[[#This Row],[Salary]]+HR_Data[[#This Row],[Bonus Amount]]</f>
        <v>89058.9</v>
      </c>
      <c r="T335" t="str">
        <f>IF(HR_Data[[#This Row],[Attrition]]="Yes","Inactive","Active")</f>
        <v>Active</v>
      </c>
      <c r="U335" t="str">
        <f t="array" ref="U335">_xlfn.IFS(HR_Data[[#This Row],[Salary]]&gt;=100000,"A",HR_Data[[#This Row],[Salary]]&gt;=70000,"B",HR_Data[[#This Row],[Salary]]&gt;=50000,"C",TRUE(),"D")</f>
        <v>B</v>
      </c>
      <c r="V335" t="str">
        <f t="array" ref="V335">_xlfn.IFS(HR_Data[[#This Row],[Experience]]&gt;=15,"Expert",HR_Data[[#This Row],[Experience]]&gt;=8,"Senior",HR_Data[[#This Row],[Experience]]&gt;=3,"Mid-Level",TRUE(),"Junior")</f>
        <v>Expert</v>
      </c>
    </row>
    <row r="336" spans="1:22" ht="14.25" customHeight="1" x14ac:dyDescent="0.3">
      <c r="A336" t="s">
        <v>857</v>
      </c>
      <c r="B336" t="s">
        <v>205</v>
      </c>
      <c r="C336" t="s">
        <v>32</v>
      </c>
      <c r="D336" t="s">
        <v>25</v>
      </c>
      <c r="E336">
        <v>22</v>
      </c>
      <c r="F336">
        <v>25270</v>
      </c>
      <c r="G336">
        <v>0</v>
      </c>
      <c r="H336" t="s">
        <v>858</v>
      </c>
      <c r="I336" t="s">
        <v>35</v>
      </c>
      <c r="J336" t="s">
        <v>36</v>
      </c>
      <c r="K336" t="s">
        <v>29</v>
      </c>
      <c r="L336" t="str">
        <f t="array" ref="L336">_xlfn.IFS(HR_Data[[#This Row],[Experience]]&lt;2,"0-2 Years",HR_Data[[#This Row],[Experience]]&lt;5,"2-5 Years",HR_Data[[#This Row],[Experience]]&lt;10,"5-10 Years",TRUE(),"10+ Years")</f>
        <v>0-2 Years</v>
      </c>
      <c r="M336" t="str">
        <f t="array" ref="M336">_xlfn.IFS(HR_Data[[#This Row],[Salary]]&lt;40000,"Low",HR_Data[[#This Row],[Salary]]&lt;70000,"Medium",HR_Data[[#This Row],[Salary]]&lt;100000,"High",TRUE(),"Very High")</f>
        <v>Low</v>
      </c>
      <c r="N336" t="str">
        <f t="array" ref="N336">_xlfn.IFS(HR_Data[[#This Row],[Age]]&lt;25,"18-24",HR_Data[[#This Row],[Age]]&lt;35,"25-34",HR_Data[[#This Row],[Age]]&lt;45,"35-44",TRUE(),"45+")</f>
        <v>18-24</v>
      </c>
      <c r="O336">
        <f>YEAR(HR_Data[[#This Row],[Joining Date]])</f>
        <v>2021</v>
      </c>
      <c r="P336" t="str">
        <f>TEXT(HR_Data[[#This Row],[Joining Date]],"mmmm")</f>
        <v>November</v>
      </c>
      <c r="Q336">
        <f t="array" ref="Q33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36">
        <f>HR_Data[[#This Row],[Salary]]*HR_Data[[#This Row],[Bonus %]]</f>
        <v>2527</v>
      </c>
      <c r="S336">
        <f>HR_Data[[#This Row],[Salary]]+HR_Data[[#This Row],[Bonus Amount]]</f>
        <v>27797</v>
      </c>
      <c r="T336" t="str">
        <f>IF(HR_Data[[#This Row],[Attrition]]="Yes","Inactive","Active")</f>
        <v>Active</v>
      </c>
      <c r="U336" t="str">
        <f t="array" ref="U336">_xlfn.IFS(HR_Data[[#This Row],[Salary]]&gt;=100000,"A",HR_Data[[#This Row],[Salary]]&gt;=70000,"B",HR_Data[[#This Row],[Salary]]&gt;=50000,"C",TRUE(),"D")</f>
        <v>D</v>
      </c>
      <c r="V336" t="str">
        <f t="array" ref="V336">_xlfn.IFS(HR_Data[[#This Row],[Experience]]&gt;=15,"Expert",HR_Data[[#This Row],[Experience]]&gt;=8,"Senior",HR_Data[[#This Row],[Experience]]&gt;=3,"Mid-Level",TRUE(),"Junior")</f>
        <v>Junior</v>
      </c>
    </row>
    <row r="337" spans="1:22" ht="14.25" customHeight="1" x14ac:dyDescent="0.3">
      <c r="A337" t="s">
        <v>859</v>
      </c>
      <c r="B337" t="s">
        <v>503</v>
      </c>
      <c r="C337" t="s">
        <v>40</v>
      </c>
      <c r="D337" t="s">
        <v>33</v>
      </c>
      <c r="E337">
        <v>38</v>
      </c>
      <c r="F337">
        <v>83492</v>
      </c>
      <c r="G337">
        <v>16</v>
      </c>
      <c r="H337" t="s">
        <v>860</v>
      </c>
      <c r="I337" t="s">
        <v>45</v>
      </c>
      <c r="J337" t="s">
        <v>36</v>
      </c>
      <c r="K337" t="s">
        <v>29</v>
      </c>
      <c r="L337" t="str">
        <f t="array" ref="L337">_xlfn.IFS(HR_Data[[#This Row],[Experience]]&lt;2,"0-2 Years",HR_Data[[#This Row],[Experience]]&lt;5,"2-5 Years",HR_Data[[#This Row],[Experience]]&lt;10,"5-10 Years",TRUE(),"10+ Years")</f>
        <v>10+ Years</v>
      </c>
      <c r="M337" t="str">
        <f t="array" ref="M337">_xlfn.IFS(HR_Data[[#This Row],[Salary]]&lt;40000,"Low",HR_Data[[#This Row],[Salary]]&lt;70000,"Medium",HR_Data[[#This Row],[Salary]]&lt;100000,"High",TRUE(),"Very High")</f>
        <v>High</v>
      </c>
      <c r="N337" t="str">
        <f t="array" ref="N337">_xlfn.IFS(HR_Data[[#This Row],[Age]]&lt;25,"18-24",HR_Data[[#This Row],[Age]]&lt;35,"25-34",HR_Data[[#This Row],[Age]]&lt;45,"35-44",TRUE(),"45+")</f>
        <v>35-44</v>
      </c>
      <c r="O337">
        <f>YEAR(HR_Data[[#This Row],[Joining Date]])</f>
        <v>2021</v>
      </c>
      <c r="P337" t="str">
        <f>TEXT(HR_Data[[#This Row],[Joining Date]],"mmmm")</f>
        <v>October</v>
      </c>
      <c r="Q337">
        <f t="array" ref="Q337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37">
        <f>HR_Data[[#This Row],[Salary]]*HR_Data[[#This Row],[Bonus %]]</f>
        <v>8349.2000000000007</v>
      </c>
      <c r="S337">
        <f>HR_Data[[#This Row],[Salary]]+HR_Data[[#This Row],[Bonus Amount]]</f>
        <v>91841.2</v>
      </c>
      <c r="T337" t="str">
        <f>IF(HR_Data[[#This Row],[Attrition]]="Yes","Inactive","Active")</f>
        <v>Active</v>
      </c>
      <c r="U337" t="str">
        <f t="array" ref="U337">_xlfn.IFS(HR_Data[[#This Row],[Salary]]&gt;=100000,"A",HR_Data[[#This Row],[Salary]]&gt;=70000,"B",HR_Data[[#This Row],[Salary]]&gt;=50000,"C",TRUE(),"D")</f>
        <v>B</v>
      </c>
      <c r="V337" t="str">
        <f t="array" ref="V337">_xlfn.IFS(HR_Data[[#This Row],[Experience]]&gt;=15,"Expert",HR_Data[[#This Row],[Experience]]&gt;=8,"Senior",HR_Data[[#This Row],[Experience]]&gt;=3,"Mid-Level",TRUE(),"Junior")</f>
        <v>Expert</v>
      </c>
    </row>
    <row r="338" spans="1:22" ht="14.25" customHeight="1" x14ac:dyDescent="0.3">
      <c r="A338" t="s">
        <v>861</v>
      </c>
      <c r="B338" t="s">
        <v>433</v>
      </c>
      <c r="C338" t="s">
        <v>134</v>
      </c>
      <c r="D338" t="s">
        <v>25</v>
      </c>
      <c r="E338">
        <v>50</v>
      </c>
      <c r="F338">
        <v>110056</v>
      </c>
      <c r="G338">
        <v>23</v>
      </c>
      <c r="H338" t="s">
        <v>862</v>
      </c>
      <c r="I338" t="s">
        <v>80</v>
      </c>
      <c r="J338" t="s">
        <v>28</v>
      </c>
      <c r="K338" t="s">
        <v>37</v>
      </c>
      <c r="L338" t="str">
        <f t="array" ref="L338">_xlfn.IFS(HR_Data[[#This Row],[Experience]]&lt;2,"0-2 Years",HR_Data[[#This Row],[Experience]]&lt;5,"2-5 Years",HR_Data[[#This Row],[Experience]]&lt;10,"5-10 Years",TRUE(),"10+ Years")</f>
        <v>10+ Years</v>
      </c>
      <c r="M338" t="str">
        <f t="array" ref="M338">_xlfn.IFS(HR_Data[[#This Row],[Salary]]&lt;40000,"Low",HR_Data[[#This Row],[Salary]]&lt;70000,"Medium",HR_Data[[#This Row],[Salary]]&lt;100000,"High",TRUE(),"Very High")</f>
        <v>Very High</v>
      </c>
      <c r="N338" t="str">
        <f t="array" ref="N338">_xlfn.IFS(HR_Data[[#This Row],[Age]]&lt;25,"18-24",HR_Data[[#This Row],[Age]]&lt;35,"25-34",HR_Data[[#This Row],[Age]]&lt;45,"35-44",TRUE(),"45+")</f>
        <v>45+</v>
      </c>
      <c r="O338">
        <f>YEAR(HR_Data[[#This Row],[Joining Date]])</f>
        <v>2021</v>
      </c>
      <c r="P338" t="str">
        <f>TEXT(HR_Data[[#This Row],[Joining Date]],"mmmm")</f>
        <v>May</v>
      </c>
      <c r="Q338">
        <f t="array" ref="Q338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38">
        <f>HR_Data[[#This Row],[Salary]]*HR_Data[[#This Row],[Bonus %]]</f>
        <v>16508.399999999998</v>
      </c>
      <c r="S338">
        <f>HR_Data[[#This Row],[Salary]]+HR_Data[[#This Row],[Bonus Amount]]</f>
        <v>126564.4</v>
      </c>
      <c r="T338" t="str">
        <f>IF(HR_Data[[#This Row],[Attrition]]="Yes","Inactive","Active")</f>
        <v>Inactive</v>
      </c>
      <c r="U338" t="str">
        <f t="array" ref="U338">_xlfn.IFS(HR_Data[[#This Row],[Salary]]&gt;=100000,"A",HR_Data[[#This Row],[Salary]]&gt;=70000,"B",HR_Data[[#This Row],[Salary]]&gt;=50000,"C",TRUE(),"D")</f>
        <v>A</v>
      </c>
      <c r="V338" t="str">
        <f t="array" ref="V338">_xlfn.IFS(HR_Data[[#This Row],[Experience]]&gt;=15,"Expert",HR_Data[[#This Row],[Experience]]&gt;=8,"Senior",HR_Data[[#This Row],[Experience]]&gt;=3,"Mid-Level",TRUE(),"Junior")</f>
        <v>Expert</v>
      </c>
    </row>
    <row r="339" spans="1:22" ht="14.25" customHeight="1" x14ac:dyDescent="0.3">
      <c r="A339" t="s">
        <v>863</v>
      </c>
      <c r="B339" t="s">
        <v>864</v>
      </c>
      <c r="C339" t="s">
        <v>32</v>
      </c>
      <c r="D339" t="s">
        <v>25</v>
      </c>
      <c r="E339">
        <v>45</v>
      </c>
      <c r="F339">
        <v>77990</v>
      </c>
      <c r="G339">
        <v>16</v>
      </c>
      <c r="H339" t="s">
        <v>865</v>
      </c>
      <c r="I339" t="s">
        <v>132</v>
      </c>
      <c r="J339" t="s">
        <v>63</v>
      </c>
      <c r="K339" t="s">
        <v>29</v>
      </c>
      <c r="L339" t="str">
        <f t="array" ref="L339">_xlfn.IFS(HR_Data[[#This Row],[Experience]]&lt;2,"0-2 Years",HR_Data[[#This Row],[Experience]]&lt;5,"2-5 Years",HR_Data[[#This Row],[Experience]]&lt;10,"5-10 Years",TRUE(),"10+ Years")</f>
        <v>10+ Years</v>
      </c>
      <c r="M339" t="str">
        <f t="array" ref="M339">_xlfn.IFS(HR_Data[[#This Row],[Salary]]&lt;40000,"Low",HR_Data[[#This Row],[Salary]]&lt;70000,"Medium",HR_Data[[#This Row],[Salary]]&lt;100000,"High",TRUE(),"Very High")</f>
        <v>High</v>
      </c>
      <c r="N339" t="str">
        <f t="array" ref="N339">_xlfn.IFS(HR_Data[[#This Row],[Age]]&lt;25,"18-24",HR_Data[[#This Row],[Age]]&lt;35,"25-34",HR_Data[[#This Row],[Age]]&lt;45,"35-44",TRUE(),"45+")</f>
        <v>45+</v>
      </c>
      <c r="O339">
        <f>YEAR(HR_Data[[#This Row],[Joining Date]])</f>
        <v>2019</v>
      </c>
      <c r="P339" t="str">
        <f>TEXT(HR_Data[[#This Row],[Joining Date]],"mmmm")</f>
        <v>March</v>
      </c>
      <c r="Q339">
        <f t="array" ref="Q339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339">
        <f>HR_Data[[#This Row],[Salary]]*HR_Data[[#This Row],[Bonus %]]</f>
        <v>15598</v>
      </c>
      <c r="S339">
        <f>HR_Data[[#This Row],[Salary]]+HR_Data[[#This Row],[Bonus Amount]]</f>
        <v>93588</v>
      </c>
      <c r="T339" t="str">
        <f>IF(HR_Data[[#This Row],[Attrition]]="Yes","Inactive","Active")</f>
        <v>Active</v>
      </c>
      <c r="U339" t="str">
        <f t="array" ref="U339">_xlfn.IFS(HR_Data[[#This Row],[Salary]]&gt;=100000,"A",HR_Data[[#This Row],[Salary]]&gt;=70000,"B",HR_Data[[#This Row],[Salary]]&gt;=50000,"C",TRUE(),"D")</f>
        <v>B</v>
      </c>
      <c r="V339" t="str">
        <f t="array" ref="V339">_xlfn.IFS(HR_Data[[#This Row],[Experience]]&gt;=15,"Expert",HR_Data[[#This Row],[Experience]]&gt;=8,"Senior",HR_Data[[#This Row],[Experience]]&gt;=3,"Mid-Level",TRUE(),"Junior")</f>
        <v>Expert</v>
      </c>
    </row>
    <row r="340" spans="1:22" ht="14.25" customHeight="1" x14ac:dyDescent="0.3">
      <c r="A340" t="s">
        <v>866</v>
      </c>
      <c r="B340" t="s">
        <v>152</v>
      </c>
      <c r="C340" t="s">
        <v>24</v>
      </c>
      <c r="D340" t="s">
        <v>33</v>
      </c>
      <c r="E340">
        <v>30</v>
      </c>
      <c r="F340">
        <v>36497</v>
      </c>
      <c r="G340">
        <v>1</v>
      </c>
      <c r="H340" t="s">
        <v>463</v>
      </c>
      <c r="I340" t="s">
        <v>67</v>
      </c>
      <c r="J340" t="s">
        <v>28</v>
      </c>
      <c r="K340" t="s">
        <v>29</v>
      </c>
      <c r="L340" t="str">
        <f t="array" ref="L340">_xlfn.IFS(HR_Data[[#This Row],[Experience]]&lt;2,"0-2 Years",HR_Data[[#This Row],[Experience]]&lt;5,"2-5 Years",HR_Data[[#This Row],[Experience]]&lt;10,"5-10 Years",TRUE(),"10+ Years")</f>
        <v>0-2 Years</v>
      </c>
      <c r="M340" t="str">
        <f t="array" ref="M340">_xlfn.IFS(HR_Data[[#This Row],[Salary]]&lt;40000,"Low",HR_Data[[#This Row],[Salary]]&lt;70000,"Medium",HR_Data[[#This Row],[Salary]]&lt;100000,"High",TRUE(),"Very High")</f>
        <v>Low</v>
      </c>
      <c r="N340" t="str">
        <f t="array" ref="N340">_xlfn.IFS(HR_Data[[#This Row],[Age]]&lt;25,"18-24",HR_Data[[#This Row],[Age]]&lt;35,"25-34",HR_Data[[#This Row],[Age]]&lt;45,"35-44",TRUE(),"45+")</f>
        <v>25-34</v>
      </c>
      <c r="O340">
        <f>YEAR(HR_Data[[#This Row],[Joining Date]])</f>
        <v>2021</v>
      </c>
      <c r="P340" t="str">
        <f>TEXT(HR_Data[[#This Row],[Joining Date]],"mmmm")</f>
        <v>August</v>
      </c>
      <c r="Q340">
        <f t="array" ref="Q340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40">
        <f>HR_Data[[#This Row],[Salary]]*HR_Data[[#This Row],[Bonus %]]</f>
        <v>5474.55</v>
      </c>
      <c r="S340">
        <f>HR_Data[[#This Row],[Salary]]+HR_Data[[#This Row],[Bonus Amount]]</f>
        <v>41971.55</v>
      </c>
      <c r="T340" t="str">
        <f>IF(HR_Data[[#This Row],[Attrition]]="Yes","Inactive","Active")</f>
        <v>Active</v>
      </c>
      <c r="U340" t="str">
        <f t="array" ref="U340">_xlfn.IFS(HR_Data[[#This Row],[Salary]]&gt;=100000,"A",HR_Data[[#This Row],[Salary]]&gt;=70000,"B",HR_Data[[#This Row],[Salary]]&gt;=50000,"C",TRUE(),"D")</f>
        <v>D</v>
      </c>
      <c r="V340" t="str">
        <f t="array" ref="V340">_xlfn.IFS(HR_Data[[#This Row],[Experience]]&gt;=15,"Expert",HR_Data[[#This Row],[Experience]]&gt;=8,"Senior",HR_Data[[#This Row],[Experience]]&gt;=3,"Mid-Level",TRUE(),"Junior")</f>
        <v>Junior</v>
      </c>
    </row>
    <row r="341" spans="1:22" ht="14.25" customHeight="1" x14ac:dyDescent="0.3">
      <c r="A341" t="s">
        <v>867</v>
      </c>
      <c r="B341" t="s">
        <v>868</v>
      </c>
      <c r="C341" t="s">
        <v>70</v>
      </c>
      <c r="D341" t="s">
        <v>33</v>
      </c>
      <c r="E341">
        <v>43</v>
      </c>
      <c r="F341">
        <v>79318</v>
      </c>
      <c r="G341">
        <v>14</v>
      </c>
      <c r="H341" t="s">
        <v>869</v>
      </c>
      <c r="I341" t="s">
        <v>80</v>
      </c>
      <c r="J341" t="s">
        <v>46</v>
      </c>
      <c r="K341" t="s">
        <v>29</v>
      </c>
      <c r="L341" t="str">
        <f t="array" ref="L341">_xlfn.IFS(HR_Data[[#This Row],[Experience]]&lt;2,"0-2 Years",HR_Data[[#This Row],[Experience]]&lt;5,"2-5 Years",HR_Data[[#This Row],[Experience]]&lt;10,"5-10 Years",TRUE(),"10+ Years")</f>
        <v>10+ Years</v>
      </c>
      <c r="M341" t="str">
        <f t="array" ref="M341">_xlfn.IFS(HR_Data[[#This Row],[Salary]]&lt;40000,"Low",HR_Data[[#This Row],[Salary]]&lt;70000,"Medium",HR_Data[[#This Row],[Salary]]&lt;100000,"High",TRUE(),"Very High")</f>
        <v>High</v>
      </c>
      <c r="N341" t="str">
        <f t="array" ref="N341">_xlfn.IFS(HR_Data[[#This Row],[Age]]&lt;25,"18-24",HR_Data[[#This Row],[Age]]&lt;35,"25-34",HR_Data[[#This Row],[Age]]&lt;45,"35-44",TRUE(),"45+")</f>
        <v>35-44</v>
      </c>
      <c r="O341">
        <f>YEAR(HR_Data[[#This Row],[Joining Date]])</f>
        <v>2025</v>
      </c>
      <c r="P341" t="str">
        <f>TEXT(HR_Data[[#This Row],[Joining Date]],"mmmm")</f>
        <v>September</v>
      </c>
      <c r="Q341">
        <f t="array" ref="Q341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341">
        <f>HR_Data[[#This Row],[Salary]]*HR_Data[[#This Row],[Bonus %]]</f>
        <v>3965.9</v>
      </c>
      <c r="S341">
        <f>HR_Data[[#This Row],[Salary]]+HR_Data[[#This Row],[Bonus Amount]]</f>
        <v>83283.899999999994</v>
      </c>
      <c r="T341" t="str">
        <f>IF(HR_Data[[#This Row],[Attrition]]="Yes","Inactive","Active")</f>
        <v>Active</v>
      </c>
      <c r="U341" t="str">
        <f t="array" ref="U341">_xlfn.IFS(HR_Data[[#This Row],[Salary]]&gt;=100000,"A",HR_Data[[#This Row],[Salary]]&gt;=70000,"B",HR_Data[[#This Row],[Salary]]&gt;=50000,"C",TRUE(),"D")</f>
        <v>B</v>
      </c>
      <c r="V341" t="str">
        <f t="array" ref="V341">_xlfn.IFS(HR_Data[[#This Row],[Experience]]&gt;=15,"Expert",HR_Data[[#This Row],[Experience]]&gt;=8,"Senior",HR_Data[[#This Row],[Experience]]&gt;=3,"Mid-Level",TRUE(),"Junior")</f>
        <v>Senior</v>
      </c>
    </row>
    <row r="342" spans="1:22" ht="14.25" customHeight="1" x14ac:dyDescent="0.3">
      <c r="A342" t="s">
        <v>870</v>
      </c>
      <c r="B342" t="s">
        <v>566</v>
      </c>
      <c r="C342" t="s">
        <v>40</v>
      </c>
      <c r="D342" t="s">
        <v>33</v>
      </c>
      <c r="E342">
        <v>32</v>
      </c>
      <c r="F342">
        <v>40392</v>
      </c>
      <c r="G342">
        <v>6</v>
      </c>
      <c r="H342" t="s">
        <v>871</v>
      </c>
      <c r="I342" t="s">
        <v>67</v>
      </c>
      <c r="J342" t="s">
        <v>36</v>
      </c>
      <c r="K342" t="s">
        <v>29</v>
      </c>
      <c r="L342" t="str">
        <f t="array" ref="L342">_xlfn.IFS(HR_Data[[#This Row],[Experience]]&lt;2,"0-2 Years",HR_Data[[#This Row],[Experience]]&lt;5,"2-5 Years",HR_Data[[#This Row],[Experience]]&lt;10,"5-10 Years",TRUE(),"10+ Years")</f>
        <v>5-10 Years</v>
      </c>
      <c r="M342" t="str">
        <f t="array" ref="M342">_xlfn.IFS(HR_Data[[#This Row],[Salary]]&lt;40000,"Low",HR_Data[[#This Row],[Salary]]&lt;70000,"Medium",HR_Data[[#This Row],[Salary]]&lt;100000,"High",TRUE(),"Very High")</f>
        <v>Medium</v>
      </c>
      <c r="N342" t="str">
        <f t="array" ref="N342">_xlfn.IFS(HR_Data[[#This Row],[Age]]&lt;25,"18-24",HR_Data[[#This Row],[Age]]&lt;35,"25-34",HR_Data[[#This Row],[Age]]&lt;45,"35-44",TRUE(),"45+")</f>
        <v>25-34</v>
      </c>
      <c r="O342">
        <f>YEAR(HR_Data[[#This Row],[Joining Date]])</f>
        <v>2020</v>
      </c>
      <c r="P342" t="str">
        <f>TEXT(HR_Data[[#This Row],[Joining Date]],"mmmm")</f>
        <v>October</v>
      </c>
      <c r="Q342">
        <f t="array" ref="Q34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42">
        <f>HR_Data[[#This Row],[Salary]]*HR_Data[[#This Row],[Bonus %]]</f>
        <v>4039.2000000000003</v>
      </c>
      <c r="S342">
        <f>HR_Data[[#This Row],[Salary]]+HR_Data[[#This Row],[Bonus Amount]]</f>
        <v>44431.199999999997</v>
      </c>
      <c r="T342" t="str">
        <f>IF(HR_Data[[#This Row],[Attrition]]="Yes","Inactive","Active")</f>
        <v>Active</v>
      </c>
      <c r="U342" t="str">
        <f t="array" ref="U342">_xlfn.IFS(HR_Data[[#This Row],[Salary]]&gt;=100000,"A",HR_Data[[#This Row],[Salary]]&gt;=70000,"B",HR_Data[[#This Row],[Salary]]&gt;=50000,"C",TRUE(),"D")</f>
        <v>D</v>
      </c>
      <c r="V342" t="str">
        <f t="array" ref="V342">_xlfn.IFS(HR_Data[[#This Row],[Experience]]&gt;=15,"Expert",HR_Data[[#This Row],[Experience]]&gt;=8,"Senior",HR_Data[[#This Row],[Experience]]&gt;=3,"Mid-Level",TRUE(),"Junior")</f>
        <v>Mid-Level</v>
      </c>
    </row>
    <row r="343" spans="1:22" ht="14.25" customHeight="1" x14ac:dyDescent="0.3">
      <c r="A343" t="s">
        <v>872</v>
      </c>
      <c r="B343" t="s">
        <v>65</v>
      </c>
      <c r="C343" t="s">
        <v>134</v>
      </c>
      <c r="D343" t="s">
        <v>25</v>
      </c>
      <c r="E343">
        <v>44</v>
      </c>
      <c r="F343">
        <v>71862</v>
      </c>
      <c r="G343">
        <v>14</v>
      </c>
      <c r="H343" t="s">
        <v>170</v>
      </c>
      <c r="I343" t="s">
        <v>42</v>
      </c>
      <c r="J343" t="s">
        <v>46</v>
      </c>
      <c r="K343" t="s">
        <v>29</v>
      </c>
      <c r="L343" t="str">
        <f t="array" ref="L343">_xlfn.IFS(HR_Data[[#This Row],[Experience]]&lt;2,"0-2 Years",HR_Data[[#This Row],[Experience]]&lt;5,"2-5 Years",HR_Data[[#This Row],[Experience]]&lt;10,"5-10 Years",TRUE(),"10+ Years")</f>
        <v>10+ Years</v>
      </c>
      <c r="M343" t="str">
        <f t="array" ref="M343">_xlfn.IFS(HR_Data[[#This Row],[Salary]]&lt;40000,"Low",HR_Data[[#This Row],[Salary]]&lt;70000,"Medium",HR_Data[[#This Row],[Salary]]&lt;100000,"High",TRUE(),"Very High")</f>
        <v>High</v>
      </c>
      <c r="N343" t="str">
        <f t="array" ref="N343">_xlfn.IFS(HR_Data[[#This Row],[Age]]&lt;25,"18-24",HR_Data[[#This Row],[Age]]&lt;35,"25-34",HR_Data[[#This Row],[Age]]&lt;45,"35-44",TRUE(),"45+")</f>
        <v>35-44</v>
      </c>
      <c r="O343">
        <f>YEAR(HR_Data[[#This Row],[Joining Date]])</f>
        <v>2024</v>
      </c>
      <c r="P343" t="str">
        <f>TEXT(HR_Data[[#This Row],[Joining Date]],"mmmm")</f>
        <v>June</v>
      </c>
      <c r="Q343">
        <f t="array" ref="Q343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343">
        <f>HR_Data[[#This Row],[Salary]]*HR_Data[[#This Row],[Bonus %]]</f>
        <v>3593.1000000000004</v>
      </c>
      <c r="S343">
        <f>HR_Data[[#This Row],[Salary]]+HR_Data[[#This Row],[Bonus Amount]]</f>
        <v>75455.100000000006</v>
      </c>
      <c r="T343" t="str">
        <f>IF(HR_Data[[#This Row],[Attrition]]="Yes","Inactive","Active")</f>
        <v>Active</v>
      </c>
      <c r="U343" t="str">
        <f t="array" ref="U343">_xlfn.IFS(HR_Data[[#This Row],[Salary]]&gt;=100000,"A",HR_Data[[#This Row],[Salary]]&gt;=70000,"B",HR_Data[[#This Row],[Salary]]&gt;=50000,"C",TRUE(),"D")</f>
        <v>B</v>
      </c>
      <c r="V343" t="str">
        <f t="array" ref="V343">_xlfn.IFS(HR_Data[[#This Row],[Experience]]&gt;=15,"Expert",HR_Data[[#This Row],[Experience]]&gt;=8,"Senior",HR_Data[[#This Row],[Experience]]&gt;=3,"Mid-Level",TRUE(),"Junior")</f>
        <v>Senior</v>
      </c>
    </row>
    <row r="344" spans="1:22" ht="14.25" customHeight="1" x14ac:dyDescent="0.3">
      <c r="A344" t="s">
        <v>873</v>
      </c>
      <c r="B344" t="s">
        <v>874</v>
      </c>
      <c r="C344" t="s">
        <v>75</v>
      </c>
      <c r="D344" t="s">
        <v>25</v>
      </c>
      <c r="E344">
        <v>49</v>
      </c>
      <c r="F344">
        <v>132122</v>
      </c>
      <c r="G344">
        <v>30</v>
      </c>
      <c r="H344" t="s">
        <v>875</v>
      </c>
      <c r="I344" t="s">
        <v>62</v>
      </c>
      <c r="J344" t="s">
        <v>36</v>
      </c>
      <c r="K344" t="s">
        <v>29</v>
      </c>
      <c r="L344" t="str">
        <f t="array" ref="L344">_xlfn.IFS(HR_Data[[#This Row],[Experience]]&lt;2,"0-2 Years",HR_Data[[#This Row],[Experience]]&lt;5,"2-5 Years",HR_Data[[#This Row],[Experience]]&lt;10,"5-10 Years",TRUE(),"10+ Years")</f>
        <v>10+ Years</v>
      </c>
      <c r="M344" t="str">
        <f t="array" ref="M344">_xlfn.IFS(HR_Data[[#This Row],[Salary]]&lt;40000,"Low",HR_Data[[#This Row],[Salary]]&lt;70000,"Medium",HR_Data[[#This Row],[Salary]]&lt;100000,"High",TRUE(),"Very High")</f>
        <v>Very High</v>
      </c>
      <c r="N344" t="str">
        <f t="array" ref="N344">_xlfn.IFS(HR_Data[[#This Row],[Age]]&lt;25,"18-24",HR_Data[[#This Row],[Age]]&lt;35,"25-34",HR_Data[[#This Row],[Age]]&lt;45,"35-44",TRUE(),"45+")</f>
        <v>45+</v>
      </c>
      <c r="O344">
        <f>YEAR(HR_Data[[#This Row],[Joining Date]])</f>
        <v>2016</v>
      </c>
      <c r="P344" t="str">
        <f>TEXT(HR_Data[[#This Row],[Joining Date]],"mmmm")</f>
        <v>August</v>
      </c>
      <c r="Q344">
        <f t="array" ref="Q344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44">
        <f>HR_Data[[#This Row],[Salary]]*HR_Data[[#This Row],[Bonus %]]</f>
        <v>13212.2</v>
      </c>
      <c r="S344">
        <f>HR_Data[[#This Row],[Salary]]+HR_Data[[#This Row],[Bonus Amount]]</f>
        <v>145334.20000000001</v>
      </c>
      <c r="T344" t="str">
        <f>IF(HR_Data[[#This Row],[Attrition]]="Yes","Inactive","Active")</f>
        <v>Active</v>
      </c>
      <c r="U344" t="str">
        <f t="array" ref="U344">_xlfn.IFS(HR_Data[[#This Row],[Salary]]&gt;=100000,"A",HR_Data[[#This Row],[Salary]]&gt;=70000,"B",HR_Data[[#This Row],[Salary]]&gt;=50000,"C",TRUE(),"D")</f>
        <v>A</v>
      </c>
      <c r="V344" t="str">
        <f t="array" ref="V344">_xlfn.IFS(HR_Data[[#This Row],[Experience]]&gt;=15,"Expert",HR_Data[[#This Row],[Experience]]&gt;=8,"Senior",HR_Data[[#This Row],[Experience]]&gt;=3,"Mid-Level",TRUE(),"Junior")</f>
        <v>Expert</v>
      </c>
    </row>
    <row r="345" spans="1:22" ht="14.25" customHeight="1" x14ac:dyDescent="0.3">
      <c r="A345" t="s">
        <v>876</v>
      </c>
      <c r="B345" t="s">
        <v>202</v>
      </c>
      <c r="C345" t="s">
        <v>55</v>
      </c>
      <c r="D345" t="s">
        <v>33</v>
      </c>
      <c r="E345">
        <v>24</v>
      </c>
      <c r="F345">
        <v>31101</v>
      </c>
      <c r="G345">
        <v>3</v>
      </c>
      <c r="H345" t="s">
        <v>877</v>
      </c>
      <c r="I345" t="s">
        <v>42</v>
      </c>
      <c r="J345" t="s">
        <v>28</v>
      </c>
      <c r="K345" t="s">
        <v>29</v>
      </c>
      <c r="L345" t="str">
        <f t="array" ref="L345">_xlfn.IFS(HR_Data[[#This Row],[Experience]]&lt;2,"0-2 Years",HR_Data[[#This Row],[Experience]]&lt;5,"2-5 Years",HR_Data[[#This Row],[Experience]]&lt;10,"5-10 Years",TRUE(),"10+ Years")</f>
        <v>2-5 Years</v>
      </c>
      <c r="M345" t="str">
        <f t="array" ref="M345">_xlfn.IFS(HR_Data[[#This Row],[Salary]]&lt;40000,"Low",HR_Data[[#This Row],[Salary]]&lt;70000,"Medium",HR_Data[[#This Row],[Salary]]&lt;100000,"High",TRUE(),"Very High")</f>
        <v>Low</v>
      </c>
      <c r="N345" t="str">
        <f t="array" ref="N345">_xlfn.IFS(HR_Data[[#This Row],[Age]]&lt;25,"18-24",HR_Data[[#This Row],[Age]]&lt;35,"25-34",HR_Data[[#This Row],[Age]]&lt;45,"35-44",TRUE(),"45+")</f>
        <v>18-24</v>
      </c>
      <c r="O345">
        <f>YEAR(HR_Data[[#This Row],[Joining Date]])</f>
        <v>2019</v>
      </c>
      <c r="P345" t="str">
        <f>TEXT(HR_Data[[#This Row],[Joining Date]],"mmmm")</f>
        <v>June</v>
      </c>
      <c r="Q345">
        <f t="array" ref="Q345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45">
        <f>HR_Data[[#This Row],[Salary]]*HR_Data[[#This Row],[Bonus %]]</f>
        <v>4665.1499999999996</v>
      </c>
      <c r="S345">
        <f>HR_Data[[#This Row],[Salary]]+HR_Data[[#This Row],[Bonus Amount]]</f>
        <v>35766.15</v>
      </c>
      <c r="T345" t="str">
        <f>IF(HR_Data[[#This Row],[Attrition]]="Yes","Inactive","Active")</f>
        <v>Active</v>
      </c>
      <c r="U345" t="str">
        <f t="array" ref="U345">_xlfn.IFS(HR_Data[[#This Row],[Salary]]&gt;=100000,"A",HR_Data[[#This Row],[Salary]]&gt;=70000,"B",HR_Data[[#This Row],[Salary]]&gt;=50000,"C",TRUE(),"D")</f>
        <v>D</v>
      </c>
      <c r="V345" t="str">
        <f t="array" ref="V345">_xlfn.IFS(HR_Data[[#This Row],[Experience]]&gt;=15,"Expert",HR_Data[[#This Row],[Experience]]&gt;=8,"Senior",HR_Data[[#This Row],[Experience]]&gt;=3,"Mid-Level",TRUE(),"Junior")</f>
        <v>Mid-Level</v>
      </c>
    </row>
    <row r="346" spans="1:22" ht="14.25" customHeight="1" x14ac:dyDescent="0.3">
      <c r="A346" t="s">
        <v>878</v>
      </c>
      <c r="B346" t="s">
        <v>879</v>
      </c>
      <c r="C346" t="s">
        <v>70</v>
      </c>
      <c r="D346" t="s">
        <v>33</v>
      </c>
      <c r="E346">
        <v>55</v>
      </c>
      <c r="F346">
        <v>121994</v>
      </c>
      <c r="G346">
        <v>31</v>
      </c>
      <c r="H346" t="s">
        <v>880</v>
      </c>
      <c r="I346" t="s">
        <v>35</v>
      </c>
      <c r="J346" t="s">
        <v>36</v>
      </c>
      <c r="K346" t="s">
        <v>37</v>
      </c>
      <c r="L346" t="str">
        <f t="array" ref="L346">_xlfn.IFS(HR_Data[[#This Row],[Experience]]&lt;2,"0-2 Years",HR_Data[[#This Row],[Experience]]&lt;5,"2-5 Years",HR_Data[[#This Row],[Experience]]&lt;10,"5-10 Years",TRUE(),"10+ Years")</f>
        <v>10+ Years</v>
      </c>
      <c r="M346" t="str">
        <f t="array" ref="M346">_xlfn.IFS(HR_Data[[#This Row],[Salary]]&lt;40000,"Low",HR_Data[[#This Row],[Salary]]&lt;70000,"Medium",HR_Data[[#This Row],[Salary]]&lt;100000,"High",TRUE(),"Very High")</f>
        <v>Very High</v>
      </c>
      <c r="N346" t="str">
        <f t="array" ref="N346">_xlfn.IFS(HR_Data[[#This Row],[Age]]&lt;25,"18-24",HR_Data[[#This Row],[Age]]&lt;35,"25-34",HR_Data[[#This Row],[Age]]&lt;45,"35-44",TRUE(),"45+")</f>
        <v>45+</v>
      </c>
      <c r="O346">
        <f>YEAR(HR_Data[[#This Row],[Joining Date]])</f>
        <v>2022</v>
      </c>
      <c r="P346" t="str">
        <f>TEXT(HR_Data[[#This Row],[Joining Date]],"mmmm")</f>
        <v>January</v>
      </c>
      <c r="Q346">
        <f t="array" ref="Q34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46">
        <f>HR_Data[[#This Row],[Salary]]*HR_Data[[#This Row],[Bonus %]]</f>
        <v>12199.400000000001</v>
      </c>
      <c r="S346">
        <f>HR_Data[[#This Row],[Salary]]+HR_Data[[#This Row],[Bonus Amount]]</f>
        <v>134193.4</v>
      </c>
      <c r="T346" t="str">
        <f>IF(HR_Data[[#This Row],[Attrition]]="Yes","Inactive","Active")</f>
        <v>Inactive</v>
      </c>
      <c r="U346" t="str">
        <f t="array" ref="U346">_xlfn.IFS(HR_Data[[#This Row],[Salary]]&gt;=100000,"A",HR_Data[[#This Row],[Salary]]&gt;=70000,"B",HR_Data[[#This Row],[Salary]]&gt;=50000,"C",TRUE(),"D")</f>
        <v>A</v>
      </c>
      <c r="V346" t="str">
        <f t="array" ref="V346">_xlfn.IFS(HR_Data[[#This Row],[Experience]]&gt;=15,"Expert",HR_Data[[#This Row],[Experience]]&gt;=8,"Senior",HR_Data[[#This Row],[Experience]]&gt;=3,"Mid-Level",TRUE(),"Junior")</f>
        <v>Expert</v>
      </c>
    </row>
    <row r="347" spans="1:22" ht="14.25" customHeight="1" x14ac:dyDescent="0.3">
      <c r="A347" t="s">
        <v>881</v>
      </c>
      <c r="B347" t="s">
        <v>152</v>
      </c>
      <c r="C347" t="s">
        <v>112</v>
      </c>
      <c r="D347" t="s">
        <v>33</v>
      </c>
      <c r="E347">
        <v>26</v>
      </c>
      <c r="F347">
        <v>47211</v>
      </c>
      <c r="G347">
        <v>5</v>
      </c>
      <c r="H347" t="s">
        <v>882</v>
      </c>
      <c r="I347" t="s">
        <v>67</v>
      </c>
      <c r="J347" t="s">
        <v>36</v>
      </c>
      <c r="K347" t="s">
        <v>29</v>
      </c>
      <c r="L347" t="str">
        <f t="array" ref="L347">_xlfn.IFS(HR_Data[[#This Row],[Experience]]&lt;2,"0-2 Years",HR_Data[[#This Row],[Experience]]&lt;5,"2-5 Years",HR_Data[[#This Row],[Experience]]&lt;10,"5-10 Years",TRUE(),"10+ Years")</f>
        <v>5-10 Years</v>
      </c>
      <c r="M347" t="str">
        <f t="array" ref="M347">_xlfn.IFS(HR_Data[[#This Row],[Salary]]&lt;40000,"Low",HR_Data[[#This Row],[Salary]]&lt;70000,"Medium",HR_Data[[#This Row],[Salary]]&lt;100000,"High",TRUE(),"Very High")</f>
        <v>Medium</v>
      </c>
      <c r="N347" t="str">
        <f t="array" ref="N347">_xlfn.IFS(HR_Data[[#This Row],[Age]]&lt;25,"18-24",HR_Data[[#This Row],[Age]]&lt;35,"25-34",HR_Data[[#This Row],[Age]]&lt;45,"35-44",TRUE(),"45+")</f>
        <v>25-34</v>
      </c>
      <c r="O347">
        <f>YEAR(HR_Data[[#This Row],[Joining Date]])</f>
        <v>2024</v>
      </c>
      <c r="P347" t="str">
        <f>TEXT(HR_Data[[#This Row],[Joining Date]],"mmmm")</f>
        <v>August</v>
      </c>
      <c r="Q347">
        <f t="array" ref="Q347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47">
        <f>HR_Data[[#This Row],[Salary]]*HR_Data[[#This Row],[Bonus %]]</f>
        <v>4721.1000000000004</v>
      </c>
      <c r="S347">
        <f>HR_Data[[#This Row],[Salary]]+HR_Data[[#This Row],[Bonus Amount]]</f>
        <v>51932.1</v>
      </c>
      <c r="T347" t="str">
        <f>IF(HR_Data[[#This Row],[Attrition]]="Yes","Inactive","Active")</f>
        <v>Active</v>
      </c>
      <c r="U347" t="str">
        <f t="array" ref="U347">_xlfn.IFS(HR_Data[[#This Row],[Salary]]&gt;=100000,"A",HR_Data[[#This Row],[Salary]]&gt;=70000,"B",HR_Data[[#This Row],[Salary]]&gt;=50000,"C",TRUE(),"D")</f>
        <v>D</v>
      </c>
      <c r="V347" t="str">
        <f t="array" ref="V347">_xlfn.IFS(HR_Data[[#This Row],[Experience]]&gt;=15,"Expert",HR_Data[[#This Row],[Experience]]&gt;=8,"Senior",HR_Data[[#This Row],[Experience]]&gt;=3,"Mid-Level",TRUE(),"Junior")</f>
        <v>Mid-Level</v>
      </c>
    </row>
    <row r="348" spans="1:22" ht="14.25" customHeight="1" x14ac:dyDescent="0.3">
      <c r="A348" t="s">
        <v>883</v>
      </c>
      <c r="B348" t="s">
        <v>884</v>
      </c>
      <c r="C348" t="s">
        <v>55</v>
      </c>
      <c r="D348" t="s">
        <v>25</v>
      </c>
      <c r="E348">
        <v>24</v>
      </c>
      <c r="F348">
        <v>34400</v>
      </c>
      <c r="G348">
        <v>0</v>
      </c>
      <c r="H348" t="s">
        <v>885</v>
      </c>
      <c r="I348" t="s">
        <v>132</v>
      </c>
      <c r="J348" t="s">
        <v>63</v>
      </c>
      <c r="K348" t="s">
        <v>37</v>
      </c>
      <c r="L348" t="str">
        <f t="array" ref="L348">_xlfn.IFS(HR_Data[[#This Row],[Experience]]&lt;2,"0-2 Years",HR_Data[[#This Row],[Experience]]&lt;5,"2-5 Years",HR_Data[[#This Row],[Experience]]&lt;10,"5-10 Years",TRUE(),"10+ Years")</f>
        <v>0-2 Years</v>
      </c>
      <c r="M348" t="str">
        <f t="array" ref="M348">_xlfn.IFS(HR_Data[[#This Row],[Salary]]&lt;40000,"Low",HR_Data[[#This Row],[Salary]]&lt;70000,"Medium",HR_Data[[#This Row],[Salary]]&lt;100000,"High",TRUE(),"Very High")</f>
        <v>Low</v>
      </c>
      <c r="N348" t="str">
        <f t="array" ref="N348">_xlfn.IFS(HR_Data[[#This Row],[Age]]&lt;25,"18-24",HR_Data[[#This Row],[Age]]&lt;35,"25-34",HR_Data[[#This Row],[Age]]&lt;45,"35-44",TRUE(),"45+")</f>
        <v>18-24</v>
      </c>
      <c r="O348">
        <f>YEAR(HR_Data[[#This Row],[Joining Date]])</f>
        <v>2019</v>
      </c>
      <c r="P348" t="str">
        <f>TEXT(HR_Data[[#This Row],[Joining Date]],"mmmm")</f>
        <v>April</v>
      </c>
      <c r="Q348">
        <f t="array" ref="Q348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348">
        <f>HR_Data[[#This Row],[Salary]]*HR_Data[[#This Row],[Bonus %]]</f>
        <v>6880</v>
      </c>
      <c r="S348">
        <f>HR_Data[[#This Row],[Salary]]+HR_Data[[#This Row],[Bonus Amount]]</f>
        <v>41280</v>
      </c>
      <c r="T348" t="str">
        <f>IF(HR_Data[[#This Row],[Attrition]]="Yes","Inactive","Active")</f>
        <v>Inactive</v>
      </c>
      <c r="U348" t="str">
        <f t="array" ref="U348">_xlfn.IFS(HR_Data[[#This Row],[Salary]]&gt;=100000,"A",HR_Data[[#This Row],[Salary]]&gt;=70000,"B",HR_Data[[#This Row],[Salary]]&gt;=50000,"C",TRUE(),"D")</f>
        <v>D</v>
      </c>
      <c r="V348" t="str">
        <f t="array" ref="V348">_xlfn.IFS(HR_Data[[#This Row],[Experience]]&gt;=15,"Expert",HR_Data[[#This Row],[Experience]]&gt;=8,"Senior",HR_Data[[#This Row],[Experience]]&gt;=3,"Mid-Level",TRUE(),"Junior")</f>
        <v>Junior</v>
      </c>
    </row>
    <row r="349" spans="1:22" ht="14.25" customHeight="1" x14ac:dyDescent="0.3">
      <c r="A349" t="s">
        <v>886</v>
      </c>
      <c r="B349" t="s">
        <v>234</v>
      </c>
      <c r="C349" t="s">
        <v>93</v>
      </c>
      <c r="D349" t="s">
        <v>25</v>
      </c>
      <c r="E349">
        <v>31</v>
      </c>
      <c r="F349">
        <v>52693</v>
      </c>
      <c r="G349">
        <v>6</v>
      </c>
      <c r="H349" t="s">
        <v>887</v>
      </c>
      <c r="I349" t="s">
        <v>62</v>
      </c>
      <c r="J349" t="s">
        <v>28</v>
      </c>
      <c r="K349" t="s">
        <v>29</v>
      </c>
      <c r="L349" t="str">
        <f t="array" ref="L349">_xlfn.IFS(HR_Data[[#This Row],[Experience]]&lt;2,"0-2 Years",HR_Data[[#This Row],[Experience]]&lt;5,"2-5 Years",HR_Data[[#This Row],[Experience]]&lt;10,"5-10 Years",TRUE(),"10+ Years")</f>
        <v>5-10 Years</v>
      </c>
      <c r="M349" t="str">
        <f t="array" ref="M349">_xlfn.IFS(HR_Data[[#This Row],[Salary]]&lt;40000,"Low",HR_Data[[#This Row],[Salary]]&lt;70000,"Medium",HR_Data[[#This Row],[Salary]]&lt;100000,"High",TRUE(),"Very High")</f>
        <v>Medium</v>
      </c>
      <c r="N349" t="str">
        <f t="array" ref="N349">_xlfn.IFS(HR_Data[[#This Row],[Age]]&lt;25,"18-24",HR_Data[[#This Row],[Age]]&lt;35,"25-34",HR_Data[[#This Row],[Age]]&lt;45,"35-44",TRUE(),"45+")</f>
        <v>25-34</v>
      </c>
      <c r="O349">
        <f>YEAR(HR_Data[[#This Row],[Joining Date]])</f>
        <v>2021</v>
      </c>
      <c r="P349" t="str">
        <f>TEXT(HR_Data[[#This Row],[Joining Date]],"mmmm")</f>
        <v>November</v>
      </c>
      <c r="Q349">
        <f t="array" ref="Q34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49">
        <f>HR_Data[[#This Row],[Salary]]*HR_Data[[#This Row],[Bonus %]]</f>
        <v>7903.95</v>
      </c>
      <c r="S349">
        <f>HR_Data[[#This Row],[Salary]]+HR_Data[[#This Row],[Bonus Amount]]</f>
        <v>60596.95</v>
      </c>
      <c r="T349" t="str">
        <f>IF(HR_Data[[#This Row],[Attrition]]="Yes","Inactive","Active")</f>
        <v>Active</v>
      </c>
      <c r="U349" t="str">
        <f t="array" ref="U349">_xlfn.IFS(HR_Data[[#This Row],[Salary]]&gt;=100000,"A",HR_Data[[#This Row],[Salary]]&gt;=70000,"B",HR_Data[[#This Row],[Salary]]&gt;=50000,"C",TRUE(),"D")</f>
        <v>C</v>
      </c>
      <c r="V349" t="str">
        <f t="array" ref="V349">_xlfn.IFS(HR_Data[[#This Row],[Experience]]&gt;=15,"Expert",HR_Data[[#This Row],[Experience]]&gt;=8,"Senior",HR_Data[[#This Row],[Experience]]&gt;=3,"Mid-Level",TRUE(),"Junior")</f>
        <v>Mid-Level</v>
      </c>
    </row>
    <row r="350" spans="1:22" ht="14.25" customHeight="1" x14ac:dyDescent="0.3">
      <c r="A350" t="s">
        <v>888</v>
      </c>
      <c r="B350" t="s">
        <v>152</v>
      </c>
      <c r="C350" t="s">
        <v>60</v>
      </c>
      <c r="D350" t="s">
        <v>33</v>
      </c>
      <c r="E350">
        <v>32</v>
      </c>
      <c r="F350">
        <v>58662</v>
      </c>
      <c r="G350">
        <v>8</v>
      </c>
      <c r="H350" t="s">
        <v>889</v>
      </c>
      <c r="I350" t="s">
        <v>132</v>
      </c>
      <c r="J350" t="s">
        <v>46</v>
      </c>
      <c r="K350" t="s">
        <v>29</v>
      </c>
      <c r="L350" t="str">
        <f t="array" ref="L350">_xlfn.IFS(HR_Data[[#This Row],[Experience]]&lt;2,"0-2 Years",HR_Data[[#This Row],[Experience]]&lt;5,"2-5 Years",HR_Data[[#This Row],[Experience]]&lt;10,"5-10 Years",TRUE(),"10+ Years")</f>
        <v>5-10 Years</v>
      </c>
      <c r="M350" t="str">
        <f t="array" ref="M350">_xlfn.IFS(HR_Data[[#This Row],[Salary]]&lt;40000,"Low",HR_Data[[#This Row],[Salary]]&lt;70000,"Medium",HR_Data[[#This Row],[Salary]]&lt;100000,"High",TRUE(),"Very High")</f>
        <v>Medium</v>
      </c>
      <c r="N350" t="str">
        <f t="array" ref="N350">_xlfn.IFS(HR_Data[[#This Row],[Age]]&lt;25,"18-24",HR_Data[[#This Row],[Age]]&lt;35,"25-34",HR_Data[[#This Row],[Age]]&lt;45,"35-44",TRUE(),"45+")</f>
        <v>25-34</v>
      </c>
      <c r="O350">
        <f>YEAR(HR_Data[[#This Row],[Joining Date]])</f>
        <v>2023</v>
      </c>
      <c r="P350" t="str">
        <f>TEXT(HR_Data[[#This Row],[Joining Date]],"mmmm")</f>
        <v>January</v>
      </c>
      <c r="Q350">
        <f t="array" ref="Q350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350">
        <f>HR_Data[[#This Row],[Salary]]*HR_Data[[#This Row],[Bonus %]]</f>
        <v>2933.1000000000004</v>
      </c>
      <c r="S350">
        <f>HR_Data[[#This Row],[Salary]]+HR_Data[[#This Row],[Bonus Amount]]</f>
        <v>61595.1</v>
      </c>
      <c r="T350" t="str">
        <f>IF(HR_Data[[#This Row],[Attrition]]="Yes","Inactive","Active")</f>
        <v>Active</v>
      </c>
      <c r="U350" t="str">
        <f t="array" ref="U350">_xlfn.IFS(HR_Data[[#This Row],[Salary]]&gt;=100000,"A",HR_Data[[#This Row],[Salary]]&gt;=70000,"B",HR_Data[[#This Row],[Salary]]&gt;=50000,"C",TRUE(),"D")</f>
        <v>C</v>
      </c>
      <c r="V350" t="str">
        <f t="array" ref="V350">_xlfn.IFS(HR_Data[[#This Row],[Experience]]&gt;=15,"Expert",HR_Data[[#This Row],[Experience]]&gt;=8,"Senior",HR_Data[[#This Row],[Experience]]&gt;=3,"Mid-Level",TRUE(),"Junior")</f>
        <v>Senior</v>
      </c>
    </row>
    <row r="351" spans="1:22" ht="14.25" customHeight="1" x14ac:dyDescent="0.3">
      <c r="A351" t="s">
        <v>890</v>
      </c>
      <c r="B351" t="s">
        <v>891</v>
      </c>
      <c r="C351" t="s">
        <v>134</v>
      </c>
      <c r="D351" t="s">
        <v>33</v>
      </c>
      <c r="E351">
        <v>43</v>
      </c>
      <c r="F351">
        <v>59318</v>
      </c>
      <c r="G351">
        <v>13</v>
      </c>
      <c r="H351" t="s">
        <v>892</v>
      </c>
      <c r="I351" t="s">
        <v>72</v>
      </c>
      <c r="J351" t="s">
        <v>28</v>
      </c>
      <c r="K351" t="s">
        <v>29</v>
      </c>
      <c r="L351" t="str">
        <f t="array" ref="L351">_xlfn.IFS(HR_Data[[#This Row],[Experience]]&lt;2,"0-2 Years",HR_Data[[#This Row],[Experience]]&lt;5,"2-5 Years",HR_Data[[#This Row],[Experience]]&lt;10,"5-10 Years",TRUE(),"10+ Years")</f>
        <v>10+ Years</v>
      </c>
      <c r="M351" t="str">
        <f t="array" ref="M351">_xlfn.IFS(HR_Data[[#This Row],[Salary]]&lt;40000,"Low",HR_Data[[#This Row],[Salary]]&lt;70000,"Medium",HR_Data[[#This Row],[Salary]]&lt;100000,"High",TRUE(),"Very High")</f>
        <v>Medium</v>
      </c>
      <c r="N351" t="str">
        <f t="array" ref="N351">_xlfn.IFS(HR_Data[[#This Row],[Age]]&lt;25,"18-24",HR_Data[[#This Row],[Age]]&lt;35,"25-34",HR_Data[[#This Row],[Age]]&lt;45,"35-44",TRUE(),"45+")</f>
        <v>35-44</v>
      </c>
      <c r="O351">
        <f>YEAR(HR_Data[[#This Row],[Joining Date]])</f>
        <v>2026</v>
      </c>
      <c r="P351" t="str">
        <f>TEXT(HR_Data[[#This Row],[Joining Date]],"mmmm")</f>
        <v>April</v>
      </c>
      <c r="Q351">
        <f t="array" ref="Q351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51">
        <f>HR_Data[[#This Row],[Salary]]*HR_Data[[#This Row],[Bonus %]]</f>
        <v>8897.6999999999989</v>
      </c>
      <c r="S351">
        <f>HR_Data[[#This Row],[Salary]]+HR_Data[[#This Row],[Bonus Amount]]</f>
        <v>68215.7</v>
      </c>
      <c r="T351" t="str">
        <f>IF(HR_Data[[#This Row],[Attrition]]="Yes","Inactive","Active")</f>
        <v>Active</v>
      </c>
      <c r="U351" t="str">
        <f t="array" ref="U351">_xlfn.IFS(HR_Data[[#This Row],[Salary]]&gt;=100000,"A",HR_Data[[#This Row],[Salary]]&gt;=70000,"B",HR_Data[[#This Row],[Salary]]&gt;=50000,"C",TRUE(),"D")</f>
        <v>C</v>
      </c>
      <c r="V351" t="str">
        <f t="array" ref="V351">_xlfn.IFS(HR_Data[[#This Row],[Experience]]&gt;=15,"Expert",HR_Data[[#This Row],[Experience]]&gt;=8,"Senior",HR_Data[[#This Row],[Experience]]&gt;=3,"Mid-Level",TRUE(),"Junior")</f>
        <v>Senior</v>
      </c>
    </row>
    <row r="352" spans="1:22" ht="14.25" customHeight="1" x14ac:dyDescent="0.3">
      <c r="A352" t="s">
        <v>893</v>
      </c>
      <c r="B352" t="s">
        <v>894</v>
      </c>
      <c r="C352" t="s">
        <v>40</v>
      </c>
      <c r="D352" t="s">
        <v>25</v>
      </c>
      <c r="E352">
        <v>32</v>
      </c>
      <c r="F352">
        <v>30142</v>
      </c>
      <c r="G352">
        <v>3</v>
      </c>
      <c r="H352" t="s">
        <v>895</v>
      </c>
      <c r="I352" t="s">
        <v>35</v>
      </c>
      <c r="J352" t="s">
        <v>63</v>
      </c>
      <c r="K352" t="s">
        <v>37</v>
      </c>
      <c r="L352" t="str">
        <f t="array" ref="L352">_xlfn.IFS(HR_Data[[#This Row],[Experience]]&lt;2,"0-2 Years",HR_Data[[#This Row],[Experience]]&lt;5,"2-5 Years",HR_Data[[#This Row],[Experience]]&lt;10,"5-10 Years",TRUE(),"10+ Years")</f>
        <v>2-5 Years</v>
      </c>
      <c r="M352" t="str">
        <f t="array" ref="M352">_xlfn.IFS(HR_Data[[#This Row],[Salary]]&lt;40000,"Low",HR_Data[[#This Row],[Salary]]&lt;70000,"Medium",HR_Data[[#This Row],[Salary]]&lt;100000,"High",TRUE(),"Very High")</f>
        <v>Low</v>
      </c>
      <c r="N352" t="str">
        <f t="array" ref="N352">_xlfn.IFS(HR_Data[[#This Row],[Age]]&lt;25,"18-24",HR_Data[[#This Row],[Age]]&lt;35,"25-34",HR_Data[[#This Row],[Age]]&lt;45,"35-44",TRUE(),"45+")</f>
        <v>25-34</v>
      </c>
      <c r="O352">
        <f>YEAR(HR_Data[[#This Row],[Joining Date]])</f>
        <v>2015</v>
      </c>
      <c r="P352" t="str">
        <f>TEXT(HR_Data[[#This Row],[Joining Date]],"mmmm")</f>
        <v>June</v>
      </c>
      <c r="Q352">
        <f t="array" ref="Q352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352">
        <f>HR_Data[[#This Row],[Salary]]*HR_Data[[#This Row],[Bonus %]]</f>
        <v>6028.4000000000005</v>
      </c>
      <c r="S352">
        <f>HR_Data[[#This Row],[Salary]]+HR_Data[[#This Row],[Bonus Amount]]</f>
        <v>36170.400000000001</v>
      </c>
      <c r="T352" t="str">
        <f>IF(HR_Data[[#This Row],[Attrition]]="Yes","Inactive","Active")</f>
        <v>Inactive</v>
      </c>
      <c r="U352" t="str">
        <f t="array" ref="U352">_xlfn.IFS(HR_Data[[#This Row],[Salary]]&gt;=100000,"A",HR_Data[[#This Row],[Salary]]&gt;=70000,"B",HR_Data[[#This Row],[Salary]]&gt;=50000,"C",TRUE(),"D")</f>
        <v>D</v>
      </c>
      <c r="V352" t="str">
        <f t="array" ref="V352">_xlfn.IFS(HR_Data[[#This Row],[Experience]]&gt;=15,"Expert",HR_Data[[#This Row],[Experience]]&gt;=8,"Senior",HR_Data[[#This Row],[Experience]]&gt;=3,"Mid-Level",TRUE(),"Junior")</f>
        <v>Mid-Level</v>
      </c>
    </row>
    <row r="353" spans="1:22" ht="14.25" customHeight="1" x14ac:dyDescent="0.3">
      <c r="A353" t="s">
        <v>896</v>
      </c>
      <c r="B353" t="s">
        <v>868</v>
      </c>
      <c r="C353" t="s">
        <v>24</v>
      </c>
      <c r="D353" t="s">
        <v>33</v>
      </c>
      <c r="E353">
        <v>31</v>
      </c>
      <c r="F353">
        <v>46104</v>
      </c>
      <c r="G353">
        <v>9</v>
      </c>
      <c r="H353" t="s">
        <v>643</v>
      </c>
      <c r="I353" t="s">
        <v>62</v>
      </c>
      <c r="J353" t="s">
        <v>36</v>
      </c>
      <c r="K353" t="s">
        <v>37</v>
      </c>
      <c r="L353" t="str">
        <f t="array" ref="L353">_xlfn.IFS(HR_Data[[#This Row],[Experience]]&lt;2,"0-2 Years",HR_Data[[#This Row],[Experience]]&lt;5,"2-5 Years",HR_Data[[#This Row],[Experience]]&lt;10,"5-10 Years",TRUE(),"10+ Years")</f>
        <v>5-10 Years</v>
      </c>
      <c r="M353" t="str">
        <f t="array" ref="M353">_xlfn.IFS(HR_Data[[#This Row],[Salary]]&lt;40000,"Low",HR_Data[[#This Row],[Salary]]&lt;70000,"Medium",HR_Data[[#This Row],[Salary]]&lt;100000,"High",TRUE(),"Very High")</f>
        <v>Medium</v>
      </c>
      <c r="N353" t="str">
        <f t="array" ref="N353">_xlfn.IFS(HR_Data[[#This Row],[Age]]&lt;25,"18-24",HR_Data[[#This Row],[Age]]&lt;35,"25-34",HR_Data[[#This Row],[Age]]&lt;45,"35-44",TRUE(),"45+")</f>
        <v>25-34</v>
      </c>
      <c r="O353">
        <f>YEAR(HR_Data[[#This Row],[Joining Date]])</f>
        <v>2021</v>
      </c>
      <c r="P353" t="str">
        <f>TEXT(HR_Data[[#This Row],[Joining Date]],"mmmm")</f>
        <v>October</v>
      </c>
      <c r="Q353">
        <f t="array" ref="Q353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53">
        <f>HR_Data[[#This Row],[Salary]]*HR_Data[[#This Row],[Bonus %]]</f>
        <v>4610.4000000000005</v>
      </c>
      <c r="S353">
        <f>HR_Data[[#This Row],[Salary]]+HR_Data[[#This Row],[Bonus Amount]]</f>
        <v>50714.400000000001</v>
      </c>
      <c r="T353" t="str">
        <f>IF(HR_Data[[#This Row],[Attrition]]="Yes","Inactive","Active")</f>
        <v>Inactive</v>
      </c>
      <c r="U353" t="str">
        <f t="array" ref="U353">_xlfn.IFS(HR_Data[[#This Row],[Salary]]&gt;=100000,"A",HR_Data[[#This Row],[Salary]]&gt;=70000,"B",HR_Data[[#This Row],[Salary]]&gt;=50000,"C",TRUE(),"D")</f>
        <v>D</v>
      </c>
      <c r="V353" t="str">
        <f t="array" ref="V353">_xlfn.IFS(HR_Data[[#This Row],[Experience]]&gt;=15,"Expert",HR_Data[[#This Row],[Experience]]&gt;=8,"Senior",HR_Data[[#This Row],[Experience]]&gt;=3,"Mid-Level",TRUE(),"Junior")</f>
        <v>Senior</v>
      </c>
    </row>
    <row r="354" spans="1:22" ht="14.25" customHeight="1" x14ac:dyDescent="0.3">
      <c r="A354" t="s">
        <v>897</v>
      </c>
      <c r="B354" t="s">
        <v>342</v>
      </c>
      <c r="C354" t="s">
        <v>60</v>
      </c>
      <c r="D354" t="s">
        <v>25</v>
      </c>
      <c r="E354">
        <v>33</v>
      </c>
      <c r="F354">
        <v>40057</v>
      </c>
      <c r="G354">
        <v>6</v>
      </c>
      <c r="H354" t="s">
        <v>862</v>
      </c>
      <c r="I354" t="s">
        <v>45</v>
      </c>
      <c r="J354" t="s">
        <v>63</v>
      </c>
      <c r="K354" t="s">
        <v>37</v>
      </c>
      <c r="L354" t="str">
        <f t="array" ref="L354">_xlfn.IFS(HR_Data[[#This Row],[Experience]]&lt;2,"0-2 Years",HR_Data[[#This Row],[Experience]]&lt;5,"2-5 Years",HR_Data[[#This Row],[Experience]]&lt;10,"5-10 Years",TRUE(),"10+ Years")</f>
        <v>5-10 Years</v>
      </c>
      <c r="M354" t="str">
        <f t="array" ref="M354">_xlfn.IFS(HR_Data[[#This Row],[Salary]]&lt;40000,"Low",HR_Data[[#This Row],[Salary]]&lt;70000,"Medium",HR_Data[[#This Row],[Salary]]&lt;100000,"High",TRUE(),"Very High")</f>
        <v>Medium</v>
      </c>
      <c r="N354" t="str">
        <f t="array" ref="N354">_xlfn.IFS(HR_Data[[#This Row],[Age]]&lt;25,"18-24",HR_Data[[#This Row],[Age]]&lt;35,"25-34",HR_Data[[#This Row],[Age]]&lt;45,"35-44",TRUE(),"45+")</f>
        <v>25-34</v>
      </c>
      <c r="O354">
        <f>YEAR(HR_Data[[#This Row],[Joining Date]])</f>
        <v>2021</v>
      </c>
      <c r="P354" t="str">
        <f>TEXT(HR_Data[[#This Row],[Joining Date]],"mmmm")</f>
        <v>May</v>
      </c>
      <c r="Q354">
        <f t="array" ref="Q354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354">
        <f>HR_Data[[#This Row],[Salary]]*HR_Data[[#This Row],[Bonus %]]</f>
        <v>8011.4000000000005</v>
      </c>
      <c r="S354">
        <f>HR_Data[[#This Row],[Salary]]+HR_Data[[#This Row],[Bonus Amount]]</f>
        <v>48068.4</v>
      </c>
      <c r="T354" t="str">
        <f>IF(HR_Data[[#This Row],[Attrition]]="Yes","Inactive","Active")</f>
        <v>Inactive</v>
      </c>
      <c r="U354" t="str">
        <f t="array" ref="U354">_xlfn.IFS(HR_Data[[#This Row],[Salary]]&gt;=100000,"A",HR_Data[[#This Row],[Salary]]&gt;=70000,"B",HR_Data[[#This Row],[Salary]]&gt;=50000,"C",TRUE(),"D")</f>
        <v>D</v>
      </c>
      <c r="V354" t="str">
        <f t="array" ref="V354">_xlfn.IFS(HR_Data[[#This Row],[Experience]]&gt;=15,"Expert",HR_Data[[#This Row],[Experience]]&gt;=8,"Senior",HR_Data[[#This Row],[Experience]]&gt;=3,"Mid-Level",TRUE(),"Junior")</f>
        <v>Mid-Level</v>
      </c>
    </row>
    <row r="355" spans="1:22" ht="14.25" customHeight="1" x14ac:dyDescent="0.3">
      <c r="A355" t="s">
        <v>898</v>
      </c>
      <c r="B355" t="s">
        <v>650</v>
      </c>
      <c r="C355" t="s">
        <v>55</v>
      </c>
      <c r="D355" t="s">
        <v>33</v>
      </c>
      <c r="E355">
        <v>36</v>
      </c>
      <c r="F355">
        <v>68826</v>
      </c>
      <c r="G355">
        <v>12</v>
      </c>
      <c r="H355" t="s">
        <v>899</v>
      </c>
      <c r="I355" t="s">
        <v>27</v>
      </c>
      <c r="J355" t="s">
        <v>28</v>
      </c>
      <c r="K355" t="s">
        <v>29</v>
      </c>
      <c r="L355" t="str">
        <f t="array" ref="L355">_xlfn.IFS(HR_Data[[#This Row],[Experience]]&lt;2,"0-2 Years",HR_Data[[#This Row],[Experience]]&lt;5,"2-5 Years",HR_Data[[#This Row],[Experience]]&lt;10,"5-10 Years",TRUE(),"10+ Years")</f>
        <v>10+ Years</v>
      </c>
      <c r="M355" t="str">
        <f t="array" ref="M355">_xlfn.IFS(HR_Data[[#This Row],[Salary]]&lt;40000,"Low",HR_Data[[#This Row],[Salary]]&lt;70000,"Medium",HR_Data[[#This Row],[Salary]]&lt;100000,"High",TRUE(),"Very High")</f>
        <v>Medium</v>
      </c>
      <c r="N355" t="str">
        <f t="array" ref="N355">_xlfn.IFS(HR_Data[[#This Row],[Age]]&lt;25,"18-24",HR_Data[[#This Row],[Age]]&lt;35,"25-34",HR_Data[[#This Row],[Age]]&lt;45,"35-44",TRUE(),"45+")</f>
        <v>35-44</v>
      </c>
      <c r="O355">
        <f>YEAR(HR_Data[[#This Row],[Joining Date]])</f>
        <v>2021</v>
      </c>
      <c r="P355" t="str">
        <f>TEXT(HR_Data[[#This Row],[Joining Date]],"mmmm")</f>
        <v>August</v>
      </c>
      <c r="Q355">
        <f t="array" ref="Q355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55">
        <f>HR_Data[[#This Row],[Salary]]*HR_Data[[#This Row],[Bonus %]]</f>
        <v>10323.9</v>
      </c>
      <c r="S355">
        <f>HR_Data[[#This Row],[Salary]]+HR_Data[[#This Row],[Bonus Amount]]</f>
        <v>79149.899999999994</v>
      </c>
      <c r="T355" t="str">
        <f>IF(HR_Data[[#This Row],[Attrition]]="Yes","Inactive","Active")</f>
        <v>Active</v>
      </c>
      <c r="U355" t="str">
        <f t="array" ref="U355">_xlfn.IFS(HR_Data[[#This Row],[Salary]]&gt;=100000,"A",HR_Data[[#This Row],[Salary]]&gt;=70000,"B",HR_Data[[#This Row],[Salary]]&gt;=50000,"C",TRUE(),"D")</f>
        <v>C</v>
      </c>
      <c r="V355" t="str">
        <f t="array" ref="V355">_xlfn.IFS(HR_Data[[#This Row],[Experience]]&gt;=15,"Expert",HR_Data[[#This Row],[Experience]]&gt;=8,"Senior",HR_Data[[#This Row],[Experience]]&gt;=3,"Mid-Level",TRUE(),"Junior")</f>
        <v>Senior</v>
      </c>
    </row>
    <row r="356" spans="1:22" ht="14.25" customHeight="1" x14ac:dyDescent="0.3">
      <c r="A356" t="s">
        <v>900</v>
      </c>
      <c r="B356" t="s">
        <v>257</v>
      </c>
      <c r="C356" t="s">
        <v>75</v>
      </c>
      <c r="D356" t="s">
        <v>33</v>
      </c>
      <c r="E356">
        <v>29</v>
      </c>
      <c r="F356">
        <v>25000</v>
      </c>
      <c r="G356">
        <v>0</v>
      </c>
      <c r="H356" t="s">
        <v>901</v>
      </c>
      <c r="I356" t="s">
        <v>42</v>
      </c>
      <c r="J356" t="s">
        <v>46</v>
      </c>
      <c r="K356" t="s">
        <v>29</v>
      </c>
      <c r="L356" t="str">
        <f t="array" ref="L356">_xlfn.IFS(HR_Data[[#This Row],[Experience]]&lt;2,"0-2 Years",HR_Data[[#This Row],[Experience]]&lt;5,"2-5 Years",HR_Data[[#This Row],[Experience]]&lt;10,"5-10 Years",TRUE(),"10+ Years")</f>
        <v>0-2 Years</v>
      </c>
      <c r="M356" t="str">
        <f t="array" ref="M356">_xlfn.IFS(HR_Data[[#This Row],[Salary]]&lt;40000,"Low",HR_Data[[#This Row],[Salary]]&lt;70000,"Medium",HR_Data[[#This Row],[Salary]]&lt;100000,"High",TRUE(),"Very High")</f>
        <v>Low</v>
      </c>
      <c r="N356" t="str">
        <f t="array" ref="N356">_xlfn.IFS(HR_Data[[#This Row],[Age]]&lt;25,"18-24",HR_Data[[#This Row],[Age]]&lt;35,"25-34",HR_Data[[#This Row],[Age]]&lt;45,"35-44",TRUE(),"45+")</f>
        <v>25-34</v>
      </c>
      <c r="O356">
        <f>YEAR(HR_Data[[#This Row],[Joining Date]])</f>
        <v>2017</v>
      </c>
      <c r="P356" t="str">
        <f>TEXT(HR_Data[[#This Row],[Joining Date]],"mmmm")</f>
        <v>June</v>
      </c>
      <c r="Q356">
        <f t="array" ref="Q356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356">
        <f>HR_Data[[#This Row],[Salary]]*HR_Data[[#This Row],[Bonus %]]</f>
        <v>1250</v>
      </c>
      <c r="S356">
        <f>HR_Data[[#This Row],[Salary]]+HR_Data[[#This Row],[Bonus Amount]]</f>
        <v>26250</v>
      </c>
      <c r="T356" t="str">
        <f>IF(HR_Data[[#This Row],[Attrition]]="Yes","Inactive","Active")</f>
        <v>Active</v>
      </c>
      <c r="U356" t="str">
        <f t="array" ref="U356">_xlfn.IFS(HR_Data[[#This Row],[Salary]]&gt;=100000,"A",HR_Data[[#This Row],[Salary]]&gt;=70000,"B",HR_Data[[#This Row],[Salary]]&gt;=50000,"C",TRUE(),"D")</f>
        <v>D</v>
      </c>
      <c r="V356" t="str">
        <f t="array" ref="V356">_xlfn.IFS(HR_Data[[#This Row],[Experience]]&gt;=15,"Expert",HR_Data[[#This Row],[Experience]]&gt;=8,"Senior",HR_Data[[#This Row],[Experience]]&gt;=3,"Mid-Level",TRUE(),"Junior")</f>
        <v>Junior</v>
      </c>
    </row>
    <row r="357" spans="1:22" ht="14.25" customHeight="1" x14ac:dyDescent="0.3">
      <c r="A357" t="s">
        <v>902</v>
      </c>
      <c r="B357" t="s">
        <v>273</v>
      </c>
      <c r="C357" t="s">
        <v>40</v>
      </c>
      <c r="D357" t="s">
        <v>33</v>
      </c>
      <c r="E357">
        <v>45</v>
      </c>
      <c r="F357">
        <v>75774</v>
      </c>
      <c r="G357">
        <v>16</v>
      </c>
      <c r="H357" t="s">
        <v>903</v>
      </c>
      <c r="I357" t="s">
        <v>27</v>
      </c>
      <c r="J357" t="s">
        <v>90</v>
      </c>
      <c r="K357" t="s">
        <v>29</v>
      </c>
      <c r="L357" t="str">
        <f t="array" ref="L357">_xlfn.IFS(HR_Data[[#This Row],[Experience]]&lt;2,"0-2 Years",HR_Data[[#This Row],[Experience]]&lt;5,"2-5 Years",HR_Data[[#This Row],[Experience]]&lt;10,"5-10 Years",TRUE(),"10+ Years")</f>
        <v>10+ Years</v>
      </c>
      <c r="M357" t="str">
        <f t="array" ref="M357">_xlfn.IFS(HR_Data[[#This Row],[Salary]]&lt;40000,"Low",HR_Data[[#This Row],[Salary]]&lt;70000,"Medium",HR_Data[[#This Row],[Salary]]&lt;100000,"High",TRUE(),"Very High")</f>
        <v>High</v>
      </c>
      <c r="N357" t="str">
        <f t="array" ref="N357">_xlfn.IFS(HR_Data[[#This Row],[Age]]&lt;25,"18-24",HR_Data[[#This Row],[Age]]&lt;35,"25-34",HR_Data[[#This Row],[Age]]&lt;45,"35-44",TRUE(),"45+")</f>
        <v>45+</v>
      </c>
      <c r="O357">
        <f>YEAR(HR_Data[[#This Row],[Joining Date]])</f>
        <v>2025</v>
      </c>
      <c r="P357" t="str">
        <f>TEXT(HR_Data[[#This Row],[Joining Date]],"mmmm")</f>
        <v>March</v>
      </c>
      <c r="Q357">
        <f t="array" ref="Q357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357">
        <f>HR_Data[[#This Row],[Salary]]*HR_Data[[#This Row],[Bonus %]]</f>
        <v>0</v>
      </c>
      <c r="S357">
        <f>HR_Data[[#This Row],[Salary]]+HR_Data[[#This Row],[Bonus Amount]]</f>
        <v>75774</v>
      </c>
      <c r="T357" t="str">
        <f>IF(HR_Data[[#This Row],[Attrition]]="Yes","Inactive","Active")</f>
        <v>Active</v>
      </c>
      <c r="U357" t="str">
        <f t="array" ref="U357">_xlfn.IFS(HR_Data[[#This Row],[Salary]]&gt;=100000,"A",HR_Data[[#This Row],[Salary]]&gt;=70000,"B",HR_Data[[#This Row],[Salary]]&gt;=50000,"C",TRUE(),"D")</f>
        <v>B</v>
      </c>
      <c r="V357" t="str">
        <f t="array" ref="V357">_xlfn.IFS(HR_Data[[#This Row],[Experience]]&gt;=15,"Expert",HR_Data[[#This Row],[Experience]]&gt;=8,"Senior",HR_Data[[#This Row],[Experience]]&gt;=3,"Mid-Level",TRUE(),"Junior")</f>
        <v>Expert</v>
      </c>
    </row>
    <row r="358" spans="1:22" ht="14.25" customHeight="1" x14ac:dyDescent="0.3">
      <c r="A358" t="s">
        <v>904</v>
      </c>
      <c r="B358" t="s">
        <v>905</v>
      </c>
      <c r="C358" t="s">
        <v>70</v>
      </c>
      <c r="D358" t="s">
        <v>33</v>
      </c>
      <c r="E358">
        <v>42</v>
      </c>
      <c r="F358">
        <v>84846</v>
      </c>
      <c r="G358">
        <v>18</v>
      </c>
      <c r="H358" t="s">
        <v>906</v>
      </c>
      <c r="I358" t="s">
        <v>67</v>
      </c>
      <c r="J358" t="s">
        <v>36</v>
      </c>
      <c r="K358" t="s">
        <v>37</v>
      </c>
      <c r="L358" t="str">
        <f t="array" ref="L358">_xlfn.IFS(HR_Data[[#This Row],[Experience]]&lt;2,"0-2 Years",HR_Data[[#This Row],[Experience]]&lt;5,"2-5 Years",HR_Data[[#This Row],[Experience]]&lt;10,"5-10 Years",TRUE(),"10+ Years")</f>
        <v>10+ Years</v>
      </c>
      <c r="M358" t="str">
        <f t="array" ref="M358">_xlfn.IFS(HR_Data[[#This Row],[Salary]]&lt;40000,"Low",HR_Data[[#This Row],[Salary]]&lt;70000,"Medium",HR_Data[[#This Row],[Salary]]&lt;100000,"High",TRUE(),"Very High")</f>
        <v>High</v>
      </c>
      <c r="N358" t="str">
        <f t="array" ref="N358">_xlfn.IFS(HR_Data[[#This Row],[Age]]&lt;25,"18-24",HR_Data[[#This Row],[Age]]&lt;35,"25-34",HR_Data[[#This Row],[Age]]&lt;45,"35-44",TRUE(),"45+")</f>
        <v>35-44</v>
      </c>
      <c r="O358">
        <f>YEAR(HR_Data[[#This Row],[Joining Date]])</f>
        <v>2024</v>
      </c>
      <c r="P358" t="str">
        <f>TEXT(HR_Data[[#This Row],[Joining Date]],"mmmm")</f>
        <v>July</v>
      </c>
      <c r="Q358">
        <f t="array" ref="Q35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58">
        <f>HR_Data[[#This Row],[Salary]]*HR_Data[[#This Row],[Bonus %]]</f>
        <v>8484.6</v>
      </c>
      <c r="S358">
        <f>HR_Data[[#This Row],[Salary]]+HR_Data[[#This Row],[Bonus Amount]]</f>
        <v>93330.6</v>
      </c>
      <c r="T358" t="str">
        <f>IF(HR_Data[[#This Row],[Attrition]]="Yes","Inactive","Active")</f>
        <v>Inactive</v>
      </c>
      <c r="U358" t="str">
        <f t="array" ref="U358">_xlfn.IFS(HR_Data[[#This Row],[Salary]]&gt;=100000,"A",HR_Data[[#This Row],[Salary]]&gt;=70000,"B",HR_Data[[#This Row],[Salary]]&gt;=50000,"C",TRUE(),"D")</f>
        <v>B</v>
      </c>
      <c r="V358" t="str">
        <f t="array" ref="V358">_xlfn.IFS(HR_Data[[#This Row],[Experience]]&gt;=15,"Expert",HR_Data[[#This Row],[Experience]]&gt;=8,"Senior",HR_Data[[#This Row],[Experience]]&gt;=3,"Mid-Level",TRUE(),"Junior")</f>
        <v>Expert</v>
      </c>
    </row>
    <row r="359" spans="1:22" ht="14.25" customHeight="1" x14ac:dyDescent="0.3">
      <c r="A359" t="s">
        <v>907</v>
      </c>
      <c r="B359" t="s">
        <v>874</v>
      </c>
      <c r="C359" t="s">
        <v>32</v>
      </c>
      <c r="D359" t="s">
        <v>25</v>
      </c>
      <c r="E359">
        <v>48</v>
      </c>
      <c r="F359">
        <v>96191</v>
      </c>
      <c r="G359">
        <v>22</v>
      </c>
      <c r="H359" t="s">
        <v>908</v>
      </c>
      <c r="I359" t="s">
        <v>80</v>
      </c>
      <c r="J359" t="s">
        <v>28</v>
      </c>
      <c r="K359" t="s">
        <v>29</v>
      </c>
      <c r="L359" t="str">
        <f t="array" ref="L359">_xlfn.IFS(HR_Data[[#This Row],[Experience]]&lt;2,"0-2 Years",HR_Data[[#This Row],[Experience]]&lt;5,"2-5 Years",HR_Data[[#This Row],[Experience]]&lt;10,"5-10 Years",TRUE(),"10+ Years")</f>
        <v>10+ Years</v>
      </c>
      <c r="M359" t="str">
        <f t="array" ref="M359">_xlfn.IFS(HR_Data[[#This Row],[Salary]]&lt;40000,"Low",HR_Data[[#This Row],[Salary]]&lt;70000,"Medium",HR_Data[[#This Row],[Salary]]&lt;100000,"High",TRUE(),"Very High")</f>
        <v>High</v>
      </c>
      <c r="N359" t="str">
        <f t="array" ref="N359">_xlfn.IFS(HR_Data[[#This Row],[Age]]&lt;25,"18-24",HR_Data[[#This Row],[Age]]&lt;35,"25-34",HR_Data[[#This Row],[Age]]&lt;45,"35-44",TRUE(),"45+")</f>
        <v>45+</v>
      </c>
      <c r="O359">
        <f>YEAR(HR_Data[[#This Row],[Joining Date]])</f>
        <v>2017</v>
      </c>
      <c r="P359" t="str">
        <f>TEXT(HR_Data[[#This Row],[Joining Date]],"mmmm")</f>
        <v>January</v>
      </c>
      <c r="Q359">
        <f t="array" ref="Q35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59">
        <f>HR_Data[[#This Row],[Salary]]*HR_Data[[#This Row],[Bonus %]]</f>
        <v>14428.65</v>
      </c>
      <c r="S359">
        <f>HR_Data[[#This Row],[Salary]]+HR_Data[[#This Row],[Bonus Amount]]</f>
        <v>110619.65</v>
      </c>
      <c r="T359" t="str">
        <f>IF(HR_Data[[#This Row],[Attrition]]="Yes","Inactive","Active")</f>
        <v>Active</v>
      </c>
      <c r="U359" t="str">
        <f t="array" ref="U359">_xlfn.IFS(HR_Data[[#This Row],[Salary]]&gt;=100000,"A",HR_Data[[#This Row],[Salary]]&gt;=70000,"B",HR_Data[[#This Row],[Salary]]&gt;=50000,"C",TRUE(),"D")</f>
        <v>B</v>
      </c>
      <c r="V359" t="str">
        <f t="array" ref="V359">_xlfn.IFS(HR_Data[[#This Row],[Experience]]&gt;=15,"Expert",HR_Data[[#This Row],[Experience]]&gt;=8,"Senior",HR_Data[[#This Row],[Experience]]&gt;=3,"Mid-Level",TRUE(),"Junior")</f>
        <v>Expert</v>
      </c>
    </row>
    <row r="360" spans="1:22" ht="14.25" customHeight="1" x14ac:dyDescent="0.3">
      <c r="A360" t="s">
        <v>909</v>
      </c>
      <c r="B360" t="s">
        <v>69</v>
      </c>
      <c r="C360" t="s">
        <v>112</v>
      </c>
      <c r="D360" t="s">
        <v>33</v>
      </c>
      <c r="E360">
        <v>54</v>
      </c>
      <c r="F360">
        <v>109471</v>
      </c>
      <c r="G360">
        <v>24</v>
      </c>
      <c r="H360" t="s">
        <v>910</v>
      </c>
      <c r="I360" t="s">
        <v>42</v>
      </c>
      <c r="J360" t="s">
        <v>36</v>
      </c>
      <c r="K360" t="s">
        <v>29</v>
      </c>
      <c r="L360" t="str">
        <f t="array" ref="L360">_xlfn.IFS(HR_Data[[#This Row],[Experience]]&lt;2,"0-2 Years",HR_Data[[#This Row],[Experience]]&lt;5,"2-5 Years",HR_Data[[#This Row],[Experience]]&lt;10,"5-10 Years",TRUE(),"10+ Years")</f>
        <v>10+ Years</v>
      </c>
      <c r="M360" t="str">
        <f t="array" ref="M360">_xlfn.IFS(HR_Data[[#This Row],[Salary]]&lt;40000,"Low",HR_Data[[#This Row],[Salary]]&lt;70000,"Medium",HR_Data[[#This Row],[Salary]]&lt;100000,"High",TRUE(),"Very High")</f>
        <v>Very High</v>
      </c>
      <c r="N360" t="str">
        <f t="array" ref="N360">_xlfn.IFS(HR_Data[[#This Row],[Age]]&lt;25,"18-24",HR_Data[[#This Row],[Age]]&lt;35,"25-34",HR_Data[[#This Row],[Age]]&lt;45,"35-44",TRUE(),"45+")</f>
        <v>45+</v>
      </c>
      <c r="O360">
        <f>YEAR(HR_Data[[#This Row],[Joining Date]])</f>
        <v>2024</v>
      </c>
      <c r="P360" t="str">
        <f>TEXT(HR_Data[[#This Row],[Joining Date]],"mmmm")</f>
        <v>June</v>
      </c>
      <c r="Q360">
        <f t="array" ref="Q36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60">
        <f>HR_Data[[#This Row],[Salary]]*HR_Data[[#This Row],[Bonus %]]</f>
        <v>10947.1</v>
      </c>
      <c r="S360">
        <f>HR_Data[[#This Row],[Salary]]+HR_Data[[#This Row],[Bonus Amount]]</f>
        <v>120418.1</v>
      </c>
      <c r="T360" t="str">
        <f>IF(HR_Data[[#This Row],[Attrition]]="Yes","Inactive","Active")</f>
        <v>Active</v>
      </c>
      <c r="U360" t="str">
        <f t="array" ref="U360">_xlfn.IFS(HR_Data[[#This Row],[Salary]]&gt;=100000,"A",HR_Data[[#This Row],[Salary]]&gt;=70000,"B",HR_Data[[#This Row],[Salary]]&gt;=50000,"C",TRUE(),"D")</f>
        <v>A</v>
      </c>
      <c r="V360" t="str">
        <f t="array" ref="V360">_xlfn.IFS(HR_Data[[#This Row],[Experience]]&gt;=15,"Expert",HR_Data[[#This Row],[Experience]]&gt;=8,"Senior",HR_Data[[#This Row],[Experience]]&gt;=3,"Mid-Level",TRUE(),"Junior")</f>
        <v>Expert</v>
      </c>
    </row>
    <row r="361" spans="1:22" ht="14.25" customHeight="1" x14ac:dyDescent="0.3">
      <c r="A361" t="s">
        <v>911</v>
      </c>
      <c r="B361" t="s">
        <v>310</v>
      </c>
      <c r="C361" t="s">
        <v>112</v>
      </c>
      <c r="D361" t="s">
        <v>33</v>
      </c>
      <c r="E361">
        <v>54</v>
      </c>
      <c r="F361">
        <v>116016</v>
      </c>
      <c r="G361">
        <v>26</v>
      </c>
      <c r="H361" t="s">
        <v>469</v>
      </c>
      <c r="I361" t="s">
        <v>35</v>
      </c>
      <c r="J361" t="s">
        <v>28</v>
      </c>
      <c r="K361" t="s">
        <v>29</v>
      </c>
      <c r="L361" t="str">
        <f t="array" ref="L361">_xlfn.IFS(HR_Data[[#This Row],[Experience]]&lt;2,"0-2 Years",HR_Data[[#This Row],[Experience]]&lt;5,"2-5 Years",HR_Data[[#This Row],[Experience]]&lt;10,"5-10 Years",TRUE(),"10+ Years")</f>
        <v>10+ Years</v>
      </c>
      <c r="M361" t="str">
        <f t="array" ref="M361">_xlfn.IFS(HR_Data[[#This Row],[Salary]]&lt;40000,"Low",HR_Data[[#This Row],[Salary]]&lt;70000,"Medium",HR_Data[[#This Row],[Salary]]&lt;100000,"High",TRUE(),"Very High")</f>
        <v>Very High</v>
      </c>
      <c r="N361" t="str">
        <f t="array" ref="N361">_xlfn.IFS(HR_Data[[#This Row],[Age]]&lt;25,"18-24",HR_Data[[#This Row],[Age]]&lt;35,"25-34",HR_Data[[#This Row],[Age]]&lt;45,"35-44",TRUE(),"45+")</f>
        <v>45+</v>
      </c>
      <c r="O361">
        <f>YEAR(HR_Data[[#This Row],[Joining Date]])</f>
        <v>2024</v>
      </c>
      <c r="P361" t="str">
        <f>TEXT(HR_Data[[#This Row],[Joining Date]],"mmmm")</f>
        <v>October</v>
      </c>
      <c r="Q361">
        <f t="array" ref="Q361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61">
        <f>HR_Data[[#This Row],[Salary]]*HR_Data[[#This Row],[Bonus %]]</f>
        <v>17402.399999999998</v>
      </c>
      <c r="S361">
        <f>HR_Data[[#This Row],[Salary]]+HR_Data[[#This Row],[Bonus Amount]]</f>
        <v>133418.4</v>
      </c>
      <c r="T361" t="str">
        <f>IF(HR_Data[[#This Row],[Attrition]]="Yes","Inactive","Active")</f>
        <v>Active</v>
      </c>
      <c r="U361" t="str">
        <f t="array" ref="U361">_xlfn.IFS(HR_Data[[#This Row],[Salary]]&gt;=100000,"A",HR_Data[[#This Row],[Salary]]&gt;=70000,"B",HR_Data[[#This Row],[Salary]]&gt;=50000,"C",TRUE(),"D")</f>
        <v>A</v>
      </c>
      <c r="V361" t="str">
        <f t="array" ref="V361">_xlfn.IFS(HR_Data[[#This Row],[Experience]]&gt;=15,"Expert",HR_Data[[#This Row],[Experience]]&gt;=8,"Senior",HR_Data[[#This Row],[Experience]]&gt;=3,"Mid-Level",TRUE(),"Junior")</f>
        <v>Expert</v>
      </c>
    </row>
    <row r="362" spans="1:22" ht="14.25" customHeight="1" x14ac:dyDescent="0.3">
      <c r="A362" t="s">
        <v>912</v>
      </c>
      <c r="B362" t="s">
        <v>158</v>
      </c>
      <c r="C362" t="s">
        <v>75</v>
      </c>
      <c r="D362" t="s">
        <v>33</v>
      </c>
      <c r="E362">
        <v>51</v>
      </c>
      <c r="F362">
        <v>129676</v>
      </c>
      <c r="G362">
        <v>31</v>
      </c>
      <c r="H362" t="s">
        <v>913</v>
      </c>
      <c r="I362" t="s">
        <v>67</v>
      </c>
      <c r="J362" t="s">
        <v>63</v>
      </c>
      <c r="K362" t="s">
        <v>29</v>
      </c>
      <c r="L362" t="str">
        <f t="array" ref="L362">_xlfn.IFS(HR_Data[[#This Row],[Experience]]&lt;2,"0-2 Years",HR_Data[[#This Row],[Experience]]&lt;5,"2-5 Years",HR_Data[[#This Row],[Experience]]&lt;10,"5-10 Years",TRUE(),"10+ Years")</f>
        <v>10+ Years</v>
      </c>
      <c r="M362" t="str">
        <f t="array" ref="M362">_xlfn.IFS(HR_Data[[#This Row],[Salary]]&lt;40000,"Low",HR_Data[[#This Row],[Salary]]&lt;70000,"Medium",HR_Data[[#This Row],[Salary]]&lt;100000,"High",TRUE(),"Very High")</f>
        <v>Very High</v>
      </c>
      <c r="N362" t="str">
        <f t="array" ref="N362">_xlfn.IFS(HR_Data[[#This Row],[Age]]&lt;25,"18-24",HR_Data[[#This Row],[Age]]&lt;35,"25-34",HR_Data[[#This Row],[Age]]&lt;45,"35-44",TRUE(),"45+")</f>
        <v>45+</v>
      </c>
      <c r="O362">
        <f>YEAR(HR_Data[[#This Row],[Joining Date]])</f>
        <v>2024</v>
      </c>
      <c r="P362" t="str">
        <f>TEXT(HR_Data[[#This Row],[Joining Date]],"mmmm")</f>
        <v>November</v>
      </c>
      <c r="Q362">
        <f t="array" ref="Q362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362">
        <f>HR_Data[[#This Row],[Salary]]*HR_Data[[#This Row],[Bonus %]]</f>
        <v>25935.200000000001</v>
      </c>
      <c r="S362">
        <f>HR_Data[[#This Row],[Salary]]+HR_Data[[#This Row],[Bonus Amount]]</f>
        <v>155611.20000000001</v>
      </c>
      <c r="T362" t="str">
        <f>IF(HR_Data[[#This Row],[Attrition]]="Yes","Inactive","Active")</f>
        <v>Active</v>
      </c>
      <c r="U362" t="str">
        <f t="array" ref="U362">_xlfn.IFS(HR_Data[[#This Row],[Salary]]&gt;=100000,"A",HR_Data[[#This Row],[Salary]]&gt;=70000,"B",HR_Data[[#This Row],[Salary]]&gt;=50000,"C",TRUE(),"D")</f>
        <v>A</v>
      </c>
      <c r="V362" t="str">
        <f t="array" ref="V362">_xlfn.IFS(HR_Data[[#This Row],[Experience]]&gt;=15,"Expert",HR_Data[[#This Row],[Experience]]&gt;=8,"Senior",HR_Data[[#This Row],[Experience]]&gt;=3,"Mid-Level",TRUE(),"Junior")</f>
        <v>Expert</v>
      </c>
    </row>
    <row r="363" spans="1:22" ht="14.25" customHeight="1" x14ac:dyDescent="0.3">
      <c r="A363" t="s">
        <v>914</v>
      </c>
      <c r="B363" t="s">
        <v>915</v>
      </c>
      <c r="C363" t="s">
        <v>70</v>
      </c>
      <c r="D363" t="s">
        <v>33</v>
      </c>
      <c r="E363">
        <v>60</v>
      </c>
      <c r="F363">
        <v>125720</v>
      </c>
      <c r="G363">
        <v>33</v>
      </c>
      <c r="H363" t="s">
        <v>916</v>
      </c>
      <c r="I363" t="s">
        <v>27</v>
      </c>
      <c r="J363" t="s">
        <v>36</v>
      </c>
      <c r="K363" t="s">
        <v>29</v>
      </c>
      <c r="L363" t="str">
        <f t="array" ref="L363">_xlfn.IFS(HR_Data[[#This Row],[Experience]]&lt;2,"0-2 Years",HR_Data[[#This Row],[Experience]]&lt;5,"2-5 Years",HR_Data[[#This Row],[Experience]]&lt;10,"5-10 Years",TRUE(),"10+ Years")</f>
        <v>10+ Years</v>
      </c>
      <c r="M363" t="str">
        <f t="array" ref="M363">_xlfn.IFS(HR_Data[[#This Row],[Salary]]&lt;40000,"Low",HR_Data[[#This Row],[Salary]]&lt;70000,"Medium",HR_Data[[#This Row],[Salary]]&lt;100000,"High",TRUE(),"Very High")</f>
        <v>Very High</v>
      </c>
      <c r="N363" t="str">
        <f t="array" ref="N363">_xlfn.IFS(HR_Data[[#This Row],[Age]]&lt;25,"18-24",HR_Data[[#This Row],[Age]]&lt;35,"25-34",HR_Data[[#This Row],[Age]]&lt;45,"35-44",TRUE(),"45+")</f>
        <v>45+</v>
      </c>
      <c r="O363">
        <f>YEAR(HR_Data[[#This Row],[Joining Date]])</f>
        <v>2024</v>
      </c>
      <c r="P363" t="str">
        <f>TEXT(HR_Data[[#This Row],[Joining Date]],"mmmm")</f>
        <v>September</v>
      </c>
      <c r="Q363">
        <f t="array" ref="Q363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63">
        <f>HR_Data[[#This Row],[Salary]]*HR_Data[[#This Row],[Bonus %]]</f>
        <v>12572</v>
      </c>
      <c r="S363">
        <f>HR_Data[[#This Row],[Salary]]+HR_Data[[#This Row],[Bonus Amount]]</f>
        <v>138292</v>
      </c>
      <c r="T363" t="str">
        <f>IF(HR_Data[[#This Row],[Attrition]]="Yes","Inactive","Active")</f>
        <v>Active</v>
      </c>
      <c r="U363" t="str">
        <f t="array" ref="U363">_xlfn.IFS(HR_Data[[#This Row],[Salary]]&gt;=100000,"A",HR_Data[[#This Row],[Salary]]&gt;=70000,"B",HR_Data[[#This Row],[Salary]]&gt;=50000,"C",TRUE(),"D")</f>
        <v>A</v>
      </c>
      <c r="V363" t="str">
        <f t="array" ref="V363">_xlfn.IFS(HR_Data[[#This Row],[Experience]]&gt;=15,"Expert",HR_Data[[#This Row],[Experience]]&gt;=8,"Senior",HR_Data[[#This Row],[Experience]]&gt;=3,"Mid-Level",TRUE(),"Junior")</f>
        <v>Expert</v>
      </c>
    </row>
    <row r="364" spans="1:22" ht="14.25" customHeight="1" x14ac:dyDescent="0.3">
      <c r="A364" t="s">
        <v>917</v>
      </c>
      <c r="B364" t="s">
        <v>287</v>
      </c>
      <c r="C364" t="s">
        <v>60</v>
      </c>
      <c r="D364" t="s">
        <v>25</v>
      </c>
      <c r="E364">
        <v>37</v>
      </c>
      <c r="F364">
        <v>64377</v>
      </c>
      <c r="G364">
        <v>10</v>
      </c>
      <c r="H364" t="s">
        <v>918</v>
      </c>
      <c r="I364" t="s">
        <v>80</v>
      </c>
      <c r="J364" t="s">
        <v>46</v>
      </c>
      <c r="K364" t="s">
        <v>37</v>
      </c>
      <c r="L364" t="str">
        <f t="array" ref="L364">_xlfn.IFS(HR_Data[[#This Row],[Experience]]&lt;2,"0-2 Years",HR_Data[[#This Row],[Experience]]&lt;5,"2-5 Years",HR_Data[[#This Row],[Experience]]&lt;10,"5-10 Years",TRUE(),"10+ Years")</f>
        <v>10+ Years</v>
      </c>
      <c r="M364" t="str">
        <f t="array" ref="M364">_xlfn.IFS(HR_Data[[#This Row],[Salary]]&lt;40000,"Low",HR_Data[[#This Row],[Salary]]&lt;70000,"Medium",HR_Data[[#This Row],[Salary]]&lt;100000,"High",TRUE(),"Very High")</f>
        <v>Medium</v>
      </c>
      <c r="N364" t="str">
        <f t="array" ref="N364">_xlfn.IFS(HR_Data[[#This Row],[Age]]&lt;25,"18-24",HR_Data[[#This Row],[Age]]&lt;35,"25-34",HR_Data[[#This Row],[Age]]&lt;45,"35-44",TRUE(),"45+")</f>
        <v>35-44</v>
      </c>
      <c r="O364">
        <f>YEAR(HR_Data[[#This Row],[Joining Date]])</f>
        <v>2026</v>
      </c>
      <c r="P364" t="str">
        <f>TEXT(HR_Data[[#This Row],[Joining Date]],"mmmm")</f>
        <v>February</v>
      </c>
      <c r="Q364">
        <f t="array" ref="Q364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364">
        <f>HR_Data[[#This Row],[Salary]]*HR_Data[[#This Row],[Bonus %]]</f>
        <v>3218.8500000000004</v>
      </c>
      <c r="S364">
        <f>HR_Data[[#This Row],[Salary]]+HR_Data[[#This Row],[Bonus Amount]]</f>
        <v>67595.850000000006</v>
      </c>
      <c r="T364" t="str">
        <f>IF(HR_Data[[#This Row],[Attrition]]="Yes","Inactive","Active")</f>
        <v>Inactive</v>
      </c>
      <c r="U364" t="str">
        <f t="array" ref="U364">_xlfn.IFS(HR_Data[[#This Row],[Salary]]&gt;=100000,"A",HR_Data[[#This Row],[Salary]]&gt;=70000,"B",HR_Data[[#This Row],[Salary]]&gt;=50000,"C",TRUE(),"D")</f>
        <v>C</v>
      </c>
      <c r="V364" t="str">
        <f t="array" ref="V364">_xlfn.IFS(HR_Data[[#This Row],[Experience]]&gt;=15,"Expert",HR_Data[[#This Row],[Experience]]&gt;=8,"Senior",HR_Data[[#This Row],[Experience]]&gt;=3,"Mid-Level",TRUE(),"Junior")</f>
        <v>Senior</v>
      </c>
    </row>
    <row r="365" spans="1:22" ht="14.25" customHeight="1" x14ac:dyDescent="0.3">
      <c r="A365" t="s">
        <v>919</v>
      </c>
      <c r="B365" t="s">
        <v>689</v>
      </c>
      <c r="C365" t="s">
        <v>24</v>
      </c>
      <c r="D365" t="s">
        <v>25</v>
      </c>
      <c r="E365">
        <v>30</v>
      </c>
      <c r="F365">
        <v>33897</v>
      </c>
      <c r="G365">
        <v>3</v>
      </c>
      <c r="H365" t="s">
        <v>920</v>
      </c>
      <c r="I365" t="s">
        <v>42</v>
      </c>
      <c r="J365" t="s">
        <v>36</v>
      </c>
      <c r="K365" t="s">
        <v>29</v>
      </c>
      <c r="L365" t="str">
        <f t="array" ref="L365">_xlfn.IFS(HR_Data[[#This Row],[Experience]]&lt;2,"0-2 Years",HR_Data[[#This Row],[Experience]]&lt;5,"2-5 Years",HR_Data[[#This Row],[Experience]]&lt;10,"5-10 Years",TRUE(),"10+ Years")</f>
        <v>2-5 Years</v>
      </c>
      <c r="M365" t="str">
        <f t="array" ref="M365">_xlfn.IFS(HR_Data[[#This Row],[Salary]]&lt;40000,"Low",HR_Data[[#This Row],[Salary]]&lt;70000,"Medium",HR_Data[[#This Row],[Salary]]&lt;100000,"High",TRUE(),"Very High")</f>
        <v>Low</v>
      </c>
      <c r="N365" t="str">
        <f t="array" ref="N365">_xlfn.IFS(HR_Data[[#This Row],[Age]]&lt;25,"18-24",HR_Data[[#This Row],[Age]]&lt;35,"25-34",HR_Data[[#This Row],[Age]]&lt;45,"35-44",TRUE(),"45+")</f>
        <v>25-34</v>
      </c>
      <c r="O365">
        <f>YEAR(HR_Data[[#This Row],[Joining Date]])</f>
        <v>2023</v>
      </c>
      <c r="P365" t="str">
        <f>TEXT(HR_Data[[#This Row],[Joining Date]],"mmmm")</f>
        <v>June</v>
      </c>
      <c r="Q365">
        <f t="array" ref="Q36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65">
        <f>HR_Data[[#This Row],[Salary]]*HR_Data[[#This Row],[Bonus %]]</f>
        <v>3389.7000000000003</v>
      </c>
      <c r="S365">
        <f>HR_Data[[#This Row],[Salary]]+HR_Data[[#This Row],[Bonus Amount]]</f>
        <v>37286.699999999997</v>
      </c>
      <c r="T365" t="str">
        <f>IF(HR_Data[[#This Row],[Attrition]]="Yes","Inactive","Active")</f>
        <v>Active</v>
      </c>
      <c r="U365" t="str">
        <f t="array" ref="U365">_xlfn.IFS(HR_Data[[#This Row],[Salary]]&gt;=100000,"A",HR_Data[[#This Row],[Salary]]&gt;=70000,"B",HR_Data[[#This Row],[Salary]]&gt;=50000,"C",TRUE(),"D")</f>
        <v>D</v>
      </c>
      <c r="V365" t="str">
        <f t="array" ref="V365">_xlfn.IFS(HR_Data[[#This Row],[Experience]]&gt;=15,"Expert",HR_Data[[#This Row],[Experience]]&gt;=8,"Senior",HR_Data[[#This Row],[Experience]]&gt;=3,"Mid-Level",TRUE(),"Junior")</f>
        <v>Mid-Level</v>
      </c>
    </row>
    <row r="366" spans="1:22" ht="14.25" customHeight="1" x14ac:dyDescent="0.3">
      <c r="A366" t="s">
        <v>921</v>
      </c>
      <c r="B366" t="s">
        <v>74</v>
      </c>
      <c r="C366" t="s">
        <v>32</v>
      </c>
      <c r="D366" t="s">
        <v>25</v>
      </c>
      <c r="E366">
        <v>57</v>
      </c>
      <c r="F366">
        <v>126556</v>
      </c>
      <c r="G366">
        <v>31</v>
      </c>
      <c r="H366" t="s">
        <v>922</v>
      </c>
      <c r="I366" t="s">
        <v>27</v>
      </c>
      <c r="J366" t="s">
        <v>90</v>
      </c>
      <c r="K366" t="s">
        <v>29</v>
      </c>
      <c r="L366" t="str">
        <f t="array" ref="L366">_xlfn.IFS(HR_Data[[#This Row],[Experience]]&lt;2,"0-2 Years",HR_Data[[#This Row],[Experience]]&lt;5,"2-5 Years",HR_Data[[#This Row],[Experience]]&lt;10,"5-10 Years",TRUE(),"10+ Years")</f>
        <v>10+ Years</v>
      </c>
      <c r="M366" t="str">
        <f t="array" ref="M366">_xlfn.IFS(HR_Data[[#This Row],[Salary]]&lt;40000,"Low",HR_Data[[#This Row],[Salary]]&lt;70000,"Medium",HR_Data[[#This Row],[Salary]]&lt;100000,"High",TRUE(),"Very High")</f>
        <v>Very High</v>
      </c>
      <c r="N366" t="str">
        <f t="array" ref="N366">_xlfn.IFS(HR_Data[[#This Row],[Age]]&lt;25,"18-24",HR_Data[[#This Row],[Age]]&lt;35,"25-34",HR_Data[[#This Row],[Age]]&lt;45,"35-44",TRUE(),"45+")</f>
        <v>45+</v>
      </c>
      <c r="O366">
        <f>YEAR(HR_Data[[#This Row],[Joining Date]])</f>
        <v>2017</v>
      </c>
      <c r="P366" t="str">
        <f>TEXT(HR_Data[[#This Row],[Joining Date]],"mmmm")</f>
        <v>August</v>
      </c>
      <c r="Q366">
        <f t="array" ref="Q366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366">
        <f>HR_Data[[#This Row],[Salary]]*HR_Data[[#This Row],[Bonus %]]</f>
        <v>0</v>
      </c>
      <c r="S366">
        <f>HR_Data[[#This Row],[Salary]]+HR_Data[[#This Row],[Bonus Amount]]</f>
        <v>126556</v>
      </c>
      <c r="T366" t="str">
        <f>IF(HR_Data[[#This Row],[Attrition]]="Yes","Inactive","Active")</f>
        <v>Active</v>
      </c>
      <c r="U366" t="str">
        <f t="array" ref="U366">_xlfn.IFS(HR_Data[[#This Row],[Salary]]&gt;=100000,"A",HR_Data[[#This Row],[Salary]]&gt;=70000,"B",HR_Data[[#This Row],[Salary]]&gt;=50000,"C",TRUE(),"D")</f>
        <v>A</v>
      </c>
      <c r="V366" t="str">
        <f t="array" ref="V366">_xlfn.IFS(HR_Data[[#This Row],[Experience]]&gt;=15,"Expert",HR_Data[[#This Row],[Experience]]&gt;=8,"Senior",HR_Data[[#This Row],[Experience]]&gt;=3,"Mid-Level",TRUE(),"Junior")</f>
        <v>Expert</v>
      </c>
    </row>
    <row r="367" spans="1:22" ht="14.25" customHeight="1" x14ac:dyDescent="0.3">
      <c r="A367" t="s">
        <v>923</v>
      </c>
      <c r="B367" t="s">
        <v>734</v>
      </c>
      <c r="C367" t="s">
        <v>75</v>
      </c>
      <c r="D367" t="s">
        <v>33</v>
      </c>
      <c r="E367">
        <v>60</v>
      </c>
      <c r="F367">
        <v>129005</v>
      </c>
      <c r="G367">
        <v>35</v>
      </c>
      <c r="H367" t="s">
        <v>924</v>
      </c>
      <c r="I367" t="s">
        <v>35</v>
      </c>
      <c r="J367" t="s">
        <v>46</v>
      </c>
      <c r="K367" t="s">
        <v>29</v>
      </c>
      <c r="L367" t="str">
        <f t="array" ref="L367">_xlfn.IFS(HR_Data[[#This Row],[Experience]]&lt;2,"0-2 Years",HR_Data[[#This Row],[Experience]]&lt;5,"2-5 Years",HR_Data[[#This Row],[Experience]]&lt;10,"5-10 Years",TRUE(),"10+ Years")</f>
        <v>10+ Years</v>
      </c>
      <c r="M367" t="str">
        <f t="array" ref="M367">_xlfn.IFS(HR_Data[[#This Row],[Salary]]&lt;40000,"Low",HR_Data[[#This Row],[Salary]]&lt;70000,"Medium",HR_Data[[#This Row],[Salary]]&lt;100000,"High",TRUE(),"Very High")</f>
        <v>Very High</v>
      </c>
      <c r="N367" t="str">
        <f t="array" ref="N367">_xlfn.IFS(HR_Data[[#This Row],[Age]]&lt;25,"18-24",HR_Data[[#This Row],[Age]]&lt;35,"25-34",HR_Data[[#This Row],[Age]]&lt;45,"35-44",TRUE(),"45+")</f>
        <v>45+</v>
      </c>
      <c r="O367">
        <f>YEAR(HR_Data[[#This Row],[Joining Date]])</f>
        <v>2017</v>
      </c>
      <c r="P367" t="str">
        <f>TEXT(HR_Data[[#This Row],[Joining Date]],"mmmm")</f>
        <v>January</v>
      </c>
      <c r="Q367">
        <f t="array" ref="Q367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367">
        <f>HR_Data[[#This Row],[Salary]]*HR_Data[[#This Row],[Bonus %]]</f>
        <v>6450.25</v>
      </c>
      <c r="S367">
        <f>HR_Data[[#This Row],[Salary]]+HR_Data[[#This Row],[Bonus Amount]]</f>
        <v>135455.25</v>
      </c>
      <c r="T367" t="str">
        <f>IF(HR_Data[[#This Row],[Attrition]]="Yes","Inactive","Active")</f>
        <v>Active</v>
      </c>
      <c r="U367" t="str">
        <f t="array" ref="U367">_xlfn.IFS(HR_Data[[#This Row],[Salary]]&gt;=100000,"A",HR_Data[[#This Row],[Salary]]&gt;=70000,"B",HR_Data[[#This Row],[Salary]]&gt;=50000,"C",TRUE(),"D")</f>
        <v>A</v>
      </c>
      <c r="V367" t="str">
        <f t="array" ref="V367">_xlfn.IFS(HR_Data[[#This Row],[Experience]]&gt;=15,"Expert",HR_Data[[#This Row],[Experience]]&gt;=8,"Senior",HR_Data[[#This Row],[Experience]]&gt;=3,"Mid-Level",TRUE(),"Junior")</f>
        <v>Expert</v>
      </c>
    </row>
    <row r="368" spans="1:22" ht="14.25" customHeight="1" x14ac:dyDescent="0.3">
      <c r="A368" t="s">
        <v>925</v>
      </c>
      <c r="B368" t="s">
        <v>724</v>
      </c>
      <c r="C368" t="s">
        <v>93</v>
      </c>
      <c r="D368" t="s">
        <v>25</v>
      </c>
      <c r="E368">
        <v>45</v>
      </c>
      <c r="F368">
        <v>85978</v>
      </c>
      <c r="G368">
        <v>21</v>
      </c>
      <c r="H368" t="s">
        <v>926</v>
      </c>
      <c r="I368" t="s">
        <v>35</v>
      </c>
      <c r="J368" t="s">
        <v>46</v>
      </c>
      <c r="K368" t="s">
        <v>29</v>
      </c>
      <c r="L368" t="str">
        <f t="array" ref="L368">_xlfn.IFS(HR_Data[[#This Row],[Experience]]&lt;2,"0-2 Years",HR_Data[[#This Row],[Experience]]&lt;5,"2-5 Years",HR_Data[[#This Row],[Experience]]&lt;10,"5-10 Years",TRUE(),"10+ Years")</f>
        <v>10+ Years</v>
      </c>
      <c r="M368" t="str">
        <f t="array" ref="M368">_xlfn.IFS(HR_Data[[#This Row],[Salary]]&lt;40000,"Low",HR_Data[[#This Row],[Salary]]&lt;70000,"Medium",HR_Data[[#This Row],[Salary]]&lt;100000,"High",TRUE(),"Very High")</f>
        <v>High</v>
      </c>
      <c r="N368" t="str">
        <f t="array" ref="N368">_xlfn.IFS(HR_Data[[#This Row],[Age]]&lt;25,"18-24",HR_Data[[#This Row],[Age]]&lt;35,"25-34",HR_Data[[#This Row],[Age]]&lt;45,"35-44",TRUE(),"45+")</f>
        <v>45+</v>
      </c>
      <c r="O368">
        <f>YEAR(HR_Data[[#This Row],[Joining Date]])</f>
        <v>2020</v>
      </c>
      <c r="P368" t="str">
        <f>TEXT(HR_Data[[#This Row],[Joining Date]],"mmmm")</f>
        <v>January</v>
      </c>
      <c r="Q368">
        <f t="array" ref="Q368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368">
        <f>HR_Data[[#This Row],[Salary]]*HR_Data[[#This Row],[Bonus %]]</f>
        <v>4298.9000000000005</v>
      </c>
      <c r="S368">
        <f>HR_Data[[#This Row],[Salary]]+HR_Data[[#This Row],[Bonus Amount]]</f>
        <v>90276.9</v>
      </c>
      <c r="T368" t="str">
        <f>IF(HR_Data[[#This Row],[Attrition]]="Yes","Inactive","Active")</f>
        <v>Active</v>
      </c>
      <c r="U368" t="str">
        <f t="array" ref="U368">_xlfn.IFS(HR_Data[[#This Row],[Salary]]&gt;=100000,"A",HR_Data[[#This Row],[Salary]]&gt;=70000,"B",HR_Data[[#This Row],[Salary]]&gt;=50000,"C",TRUE(),"D")</f>
        <v>B</v>
      </c>
      <c r="V368" t="str">
        <f t="array" ref="V368">_xlfn.IFS(HR_Data[[#This Row],[Experience]]&gt;=15,"Expert",HR_Data[[#This Row],[Experience]]&gt;=8,"Senior",HR_Data[[#This Row],[Experience]]&gt;=3,"Mid-Level",TRUE(),"Junior")</f>
        <v>Expert</v>
      </c>
    </row>
    <row r="369" spans="1:22" ht="14.25" customHeight="1" x14ac:dyDescent="0.3">
      <c r="A369" t="s">
        <v>927</v>
      </c>
      <c r="B369" t="s">
        <v>734</v>
      </c>
      <c r="C369" t="s">
        <v>75</v>
      </c>
      <c r="D369" t="s">
        <v>25</v>
      </c>
      <c r="E369">
        <v>27</v>
      </c>
      <c r="F369">
        <v>46666</v>
      </c>
      <c r="G369">
        <v>7</v>
      </c>
      <c r="H369" t="s">
        <v>928</v>
      </c>
      <c r="I369" t="s">
        <v>42</v>
      </c>
      <c r="J369" t="s">
        <v>28</v>
      </c>
      <c r="K369" t="s">
        <v>29</v>
      </c>
      <c r="L369" t="str">
        <f t="array" ref="L369">_xlfn.IFS(HR_Data[[#This Row],[Experience]]&lt;2,"0-2 Years",HR_Data[[#This Row],[Experience]]&lt;5,"2-5 Years",HR_Data[[#This Row],[Experience]]&lt;10,"5-10 Years",TRUE(),"10+ Years")</f>
        <v>5-10 Years</v>
      </c>
      <c r="M369" t="str">
        <f t="array" ref="M369">_xlfn.IFS(HR_Data[[#This Row],[Salary]]&lt;40000,"Low",HR_Data[[#This Row],[Salary]]&lt;70000,"Medium",HR_Data[[#This Row],[Salary]]&lt;100000,"High",TRUE(),"Very High")</f>
        <v>Medium</v>
      </c>
      <c r="N369" t="str">
        <f t="array" ref="N369">_xlfn.IFS(HR_Data[[#This Row],[Age]]&lt;25,"18-24",HR_Data[[#This Row],[Age]]&lt;35,"25-34",HR_Data[[#This Row],[Age]]&lt;45,"35-44",TRUE(),"45+")</f>
        <v>25-34</v>
      </c>
      <c r="O369">
        <f>YEAR(HR_Data[[#This Row],[Joining Date]])</f>
        <v>2015</v>
      </c>
      <c r="P369" t="str">
        <f>TEXT(HR_Data[[#This Row],[Joining Date]],"mmmm")</f>
        <v>January</v>
      </c>
      <c r="Q369">
        <f t="array" ref="Q36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69">
        <f>HR_Data[[#This Row],[Salary]]*HR_Data[[#This Row],[Bonus %]]</f>
        <v>6999.9</v>
      </c>
      <c r="S369">
        <f>HR_Data[[#This Row],[Salary]]+HR_Data[[#This Row],[Bonus Amount]]</f>
        <v>53665.9</v>
      </c>
      <c r="T369" t="str">
        <f>IF(HR_Data[[#This Row],[Attrition]]="Yes","Inactive","Active")</f>
        <v>Active</v>
      </c>
      <c r="U369" t="str">
        <f t="array" ref="U369">_xlfn.IFS(HR_Data[[#This Row],[Salary]]&gt;=100000,"A",HR_Data[[#This Row],[Salary]]&gt;=70000,"B",HR_Data[[#This Row],[Salary]]&gt;=50000,"C",TRUE(),"D")</f>
        <v>D</v>
      </c>
      <c r="V369" t="str">
        <f t="array" ref="V369">_xlfn.IFS(HR_Data[[#This Row],[Experience]]&gt;=15,"Expert",HR_Data[[#This Row],[Experience]]&gt;=8,"Senior",HR_Data[[#This Row],[Experience]]&gt;=3,"Mid-Level",TRUE(),"Junior")</f>
        <v>Mid-Level</v>
      </c>
    </row>
    <row r="370" spans="1:22" ht="14.25" customHeight="1" x14ac:dyDescent="0.3">
      <c r="A370" t="s">
        <v>929</v>
      </c>
      <c r="B370" t="s">
        <v>335</v>
      </c>
      <c r="C370" t="s">
        <v>134</v>
      </c>
      <c r="D370" t="s">
        <v>33</v>
      </c>
      <c r="E370">
        <v>23</v>
      </c>
      <c r="F370">
        <v>39535</v>
      </c>
      <c r="G370">
        <v>2</v>
      </c>
      <c r="H370" t="s">
        <v>930</v>
      </c>
      <c r="I370" t="s">
        <v>57</v>
      </c>
      <c r="J370" t="s">
        <v>46</v>
      </c>
      <c r="K370" t="s">
        <v>29</v>
      </c>
      <c r="L370" t="str">
        <f t="array" ref="L370">_xlfn.IFS(HR_Data[[#This Row],[Experience]]&lt;2,"0-2 Years",HR_Data[[#This Row],[Experience]]&lt;5,"2-5 Years",HR_Data[[#This Row],[Experience]]&lt;10,"5-10 Years",TRUE(),"10+ Years")</f>
        <v>2-5 Years</v>
      </c>
      <c r="M370" t="str">
        <f t="array" ref="M370">_xlfn.IFS(HR_Data[[#This Row],[Salary]]&lt;40000,"Low",HR_Data[[#This Row],[Salary]]&lt;70000,"Medium",HR_Data[[#This Row],[Salary]]&lt;100000,"High",TRUE(),"Very High")</f>
        <v>Low</v>
      </c>
      <c r="N370" t="str">
        <f t="array" ref="N370">_xlfn.IFS(HR_Data[[#This Row],[Age]]&lt;25,"18-24",HR_Data[[#This Row],[Age]]&lt;35,"25-34",HR_Data[[#This Row],[Age]]&lt;45,"35-44",TRUE(),"45+")</f>
        <v>18-24</v>
      </c>
      <c r="O370">
        <f>YEAR(HR_Data[[#This Row],[Joining Date]])</f>
        <v>2018</v>
      </c>
      <c r="P370" t="str">
        <f>TEXT(HR_Data[[#This Row],[Joining Date]],"mmmm")</f>
        <v>February</v>
      </c>
      <c r="Q370">
        <f t="array" ref="Q370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370">
        <f>HR_Data[[#This Row],[Salary]]*HR_Data[[#This Row],[Bonus %]]</f>
        <v>1976.75</v>
      </c>
      <c r="S370">
        <f>HR_Data[[#This Row],[Salary]]+HR_Data[[#This Row],[Bonus Amount]]</f>
        <v>41511.75</v>
      </c>
      <c r="T370" t="str">
        <f>IF(HR_Data[[#This Row],[Attrition]]="Yes","Inactive","Active")</f>
        <v>Active</v>
      </c>
      <c r="U370" t="str">
        <f t="array" ref="U370">_xlfn.IFS(HR_Data[[#This Row],[Salary]]&gt;=100000,"A",HR_Data[[#This Row],[Salary]]&gt;=70000,"B",HR_Data[[#This Row],[Salary]]&gt;=50000,"C",TRUE(),"D")</f>
        <v>D</v>
      </c>
      <c r="V370" t="str">
        <f t="array" ref="V370">_xlfn.IFS(HR_Data[[#This Row],[Experience]]&gt;=15,"Expert",HR_Data[[#This Row],[Experience]]&gt;=8,"Senior",HR_Data[[#This Row],[Experience]]&gt;=3,"Mid-Level",TRUE(),"Junior")</f>
        <v>Junior</v>
      </c>
    </row>
    <row r="371" spans="1:22" ht="14.25" customHeight="1" x14ac:dyDescent="0.3">
      <c r="A371" t="s">
        <v>931</v>
      </c>
      <c r="B371" t="s">
        <v>39</v>
      </c>
      <c r="C371" t="s">
        <v>32</v>
      </c>
      <c r="D371" t="s">
        <v>33</v>
      </c>
      <c r="E371">
        <v>32</v>
      </c>
      <c r="F371">
        <v>46464</v>
      </c>
      <c r="G371">
        <v>7</v>
      </c>
      <c r="H371" t="s">
        <v>932</v>
      </c>
      <c r="I371" t="s">
        <v>72</v>
      </c>
      <c r="J371" t="s">
        <v>46</v>
      </c>
      <c r="K371" t="s">
        <v>29</v>
      </c>
      <c r="L371" t="str">
        <f t="array" ref="L371">_xlfn.IFS(HR_Data[[#This Row],[Experience]]&lt;2,"0-2 Years",HR_Data[[#This Row],[Experience]]&lt;5,"2-5 Years",HR_Data[[#This Row],[Experience]]&lt;10,"5-10 Years",TRUE(),"10+ Years")</f>
        <v>5-10 Years</v>
      </c>
      <c r="M371" t="str">
        <f t="array" ref="M371">_xlfn.IFS(HR_Data[[#This Row],[Salary]]&lt;40000,"Low",HR_Data[[#This Row],[Salary]]&lt;70000,"Medium",HR_Data[[#This Row],[Salary]]&lt;100000,"High",TRUE(),"Very High")</f>
        <v>Medium</v>
      </c>
      <c r="N371" t="str">
        <f t="array" ref="N371">_xlfn.IFS(HR_Data[[#This Row],[Age]]&lt;25,"18-24",HR_Data[[#This Row],[Age]]&lt;35,"25-34",HR_Data[[#This Row],[Age]]&lt;45,"35-44",TRUE(),"45+")</f>
        <v>25-34</v>
      </c>
      <c r="O371">
        <f>YEAR(HR_Data[[#This Row],[Joining Date]])</f>
        <v>2025</v>
      </c>
      <c r="P371" t="str">
        <f>TEXT(HR_Data[[#This Row],[Joining Date]],"mmmm")</f>
        <v>April</v>
      </c>
      <c r="Q371">
        <f t="array" ref="Q371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371">
        <f>HR_Data[[#This Row],[Salary]]*HR_Data[[#This Row],[Bonus %]]</f>
        <v>2323.2000000000003</v>
      </c>
      <c r="S371">
        <f>HR_Data[[#This Row],[Salary]]+HR_Data[[#This Row],[Bonus Amount]]</f>
        <v>48787.199999999997</v>
      </c>
      <c r="T371" t="str">
        <f>IF(HR_Data[[#This Row],[Attrition]]="Yes","Inactive","Active")</f>
        <v>Active</v>
      </c>
      <c r="U371" t="str">
        <f t="array" ref="U371">_xlfn.IFS(HR_Data[[#This Row],[Salary]]&gt;=100000,"A",HR_Data[[#This Row],[Salary]]&gt;=70000,"B",HR_Data[[#This Row],[Salary]]&gt;=50000,"C",TRUE(),"D")</f>
        <v>D</v>
      </c>
      <c r="V371" t="str">
        <f t="array" ref="V371">_xlfn.IFS(HR_Data[[#This Row],[Experience]]&gt;=15,"Expert",HR_Data[[#This Row],[Experience]]&gt;=8,"Senior",HR_Data[[#This Row],[Experience]]&gt;=3,"Mid-Level",TRUE(),"Junior")</f>
        <v>Mid-Level</v>
      </c>
    </row>
    <row r="372" spans="1:22" ht="14.25" customHeight="1" x14ac:dyDescent="0.3">
      <c r="A372" t="s">
        <v>933</v>
      </c>
      <c r="B372" t="s">
        <v>82</v>
      </c>
      <c r="C372" t="s">
        <v>75</v>
      </c>
      <c r="D372" t="s">
        <v>25</v>
      </c>
      <c r="E372">
        <v>33</v>
      </c>
      <c r="F372">
        <v>54387</v>
      </c>
      <c r="G372">
        <v>7</v>
      </c>
      <c r="H372" t="s">
        <v>934</v>
      </c>
      <c r="I372" t="s">
        <v>72</v>
      </c>
      <c r="J372" t="s">
        <v>63</v>
      </c>
      <c r="K372" t="s">
        <v>29</v>
      </c>
      <c r="L372" t="str">
        <f t="array" ref="L372">_xlfn.IFS(HR_Data[[#This Row],[Experience]]&lt;2,"0-2 Years",HR_Data[[#This Row],[Experience]]&lt;5,"2-5 Years",HR_Data[[#This Row],[Experience]]&lt;10,"5-10 Years",TRUE(),"10+ Years")</f>
        <v>5-10 Years</v>
      </c>
      <c r="M372" t="str">
        <f t="array" ref="M372">_xlfn.IFS(HR_Data[[#This Row],[Salary]]&lt;40000,"Low",HR_Data[[#This Row],[Salary]]&lt;70000,"Medium",HR_Data[[#This Row],[Salary]]&lt;100000,"High",TRUE(),"Very High")</f>
        <v>Medium</v>
      </c>
      <c r="N372" t="str">
        <f t="array" ref="N372">_xlfn.IFS(HR_Data[[#This Row],[Age]]&lt;25,"18-24",HR_Data[[#This Row],[Age]]&lt;35,"25-34",HR_Data[[#This Row],[Age]]&lt;45,"35-44",TRUE(),"45+")</f>
        <v>25-34</v>
      </c>
      <c r="O372">
        <f>YEAR(HR_Data[[#This Row],[Joining Date]])</f>
        <v>2026</v>
      </c>
      <c r="P372" t="str">
        <f>TEXT(HR_Data[[#This Row],[Joining Date]],"mmmm")</f>
        <v>April</v>
      </c>
      <c r="Q372">
        <f t="array" ref="Q372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372">
        <f>HR_Data[[#This Row],[Salary]]*HR_Data[[#This Row],[Bonus %]]</f>
        <v>10877.400000000001</v>
      </c>
      <c r="S372">
        <f>HR_Data[[#This Row],[Salary]]+HR_Data[[#This Row],[Bonus Amount]]</f>
        <v>65264.4</v>
      </c>
      <c r="T372" t="str">
        <f>IF(HR_Data[[#This Row],[Attrition]]="Yes","Inactive","Active")</f>
        <v>Active</v>
      </c>
      <c r="U372" t="str">
        <f t="array" ref="U372">_xlfn.IFS(HR_Data[[#This Row],[Salary]]&gt;=100000,"A",HR_Data[[#This Row],[Salary]]&gt;=70000,"B",HR_Data[[#This Row],[Salary]]&gt;=50000,"C",TRUE(),"D")</f>
        <v>C</v>
      </c>
      <c r="V372" t="str">
        <f t="array" ref="V372">_xlfn.IFS(HR_Data[[#This Row],[Experience]]&gt;=15,"Expert",HR_Data[[#This Row],[Experience]]&gt;=8,"Senior",HR_Data[[#This Row],[Experience]]&gt;=3,"Mid-Level",TRUE(),"Junior")</f>
        <v>Mid-Level</v>
      </c>
    </row>
    <row r="373" spans="1:22" ht="14.25" customHeight="1" x14ac:dyDescent="0.3">
      <c r="A373" t="s">
        <v>935</v>
      </c>
      <c r="B373" t="s">
        <v>503</v>
      </c>
      <c r="C373" t="s">
        <v>24</v>
      </c>
      <c r="D373" t="s">
        <v>25</v>
      </c>
      <c r="E373">
        <v>57</v>
      </c>
      <c r="F373">
        <v>118806</v>
      </c>
      <c r="G373">
        <v>30</v>
      </c>
      <c r="H373" t="s">
        <v>936</v>
      </c>
      <c r="I373" t="s">
        <v>45</v>
      </c>
      <c r="J373" t="s">
        <v>36</v>
      </c>
      <c r="K373" t="s">
        <v>29</v>
      </c>
      <c r="L373" t="str">
        <f t="array" ref="L373">_xlfn.IFS(HR_Data[[#This Row],[Experience]]&lt;2,"0-2 Years",HR_Data[[#This Row],[Experience]]&lt;5,"2-5 Years",HR_Data[[#This Row],[Experience]]&lt;10,"5-10 Years",TRUE(),"10+ Years")</f>
        <v>10+ Years</v>
      </c>
      <c r="M373" t="str">
        <f t="array" ref="M373">_xlfn.IFS(HR_Data[[#This Row],[Salary]]&lt;40000,"Low",HR_Data[[#This Row],[Salary]]&lt;70000,"Medium",HR_Data[[#This Row],[Salary]]&lt;100000,"High",TRUE(),"Very High")</f>
        <v>Very High</v>
      </c>
      <c r="N373" t="str">
        <f t="array" ref="N373">_xlfn.IFS(HR_Data[[#This Row],[Age]]&lt;25,"18-24",HR_Data[[#This Row],[Age]]&lt;35,"25-34",HR_Data[[#This Row],[Age]]&lt;45,"35-44",TRUE(),"45+")</f>
        <v>45+</v>
      </c>
      <c r="O373">
        <f>YEAR(HR_Data[[#This Row],[Joining Date]])</f>
        <v>2018</v>
      </c>
      <c r="P373" t="str">
        <f>TEXT(HR_Data[[#This Row],[Joining Date]],"mmmm")</f>
        <v>November</v>
      </c>
      <c r="Q373">
        <f t="array" ref="Q373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73">
        <f>HR_Data[[#This Row],[Salary]]*HR_Data[[#This Row],[Bonus %]]</f>
        <v>11880.6</v>
      </c>
      <c r="S373">
        <f>HR_Data[[#This Row],[Salary]]+HR_Data[[#This Row],[Bonus Amount]]</f>
        <v>130686.6</v>
      </c>
      <c r="T373" t="str">
        <f>IF(HR_Data[[#This Row],[Attrition]]="Yes","Inactive","Active")</f>
        <v>Active</v>
      </c>
      <c r="U373" t="str">
        <f t="array" ref="U373">_xlfn.IFS(HR_Data[[#This Row],[Salary]]&gt;=100000,"A",HR_Data[[#This Row],[Salary]]&gt;=70000,"B",HR_Data[[#This Row],[Salary]]&gt;=50000,"C",TRUE(),"D")</f>
        <v>A</v>
      </c>
      <c r="V373" t="str">
        <f t="array" ref="V373">_xlfn.IFS(HR_Data[[#This Row],[Experience]]&gt;=15,"Expert",HR_Data[[#This Row],[Experience]]&gt;=8,"Senior",HR_Data[[#This Row],[Experience]]&gt;=3,"Mid-Level",TRUE(),"Junior")</f>
        <v>Expert</v>
      </c>
    </row>
    <row r="374" spans="1:22" ht="14.25" customHeight="1" x14ac:dyDescent="0.3">
      <c r="A374" t="s">
        <v>937</v>
      </c>
      <c r="B374" t="s">
        <v>242</v>
      </c>
      <c r="C374" t="s">
        <v>70</v>
      </c>
      <c r="D374" t="s">
        <v>33</v>
      </c>
      <c r="E374">
        <v>49</v>
      </c>
      <c r="F374">
        <v>113755</v>
      </c>
      <c r="G374">
        <v>24</v>
      </c>
      <c r="H374" t="s">
        <v>938</v>
      </c>
      <c r="I374" t="s">
        <v>62</v>
      </c>
      <c r="J374" t="s">
        <v>28</v>
      </c>
      <c r="K374" t="s">
        <v>29</v>
      </c>
      <c r="L374" t="str">
        <f t="array" ref="L374">_xlfn.IFS(HR_Data[[#This Row],[Experience]]&lt;2,"0-2 Years",HR_Data[[#This Row],[Experience]]&lt;5,"2-5 Years",HR_Data[[#This Row],[Experience]]&lt;10,"5-10 Years",TRUE(),"10+ Years")</f>
        <v>10+ Years</v>
      </c>
      <c r="M374" t="str">
        <f t="array" ref="M374">_xlfn.IFS(HR_Data[[#This Row],[Salary]]&lt;40000,"Low",HR_Data[[#This Row],[Salary]]&lt;70000,"Medium",HR_Data[[#This Row],[Salary]]&lt;100000,"High",TRUE(),"Very High")</f>
        <v>Very High</v>
      </c>
      <c r="N374" t="str">
        <f t="array" ref="N374">_xlfn.IFS(HR_Data[[#This Row],[Age]]&lt;25,"18-24",HR_Data[[#This Row],[Age]]&lt;35,"25-34",HR_Data[[#This Row],[Age]]&lt;45,"35-44",TRUE(),"45+")</f>
        <v>45+</v>
      </c>
      <c r="O374">
        <f>YEAR(HR_Data[[#This Row],[Joining Date]])</f>
        <v>2020</v>
      </c>
      <c r="P374" t="str">
        <f>TEXT(HR_Data[[#This Row],[Joining Date]],"mmmm")</f>
        <v>July</v>
      </c>
      <c r="Q374">
        <f t="array" ref="Q374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74">
        <f>HR_Data[[#This Row],[Salary]]*HR_Data[[#This Row],[Bonus %]]</f>
        <v>17063.25</v>
      </c>
      <c r="S374">
        <f>HR_Data[[#This Row],[Salary]]+HR_Data[[#This Row],[Bonus Amount]]</f>
        <v>130818.25</v>
      </c>
      <c r="T374" t="str">
        <f>IF(HR_Data[[#This Row],[Attrition]]="Yes","Inactive","Active")</f>
        <v>Active</v>
      </c>
      <c r="U374" t="str">
        <f t="array" ref="U374">_xlfn.IFS(HR_Data[[#This Row],[Salary]]&gt;=100000,"A",HR_Data[[#This Row],[Salary]]&gt;=70000,"B",HR_Data[[#This Row],[Salary]]&gt;=50000,"C",TRUE(),"D")</f>
        <v>A</v>
      </c>
      <c r="V374" t="str">
        <f t="array" ref="V374">_xlfn.IFS(HR_Data[[#This Row],[Experience]]&gt;=15,"Expert",HR_Data[[#This Row],[Experience]]&gt;=8,"Senior",HR_Data[[#This Row],[Experience]]&gt;=3,"Mid-Level",TRUE(),"Junior")</f>
        <v>Expert</v>
      </c>
    </row>
    <row r="375" spans="1:22" ht="14.25" customHeight="1" x14ac:dyDescent="0.3">
      <c r="A375" t="s">
        <v>939</v>
      </c>
      <c r="B375" t="s">
        <v>940</v>
      </c>
      <c r="C375" t="s">
        <v>60</v>
      </c>
      <c r="D375" t="s">
        <v>25</v>
      </c>
      <c r="E375">
        <v>55</v>
      </c>
      <c r="F375">
        <v>137350</v>
      </c>
      <c r="G375">
        <v>32</v>
      </c>
      <c r="H375" t="s">
        <v>941</v>
      </c>
      <c r="I375" t="s">
        <v>67</v>
      </c>
      <c r="J375" t="s">
        <v>36</v>
      </c>
      <c r="K375" t="s">
        <v>29</v>
      </c>
      <c r="L375" t="str">
        <f t="array" ref="L375">_xlfn.IFS(HR_Data[[#This Row],[Experience]]&lt;2,"0-2 Years",HR_Data[[#This Row],[Experience]]&lt;5,"2-5 Years",HR_Data[[#This Row],[Experience]]&lt;10,"5-10 Years",TRUE(),"10+ Years")</f>
        <v>10+ Years</v>
      </c>
      <c r="M375" t="str">
        <f t="array" ref="M375">_xlfn.IFS(HR_Data[[#This Row],[Salary]]&lt;40000,"Low",HR_Data[[#This Row],[Salary]]&lt;70000,"Medium",HR_Data[[#This Row],[Salary]]&lt;100000,"High",TRUE(),"Very High")</f>
        <v>Very High</v>
      </c>
      <c r="N375" t="str">
        <f t="array" ref="N375">_xlfn.IFS(HR_Data[[#This Row],[Age]]&lt;25,"18-24",HR_Data[[#This Row],[Age]]&lt;35,"25-34",HR_Data[[#This Row],[Age]]&lt;45,"35-44",TRUE(),"45+")</f>
        <v>45+</v>
      </c>
      <c r="O375">
        <f>YEAR(HR_Data[[#This Row],[Joining Date]])</f>
        <v>2022</v>
      </c>
      <c r="P375" t="str">
        <f>TEXT(HR_Data[[#This Row],[Joining Date]],"mmmm")</f>
        <v>January</v>
      </c>
      <c r="Q375">
        <f t="array" ref="Q37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75">
        <f>HR_Data[[#This Row],[Salary]]*HR_Data[[#This Row],[Bonus %]]</f>
        <v>13735</v>
      </c>
      <c r="S375">
        <f>HR_Data[[#This Row],[Salary]]+HR_Data[[#This Row],[Bonus Amount]]</f>
        <v>151085</v>
      </c>
      <c r="T375" t="str">
        <f>IF(HR_Data[[#This Row],[Attrition]]="Yes","Inactive","Active")</f>
        <v>Active</v>
      </c>
      <c r="U375" t="str">
        <f t="array" ref="U375">_xlfn.IFS(HR_Data[[#This Row],[Salary]]&gt;=100000,"A",HR_Data[[#This Row],[Salary]]&gt;=70000,"B",HR_Data[[#This Row],[Salary]]&gt;=50000,"C",TRUE(),"D")</f>
        <v>A</v>
      </c>
      <c r="V375" t="str">
        <f t="array" ref="V375">_xlfn.IFS(HR_Data[[#This Row],[Experience]]&gt;=15,"Expert",HR_Data[[#This Row],[Experience]]&gt;=8,"Senior",HR_Data[[#This Row],[Experience]]&gt;=3,"Mid-Level",TRUE(),"Junior")</f>
        <v>Expert</v>
      </c>
    </row>
    <row r="376" spans="1:22" ht="14.25" customHeight="1" x14ac:dyDescent="0.3">
      <c r="A376" t="s">
        <v>942</v>
      </c>
      <c r="B376" t="s">
        <v>943</v>
      </c>
      <c r="C376" t="s">
        <v>75</v>
      </c>
      <c r="D376" t="s">
        <v>25</v>
      </c>
      <c r="E376">
        <v>38</v>
      </c>
      <c r="F376">
        <v>48426</v>
      </c>
      <c r="G376">
        <v>8</v>
      </c>
      <c r="H376" t="s">
        <v>944</v>
      </c>
      <c r="I376" t="s">
        <v>72</v>
      </c>
      <c r="J376" t="s">
        <v>36</v>
      </c>
      <c r="K376" t="s">
        <v>29</v>
      </c>
      <c r="L376" t="str">
        <f t="array" ref="L376">_xlfn.IFS(HR_Data[[#This Row],[Experience]]&lt;2,"0-2 Years",HR_Data[[#This Row],[Experience]]&lt;5,"2-5 Years",HR_Data[[#This Row],[Experience]]&lt;10,"5-10 Years",TRUE(),"10+ Years")</f>
        <v>5-10 Years</v>
      </c>
      <c r="M376" t="str">
        <f t="array" ref="M376">_xlfn.IFS(HR_Data[[#This Row],[Salary]]&lt;40000,"Low",HR_Data[[#This Row],[Salary]]&lt;70000,"Medium",HR_Data[[#This Row],[Salary]]&lt;100000,"High",TRUE(),"Very High")</f>
        <v>Medium</v>
      </c>
      <c r="N376" t="str">
        <f t="array" ref="N376">_xlfn.IFS(HR_Data[[#This Row],[Age]]&lt;25,"18-24",HR_Data[[#This Row],[Age]]&lt;35,"25-34",HR_Data[[#This Row],[Age]]&lt;45,"35-44",TRUE(),"45+")</f>
        <v>35-44</v>
      </c>
      <c r="O376">
        <f>YEAR(HR_Data[[#This Row],[Joining Date]])</f>
        <v>2026</v>
      </c>
      <c r="P376" t="str">
        <f>TEXT(HR_Data[[#This Row],[Joining Date]],"mmmm")</f>
        <v>April</v>
      </c>
      <c r="Q376">
        <f t="array" ref="Q37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76">
        <f>HR_Data[[#This Row],[Salary]]*HR_Data[[#This Row],[Bonus %]]</f>
        <v>4842.6000000000004</v>
      </c>
      <c r="S376">
        <f>HR_Data[[#This Row],[Salary]]+HR_Data[[#This Row],[Bonus Amount]]</f>
        <v>53268.6</v>
      </c>
      <c r="T376" t="str">
        <f>IF(HR_Data[[#This Row],[Attrition]]="Yes","Inactive","Active")</f>
        <v>Active</v>
      </c>
      <c r="U376" t="str">
        <f t="array" ref="U376">_xlfn.IFS(HR_Data[[#This Row],[Salary]]&gt;=100000,"A",HR_Data[[#This Row],[Salary]]&gt;=70000,"B",HR_Data[[#This Row],[Salary]]&gt;=50000,"C",TRUE(),"D")</f>
        <v>D</v>
      </c>
      <c r="V376" t="str">
        <f t="array" ref="V376">_xlfn.IFS(HR_Data[[#This Row],[Experience]]&gt;=15,"Expert",HR_Data[[#This Row],[Experience]]&gt;=8,"Senior",HR_Data[[#This Row],[Experience]]&gt;=3,"Mid-Level",TRUE(),"Junior")</f>
        <v>Senior</v>
      </c>
    </row>
    <row r="377" spans="1:22" ht="14.25" customHeight="1" x14ac:dyDescent="0.3">
      <c r="A377" t="s">
        <v>945</v>
      </c>
      <c r="B377" t="s">
        <v>946</v>
      </c>
      <c r="C377" t="s">
        <v>40</v>
      </c>
      <c r="D377" t="s">
        <v>33</v>
      </c>
      <c r="E377">
        <v>55</v>
      </c>
      <c r="F377">
        <v>117694</v>
      </c>
      <c r="G377">
        <v>26</v>
      </c>
      <c r="H377" t="s">
        <v>947</v>
      </c>
      <c r="I377" t="s">
        <v>62</v>
      </c>
      <c r="J377" t="s">
        <v>46</v>
      </c>
      <c r="K377" t="s">
        <v>29</v>
      </c>
      <c r="L377" t="str">
        <f t="array" ref="L377">_xlfn.IFS(HR_Data[[#This Row],[Experience]]&lt;2,"0-2 Years",HR_Data[[#This Row],[Experience]]&lt;5,"2-5 Years",HR_Data[[#This Row],[Experience]]&lt;10,"5-10 Years",TRUE(),"10+ Years")</f>
        <v>10+ Years</v>
      </c>
      <c r="M377" t="str">
        <f t="array" ref="M377">_xlfn.IFS(HR_Data[[#This Row],[Salary]]&lt;40000,"Low",HR_Data[[#This Row],[Salary]]&lt;70000,"Medium",HR_Data[[#This Row],[Salary]]&lt;100000,"High",TRUE(),"Very High")</f>
        <v>Very High</v>
      </c>
      <c r="N377" t="str">
        <f t="array" ref="N377">_xlfn.IFS(HR_Data[[#This Row],[Age]]&lt;25,"18-24",HR_Data[[#This Row],[Age]]&lt;35,"25-34",HR_Data[[#This Row],[Age]]&lt;45,"35-44",TRUE(),"45+")</f>
        <v>45+</v>
      </c>
      <c r="O377">
        <f>YEAR(HR_Data[[#This Row],[Joining Date]])</f>
        <v>2021</v>
      </c>
      <c r="P377" t="str">
        <f>TEXT(HR_Data[[#This Row],[Joining Date]],"mmmm")</f>
        <v>May</v>
      </c>
      <c r="Q377">
        <f t="array" ref="Q377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377">
        <f>HR_Data[[#This Row],[Salary]]*HR_Data[[#This Row],[Bonus %]]</f>
        <v>5884.7000000000007</v>
      </c>
      <c r="S377">
        <f>HR_Data[[#This Row],[Salary]]+HR_Data[[#This Row],[Bonus Amount]]</f>
        <v>123578.7</v>
      </c>
      <c r="T377" t="str">
        <f>IF(HR_Data[[#This Row],[Attrition]]="Yes","Inactive","Active")</f>
        <v>Active</v>
      </c>
      <c r="U377" t="str">
        <f t="array" ref="U377">_xlfn.IFS(HR_Data[[#This Row],[Salary]]&gt;=100000,"A",HR_Data[[#This Row],[Salary]]&gt;=70000,"B",HR_Data[[#This Row],[Salary]]&gt;=50000,"C",TRUE(),"D")</f>
        <v>A</v>
      </c>
      <c r="V377" t="str">
        <f t="array" ref="V377">_xlfn.IFS(HR_Data[[#This Row],[Experience]]&gt;=15,"Expert",HR_Data[[#This Row],[Experience]]&gt;=8,"Senior",HR_Data[[#This Row],[Experience]]&gt;=3,"Mid-Level",TRUE(),"Junior")</f>
        <v>Expert</v>
      </c>
    </row>
    <row r="378" spans="1:22" ht="14.25" customHeight="1" x14ac:dyDescent="0.3">
      <c r="A378" t="s">
        <v>948</v>
      </c>
      <c r="B378" t="s">
        <v>234</v>
      </c>
      <c r="C378" t="s">
        <v>70</v>
      </c>
      <c r="D378" t="s">
        <v>33</v>
      </c>
      <c r="E378">
        <v>28</v>
      </c>
      <c r="F378">
        <v>47654</v>
      </c>
      <c r="G378">
        <v>9</v>
      </c>
      <c r="H378" t="s">
        <v>949</v>
      </c>
      <c r="I378" t="s">
        <v>80</v>
      </c>
      <c r="J378" t="s">
        <v>28</v>
      </c>
      <c r="K378" t="s">
        <v>29</v>
      </c>
      <c r="L378" t="str">
        <f t="array" ref="L378">_xlfn.IFS(HR_Data[[#This Row],[Experience]]&lt;2,"0-2 Years",HR_Data[[#This Row],[Experience]]&lt;5,"2-5 Years",HR_Data[[#This Row],[Experience]]&lt;10,"5-10 Years",TRUE(),"10+ Years")</f>
        <v>5-10 Years</v>
      </c>
      <c r="M378" t="str">
        <f t="array" ref="M378">_xlfn.IFS(HR_Data[[#This Row],[Salary]]&lt;40000,"Low",HR_Data[[#This Row],[Salary]]&lt;70000,"Medium",HR_Data[[#This Row],[Salary]]&lt;100000,"High",TRUE(),"Very High")</f>
        <v>Medium</v>
      </c>
      <c r="N378" t="str">
        <f t="array" ref="N378">_xlfn.IFS(HR_Data[[#This Row],[Age]]&lt;25,"18-24",HR_Data[[#This Row],[Age]]&lt;35,"25-34",HR_Data[[#This Row],[Age]]&lt;45,"35-44",TRUE(),"45+")</f>
        <v>25-34</v>
      </c>
      <c r="O378">
        <f>YEAR(HR_Data[[#This Row],[Joining Date]])</f>
        <v>2019</v>
      </c>
      <c r="P378" t="str">
        <f>TEXT(HR_Data[[#This Row],[Joining Date]],"mmmm")</f>
        <v>June</v>
      </c>
      <c r="Q378">
        <f t="array" ref="Q378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78">
        <f>HR_Data[[#This Row],[Salary]]*HR_Data[[#This Row],[Bonus %]]</f>
        <v>7148.0999999999995</v>
      </c>
      <c r="S378">
        <f>HR_Data[[#This Row],[Salary]]+HR_Data[[#This Row],[Bonus Amount]]</f>
        <v>54802.1</v>
      </c>
      <c r="T378" t="str">
        <f>IF(HR_Data[[#This Row],[Attrition]]="Yes","Inactive","Active")</f>
        <v>Active</v>
      </c>
      <c r="U378" t="str">
        <f t="array" ref="U378">_xlfn.IFS(HR_Data[[#This Row],[Salary]]&gt;=100000,"A",HR_Data[[#This Row],[Salary]]&gt;=70000,"B",HR_Data[[#This Row],[Salary]]&gt;=50000,"C",TRUE(),"D")</f>
        <v>D</v>
      </c>
      <c r="V378" t="str">
        <f t="array" ref="V378">_xlfn.IFS(HR_Data[[#This Row],[Experience]]&gt;=15,"Expert",HR_Data[[#This Row],[Experience]]&gt;=8,"Senior",HR_Data[[#This Row],[Experience]]&gt;=3,"Mid-Level",TRUE(),"Junior")</f>
        <v>Senior</v>
      </c>
    </row>
    <row r="379" spans="1:22" ht="14.25" customHeight="1" x14ac:dyDescent="0.3">
      <c r="A379" t="s">
        <v>950</v>
      </c>
      <c r="B379" t="s">
        <v>54</v>
      </c>
      <c r="C379" t="s">
        <v>75</v>
      </c>
      <c r="D379" t="s">
        <v>25</v>
      </c>
      <c r="E379">
        <v>40</v>
      </c>
      <c r="F379">
        <v>59658</v>
      </c>
      <c r="G379">
        <v>13</v>
      </c>
      <c r="H379" t="s">
        <v>951</v>
      </c>
      <c r="I379" t="s">
        <v>57</v>
      </c>
      <c r="J379" t="s">
        <v>46</v>
      </c>
      <c r="K379" t="s">
        <v>37</v>
      </c>
      <c r="L379" t="str">
        <f t="array" ref="L379">_xlfn.IFS(HR_Data[[#This Row],[Experience]]&lt;2,"0-2 Years",HR_Data[[#This Row],[Experience]]&lt;5,"2-5 Years",HR_Data[[#This Row],[Experience]]&lt;10,"5-10 Years",TRUE(),"10+ Years")</f>
        <v>10+ Years</v>
      </c>
      <c r="M379" t="str">
        <f t="array" ref="M379">_xlfn.IFS(HR_Data[[#This Row],[Salary]]&lt;40000,"Low",HR_Data[[#This Row],[Salary]]&lt;70000,"Medium",HR_Data[[#This Row],[Salary]]&lt;100000,"High",TRUE(),"Very High")</f>
        <v>Medium</v>
      </c>
      <c r="N379" t="str">
        <f t="array" ref="N379">_xlfn.IFS(HR_Data[[#This Row],[Age]]&lt;25,"18-24",HR_Data[[#This Row],[Age]]&lt;35,"25-34",HR_Data[[#This Row],[Age]]&lt;45,"35-44",TRUE(),"45+")</f>
        <v>35-44</v>
      </c>
      <c r="O379">
        <f>YEAR(HR_Data[[#This Row],[Joining Date]])</f>
        <v>2023</v>
      </c>
      <c r="P379" t="str">
        <f>TEXT(HR_Data[[#This Row],[Joining Date]],"mmmm")</f>
        <v>January</v>
      </c>
      <c r="Q379">
        <f t="array" ref="Q379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379">
        <f>HR_Data[[#This Row],[Salary]]*HR_Data[[#This Row],[Bonus %]]</f>
        <v>2982.9</v>
      </c>
      <c r="S379">
        <f>HR_Data[[#This Row],[Salary]]+HR_Data[[#This Row],[Bonus Amount]]</f>
        <v>62640.9</v>
      </c>
      <c r="T379" t="str">
        <f>IF(HR_Data[[#This Row],[Attrition]]="Yes","Inactive","Active")</f>
        <v>Inactive</v>
      </c>
      <c r="U379" t="str">
        <f t="array" ref="U379">_xlfn.IFS(HR_Data[[#This Row],[Salary]]&gt;=100000,"A",HR_Data[[#This Row],[Salary]]&gt;=70000,"B",HR_Data[[#This Row],[Salary]]&gt;=50000,"C",TRUE(),"D")</f>
        <v>C</v>
      </c>
      <c r="V379" t="str">
        <f t="array" ref="V379">_xlfn.IFS(HR_Data[[#This Row],[Experience]]&gt;=15,"Expert",HR_Data[[#This Row],[Experience]]&gt;=8,"Senior",HR_Data[[#This Row],[Experience]]&gt;=3,"Mid-Level",TRUE(),"Junior")</f>
        <v>Senior</v>
      </c>
    </row>
    <row r="380" spans="1:22" ht="14.25" customHeight="1" x14ac:dyDescent="0.3">
      <c r="A380" t="s">
        <v>952</v>
      </c>
      <c r="B380" t="s">
        <v>953</v>
      </c>
      <c r="C380" t="s">
        <v>112</v>
      </c>
      <c r="D380" t="s">
        <v>33</v>
      </c>
      <c r="E380">
        <v>60</v>
      </c>
      <c r="F380">
        <v>128825</v>
      </c>
      <c r="G380">
        <v>32</v>
      </c>
      <c r="H380" t="s">
        <v>954</v>
      </c>
      <c r="I380" t="s">
        <v>80</v>
      </c>
      <c r="J380" t="s">
        <v>46</v>
      </c>
      <c r="K380" t="s">
        <v>29</v>
      </c>
      <c r="L380" t="str">
        <f t="array" ref="L380">_xlfn.IFS(HR_Data[[#This Row],[Experience]]&lt;2,"0-2 Years",HR_Data[[#This Row],[Experience]]&lt;5,"2-5 Years",HR_Data[[#This Row],[Experience]]&lt;10,"5-10 Years",TRUE(),"10+ Years")</f>
        <v>10+ Years</v>
      </c>
      <c r="M380" t="str">
        <f t="array" ref="M380">_xlfn.IFS(HR_Data[[#This Row],[Salary]]&lt;40000,"Low",HR_Data[[#This Row],[Salary]]&lt;70000,"Medium",HR_Data[[#This Row],[Salary]]&lt;100000,"High",TRUE(),"Very High")</f>
        <v>Very High</v>
      </c>
      <c r="N380" t="str">
        <f t="array" ref="N380">_xlfn.IFS(HR_Data[[#This Row],[Age]]&lt;25,"18-24",HR_Data[[#This Row],[Age]]&lt;35,"25-34",HR_Data[[#This Row],[Age]]&lt;45,"35-44",TRUE(),"45+")</f>
        <v>45+</v>
      </c>
      <c r="O380">
        <f>YEAR(HR_Data[[#This Row],[Joining Date]])</f>
        <v>2016</v>
      </c>
      <c r="P380" t="str">
        <f>TEXT(HR_Data[[#This Row],[Joining Date]],"mmmm")</f>
        <v>January</v>
      </c>
      <c r="Q380">
        <f t="array" ref="Q380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380">
        <f>HR_Data[[#This Row],[Salary]]*HR_Data[[#This Row],[Bonus %]]</f>
        <v>6441.25</v>
      </c>
      <c r="S380">
        <f>HR_Data[[#This Row],[Salary]]+HR_Data[[#This Row],[Bonus Amount]]</f>
        <v>135266.25</v>
      </c>
      <c r="T380" t="str">
        <f>IF(HR_Data[[#This Row],[Attrition]]="Yes","Inactive","Active")</f>
        <v>Active</v>
      </c>
      <c r="U380" t="str">
        <f t="array" ref="U380">_xlfn.IFS(HR_Data[[#This Row],[Salary]]&gt;=100000,"A",HR_Data[[#This Row],[Salary]]&gt;=70000,"B",HR_Data[[#This Row],[Salary]]&gt;=50000,"C",TRUE(),"D")</f>
        <v>A</v>
      </c>
      <c r="V380" t="str">
        <f t="array" ref="V380">_xlfn.IFS(HR_Data[[#This Row],[Experience]]&gt;=15,"Expert",HR_Data[[#This Row],[Experience]]&gt;=8,"Senior",HR_Data[[#This Row],[Experience]]&gt;=3,"Mid-Level",TRUE(),"Junior")</f>
        <v>Expert</v>
      </c>
    </row>
    <row r="381" spans="1:22" ht="14.25" customHeight="1" x14ac:dyDescent="0.3">
      <c r="A381" t="s">
        <v>955</v>
      </c>
      <c r="B381" t="s">
        <v>310</v>
      </c>
      <c r="C381" t="s">
        <v>75</v>
      </c>
      <c r="D381" t="s">
        <v>33</v>
      </c>
      <c r="E381">
        <v>40</v>
      </c>
      <c r="F381">
        <v>69918</v>
      </c>
      <c r="G381">
        <v>12</v>
      </c>
      <c r="H381" t="s">
        <v>956</v>
      </c>
      <c r="I381" t="s">
        <v>57</v>
      </c>
      <c r="J381" t="s">
        <v>46</v>
      </c>
      <c r="K381" t="s">
        <v>29</v>
      </c>
      <c r="L381" t="str">
        <f t="array" ref="L381">_xlfn.IFS(HR_Data[[#This Row],[Experience]]&lt;2,"0-2 Years",HR_Data[[#This Row],[Experience]]&lt;5,"2-5 Years",HR_Data[[#This Row],[Experience]]&lt;10,"5-10 Years",TRUE(),"10+ Years")</f>
        <v>10+ Years</v>
      </c>
      <c r="M381" t="str">
        <f t="array" ref="M381">_xlfn.IFS(HR_Data[[#This Row],[Salary]]&lt;40000,"Low",HR_Data[[#This Row],[Salary]]&lt;70000,"Medium",HR_Data[[#This Row],[Salary]]&lt;100000,"High",TRUE(),"Very High")</f>
        <v>Medium</v>
      </c>
      <c r="N381" t="str">
        <f t="array" ref="N381">_xlfn.IFS(HR_Data[[#This Row],[Age]]&lt;25,"18-24",HR_Data[[#This Row],[Age]]&lt;35,"25-34",HR_Data[[#This Row],[Age]]&lt;45,"35-44",TRUE(),"45+")</f>
        <v>35-44</v>
      </c>
      <c r="O381">
        <f>YEAR(HR_Data[[#This Row],[Joining Date]])</f>
        <v>2020</v>
      </c>
      <c r="P381" t="str">
        <f>TEXT(HR_Data[[#This Row],[Joining Date]],"mmmm")</f>
        <v>January</v>
      </c>
      <c r="Q381">
        <f t="array" ref="Q381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381">
        <f>HR_Data[[#This Row],[Salary]]*HR_Data[[#This Row],[Bonus %]]</f>
        <v>3495.9</v>
      </c>
      <c r="S381">
        <f>HR_Data[[#This Row],[Salary]]+HR_Data[[#This Row],[Bonus Amount]]</f>
        <v>73413.899999999994</v>
      </c>
      <c r="T381" t="str">
        <f>IF(HR_Data[[#This Row],[Attrition]]="Yes","Inactive","Active")</f>
        <v>Active</v>
      </c>
      <c r="U381" t="str">
        <f t="array" ref="U381">_xlfn.IFS(HR_Data[[#This Row],[Salary]]&gt;=100000,"A",HR_Data[[#This Row],[Salary]]&gt;=70000,"B",HR_Data[[#This Row],[Salary]]&gt;=50000,"C",TRUE(),"D")</f>
        <v>C</v>
      </c>
      <c r="V381" t="str">
        <f t="array" ref="V381">_xlfn.IFS(HR_Data[[#This Row],[Experience]]&gt;=15,"Expert",HR_Data[[#This Row],[Experience]]&gt;=8,"Senior",HR_Data[[#This Row],[Experience]]&gt;=3,"Mid-Level",TRUE(),"Junior")</f>
        <v>Senior</v>
      </c>
    </row>
    <row r="382" spans="1:22" ht="14.25" customHeight="1" x14ac:dyDescent="0.3">
      <c r="A382" t="s">
        <v>957</v>
      </c>
      <c r="B382" t="s">
        <v>958</v>
      </c>
      <c r="C382" t="s">
        <v>32</v>
      </c>
      <c r="D382" t="s">
        <v>33</v>
      </c>
      <c r="E382">
        <v>44</v>
      </c>
      <c r="F382">
        <v>80413</v>
      </c>
      <c r="G382">
        <v>18</v>
      </c>
      <c r="H382" t="s">
        <v>959</v>
      </c>
      <c r="I382" t="s">
        <v>62</v>
      </c>
      <c r="J382" t="s">
        <v>28</v>
      </c>
      <c r="K382" t="s">
        <v>29</v>
      </c>
      <c r="L382" t="str">
        <f t="array" ref="L382">_xlfn.IFS(HR_Data[[#This Row],[Experience]]&lt;2,"0-2 Years",HR_Data[[#This Row],[Experience]]&lt;5,"2-5 Years",HR_Data[[#This Row],[Experience]]&lt;10,"5-10 Years",TRUE(),"10+ Years")</f>
        <v>10+ Years</v>
      </c>
      <c r="M382" t="str">
        <f t="array" ref="M382">_xlfn.IFS(HR_Data[[#This Row],[Salary]]&lt;40000,"Low",HR_Data[[#This Row],[Salary]]&lt;70000,"Medium",HR_Data[[#This Row],[Salary]]&lt;100000,"High",TRUE(),"Very High")</f>
        <v>High</v>
      </c>
      <c r="N382" t="str">
        <f t="array" ref="N382">_xlfn.IFS(HR_Data[[#This Row],[Age]]&lt;25,"18-24",HR_Data[[#This Row],[Age]]&lt;35,"25-34",HR_Data[[#This Row],[Age]]&lt;45,"35-44",TRUE(),"45+")</f>
        <v>35-44</v>
      </c>
      <c r="O382">
        <f>YEAR(HR_Data[[#This Row],[Joining Date]])</f>
        <v>2016</v>
      </c>
      <c r="P382" t="str">
        <f>TEXT(HR_Data[[#This Row],[Joining Date]],"mmmm")</f>
        <v>September</v>
      </c>
      <c r="Q382">
        <f t="array" ref="Q382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82">
        <f>HR_Data[[#This Row],[Salary]]*HR_Data[[#This Row],[Bonus %]]</f>
        <v>12061.949999999999</v>
      </c>
      <c r="S382">
        <f>HR_Data[[#This Row],[Salary]]+HR_Data[[#This Row],[Bonus Amount]]</f>
        <v>92474.95</v>
      </c>
      <c r="T382" t="str">
        <f>IF(HR_Data[[#This Row],[Attrition]]="Yes","Inactive","Active")</f>
        <v>Active</v>
      </c>
      <c r="U382" t="str">
        <f t="array" ref="U382">_xlfn.IFS(HR_Data[[#This Row],[Salary]]&gt;=100000,"A",HR_Data[[#This Row],[Salary]]&gt;=70000,"B",HR_Data[[#This Row],[Salary]]&gt;=50000,"C",TRUE(),"D")</f>
        <v>B</v>
      </c>
      <c r="V382" t="str">
        <f t="array" ref="V382">_xlfn.IFS(HR_Data[[#This Row],[Experience]]&gt;=15,"Expert",HR_Data[[#This Row],[Experience]]&gt;=8,"Senior",HR_Data[[#This Row],[Experience]]&gt;=3,"Mid-Level",TRUE(),"Junior")</f>
        <v>Expert</v>
      </c>
    </row>
    <row r="383" spans="1:22" ht="14.25" customHeight="1" x14ac:dyDescent="0.3">
      <c r="A383" t="s">
        <v>960</v>
      </c>
      <c r="B383" t="s">
        <v>753</v>
      </c>
      <c r="C383" t="s">
        <v>93</v>
      </c>
      <c r="D383" t="s">
        <v>33</v>
      </c>
      <c r="E383">
        <v>44</v>
      </c>
      <c r="F383">
        <v>80058</v>
      </c>
      <c r="G383">
        <v>17</v>
      </c>
      <c r="H383" t="s">
        <v>961</v>
      </c>
      <c r="I383" t="s">
        <v>27</v>
      </c>
      <c r="J383" t="s">
        <v>28</v>
      </c>
      <c r="K383" t="s">
        <v>29</v>
      </c>
      <c r="L383" t="str">
        <f t="array" ref="L383">_xlfn.IFS(HR_Data[[#This Row],[Experience]]&lt;2,"0-2 Years",HR_Data[[#This Row],[Experience]]&lt;5,"2-5 Years",HR_Data[[#This Row],[Experience]]&lt;10,"5-10 Years",TRUE(),"10+ Years")</f>
        <v>10+ Years</v>
      </c>
      <c r="M383" t="str">
        <f t="array" ref="M383">_xlfn.IFS(HR_Data[[#This Row],[Salary]]&lt;40000,"Low",HR_Data[[#This Row],[Salary]]&lt;70000,"Medium",HR_Data[[#This Row],[Salary]]&lt;100000,"High",TRUE(),"Very High")</f>
        <v>High</v>
      </c>
      <c r="N383" t="str">
        <f t="array" ref="N383">_xlfn.IFS(HR_Data[[#This Row],[Age]]&lt;25,"18-24",HR_Data[[#This Row],[Age]]&lt;35,"25-34",HR_Data[[#This Row],[Age]]&lt;45,"35-44",TRUE(),"45+")</f>
        <v>35-44</v>
      </c>
      <c r="O383">
        <f>YEAR(HR_Data[[#This Row],[Joining Date]])</f>
        <v>2017</v>
      </c>
      <c r="P383" t="str">
        <f>TEXT(HR_Data[[#This Row],[Joining Date]],"mmmm")</f>
        <v>December</v>
      </c>
      <c r="Q383">
        <f t="array" ref="Q38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83">
        <f>HR_Data[[#This Row],[Salary]]*HR_Data[[#This Row],[Bonus %]]</f>
        <v>12008.699999999999</v>
      </c>
      <c r="S383">
        <f>HR_Data[[#This Row],[Salary]]+HR_Data[[#This Row],[Bonus Amount]]</f>
        <v>92066.7</v>
      </c>
      <c r="T383" t="str">
        <f>IF(HR_Data[[#This Row],[Attrition]]="Yes","Inactive","Active")</f>
        <v>Active</v>
      </c>
      <c r="U383" t="str">
        <f t="array" ref="U383">_xlfn.IFS(HR_Data[[#This Row],[Salary]]&gt;=100000,"A",HR_Data[[#This Row],[Salary]]&gt;=70000,"B",HR_Data[[#This Row],[Salary]]&gt;=50000,"C",TRUE(),"D")</f>
        <v>B</v>
      </c>
      <c r="V383" t="str">
        <f t="array" ref="V383">_xlfn.IFS(HR_Data[[#This Row],[Experience]]&gt;=15,"Expert",HR_Data[[#This Row],[Experience]]&gt;=8,"Senior",HR_Data[[#This Row],[Experience]]&gt;=3,"Mid-Level",TRUE(),"Junior")</f>
        <v>Expert</v>
      </c>
    </row>
    <row r="384" spans="1:22" ht="14.25" customHeight="1" x14ac:dyDescent="0.3">
      <c r="A384" t="s">
        <v>962</v>
      </c>
      <c r="B384" t="s">
        <v>242</v>
      </c>
      <c r="C384" t="s">
        <v>24</v>
      </c>
      <c r="D384" t="s">
        <v>25</v>
      </c>
      <c r="E384">
        <v>33</v>
      </c>
      <c r="F384">
        <v>65358</v>
      </c>
      <c r="G384">
        <v>9</v>
      </c>
      <c r="H384" t="s">
        <v>963</v>
      </c>
      <c r="I384" t="s">
        <v>42</v>
      </c>
      <c r="J384" t="s">
        <v>46</v>
      </c>
      <c r="K384" t="s">
        <v>29</v>
      </c>
      <c r="L384" t="str">
        <f t="array" ref="L384">_xlfn.IFS(HR_Data[[#This Row],[Experience]]&lt;2,"0-2 Years",HR_Data[[#This Row],[Experience]]&lt;5,"2-5 Years",HR_Data[[#This Row],[Experience]]&lt;10,"5-10 Years",TRUE(),"10+ Years")</f>
        <v>5-10 Years</v>
      </c>
      <c r="M384" t="str">
        <f t="array" ref="M384">_xlfn.IFS(HR_Data[[#This Row],[Salary]]&lt;40000,"Low",HR_Data[[#This Row],[Salary]]&lt;70000,"Medium",HR_Data[[#This Row],[Salary]]&lt;100000,"High",TRUE(),"Very High")</f>
        <v>Medium</v>
      </c>
      <c r="N384" t="str">
        <f t="array" ref="N384">_xlfn.IFS(HR_Data[[#This Row],[Age]]&lt;25,"18-24",HR_Data[[#This Row],[Age]]&lt;35,"25-34",HR_Data[[#This Row],[Age]]&lt;45,"35-44",TRUE(),"45+")</f>
        <v>25-34</v>
      </c>
      <c r="O384">
        <f>YEAR(HR_Data[[#This Row],[Joining Date]])</f>
        <v>2016</v>
      </c>
      <c r="P384" t="str">
        <f>TEXT(HR_Data[[#This Row],[Joining Date]],"mmmm")</f>
        <v>February</v>
      </c>
      <c r="Q384">
        <f t="array" ref="Q384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384">
        <f>HR_Data[[#This Row],[Salary]]*HR_Data[[#This Row],[Bonus %]]</f>
        <v>3267.9</v>
      </c>
      <c r="S384">
        <f>HR_Data[[#This Row],[Salary]]+HR_Data[[#This Row],[Bonus Amount]]</f>
        <v>68625.899999999994</v>
      </c>
      <c r="T384" t="str">
        <f>IF(HR_Data[[#This Row],[Attrition]]="Yes","Inactive","Active")</f>
        <v>Active</v>
      </c>
      <c r="U384" t="str">
        <f t="array" ref="U384">_xlfn.IFS(HR_Data[[#This Row],[Salary]]&gt;=100000,"A",HR_Data[[#This Row],[Salary]]&gt;=70000,"B",HR_Data[[#This Row],[Salary]]&gt;=50000,"C",TRUE(),"D")</f>
        <v>C</v>
      </c>
      <c r="V384" t="str">
        <f t="array" ref="V384">_xlfn.IFS(HR_Data[[#This Row],[Experience]]&gt;=15,"Expert",HR_Data[[#This Row],[Experience]]&gt;=8,"Senior",HR_Data[[#This Row],[Experience]]&gt;=3,"Mid-Level",TRUE(),"Junior")</f>
        <v>Senior</v>
      </c>
    </row>
    <row r="385" spans="1:22" ht="14.25" customHeight="1" x14ac:dyDescent="0.3">
      <c r="A385" t="s">
        <v>964</v>
      </c>
      <c r="B385" t="s">
        <v>558</v>
      </c>
      <c r="C385" t="s">
        <v>75</v>
      </c>
      <c r="D385" t="s">
        <v>25</v>
      </c>
      <c r="E385">
        <v>47</v>
      </c>
      <c r="F385">
        <v>88207</v>
      </c>
      <c r="G385">
        <v>20</v>
      </c>
      <c r="H385" t="s">
        <v>965</v>
      </c>
      <c r="I385" t="s">
        <v>42</v>
      </c>
      <c r="J385" t="s">
        <v>36</v>
      </c>
      <c r="K385" t="s">
        <v>29</v>
      </c>
      <c r="L385" t="str">
        <f t="array" ref="L385">_xlfn.IFS(HR_Data[[#This Row],[Experience]]&lt;2,"0-2 Years",HR_Data[[#This Row],[Experience]]&lt;5,"2-5 Years",HR_Data[[#This Row],[Experience]]&lt;10,"5-10 Years",TRUE(),"10+ Years")</f>
        <v>10+ Years</v>
      </c>
      <c r="M385" t="str">
        <f t="array" ref="M385">_xlfn.IFS(HR_Data[[#This Row],[Salary]]&lt;40000,"Low",HR_Data[[#This Row],[Salary]]&lt;70000,"Medium",HR_Data[[#This Row],[Salary]]&lt;100000,"High",TRUE(),"Very High")</f>
        <v>High</v>
      </c>
      <c r="N385" t="str">
        <f t="array" ref="N385">_xlfn.IFS(HR_Data[[#This Row],[Age]]&lt;25,"18-24",HR_Data[[#This Row],[Age]]&lt;35,"25-34",HR_Data[[#This Row],[Age]]&lt;45,"35-44",TRUE(),"45+")</f>
        <v>45+</v>
      </c>
      <c r="O385">
        <f>YEAR(HR_Data[[#This Row],[Joining Date]])</f>
        <v>2019</v>
      </c>
      <c r="P385" t="str">
        <f>TEXT(HR_Data[[#This Row],[Joining Date]],"mmmm")</f>
        <v>February</v>
      </c>
      <c r="Q385">
        <f t="array" ref="Q38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85">
        <f>HR_Data[[#This Row],[Salary]]*HR_Data[[#This Row],[Bonus %]]</f>
        <v>8820.7000000000007</v>
      </c>
      <c r="S385">
        <f>HR_Data[[#This Row],[Salary]]+HR_Data[[#This Row],[Bonus Amount]]</f>
        <v>97027.7</v>
      </c>
      <c r="T385" t="str">
        <f>IF(HR_Data[[#This Row],[Attrition]]="Yes","Inactive","Active")</f>
        <v>Active</v>
      </c>
      <c r="U385" t="str">
        <f t="array" ref="U385">_xlfn.IFS(HR_Data[[#This Row],[Salary]]&gt;=100000,"A",HR_Data[[#This Row],[Salary]]&gt;=70000,"B",HR_Data[[#This Row],[Salary]]&gt;=50000,"C",TRUE(),"D")</f>
        <v>B</v>
      </c>
      <c r="V385" t="str">
        <f t="array" ref="V385">_xlfn.IFS(HR_Data[[#This Row],[Experience]]&gt;=15,"Expert",HR_Data[[#This Row],[Experience]]&gt;=8,"Senior",HR_Data[[#This Row],[Experience]]&gt;=3,"Mid-Level",TRUE(),"Junior")</f>
        <v>Expert</v>
      </c>
    </row>
    <row r="386" spans="1:22" ht="14.25" customHeight="1" x14ac:dyDescent="0.3">
      <c r="A386" t="s">
        <v>966</v>
      </c>
      <c r="B386" t="s">
        <v>439</v>
      </c>
      <c r="C386" t="s">
        <v>93</v>
      </c>
      <c r="D386" t="s">
        <v>33</v>
      </c>
      <c r="E386">
        <v>44</v>
      </c>
      <c r="F386">
        <v>94391</v>
      </c>
      <c r="G386">
        <v>22</v>
      </c>
      <c r="H386" t="s">
        <v>967</v>
      </c>
      <c r="I386" t="s">
        <v>42</v>
      </c>
      <c r="J386" t="s">
        <v>28</v>
      </c>
      <c r="K386" t="s">
        <v>29</v>
      </c>
      <c r="L386" t="str">
        <f t="array" ref="L386">_xlfn.IFS(HR_Data[[#This Row],[Experience]]&lt;2,"0-2 Years",HR_Data[[#This Row],[Experience]]&lt;5,"2-5 Years",HR_Data[[#This Row],[Experience]]&lt;10,"5-10 Years",TRUE(),"10+ Years")</f>
        <v>10+ Years</v>
      </c>
      <c r="M386" t="str">
        <f t="array" ref="M386">_xlfn.IFS(HR_Data[[#This Row],[Salary]]&lt;40000,"Low",HR_Data[[#This Row],[Salary]]&lt;70000,"Medium",HR_Data[[#This Row],[Salary]]&lt;100000,"High",TRUE(),"Very High")</f>
        <v>High</v>
      </c>
      <c r="N386" t="str">
        <f t="array" ref="N386">_xlfn.IFS(HR_Data[[#This Row],[Age]]&lt;25,"18-24",HR_Data[[#This Row],[Age]]&lt;35,"25-34",HR_Data[[#This Row],[Age]]&lt;45,"35-44",TRUE(),"45+")</f>
        <v>35-44</v>
      </c>
      <c r="O386">
        <f>YEAR(HR_Data[[#This Row],[Joining Date]])</f>
        <v>2022</v>
      </c>
      <c r="P386" t="str">
        <f>TEXT(HR_Data[[#This Row],[Joining Date]],"mmmm")</f>
        <v>June</v>
      </c>
      <c r="Q386">
        <f t="array" ref="Q386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86">
        <f>HR_Data[[#This Row],[Salary]]*HR_Data[[#This Row],[Bonus %]]</f>
        <v>14158.65</v>
      </c>
      <c r="S386">
        <f>HR_Data[[#This Row],[Salary]]+HR_Data[[#This Row],[Bonus Amount]]</f>
        <v>108549.65</v>
      </c>
      <c r="T386" t="str">
        <f>IF(HR_Data[[#This Row],[Attrition]]="Yes","Inactive","Active")</f>
        <v>Active</v>
      </c>
      <c r="U386" t="str">
        <f t="array" ref="U386">_xlfn.IFS(HR_Data[[#This Row],[Salary]]&gt;=100000,"A",HR_Data[[#This Row],[Salary]]&gt;=70000,"B",HR_Data[[#This Row],[Salary]]&gt;=50000,"C",TRUE(),"D")</f>
        <v>B</v>
      </c>
      <c r="V386" t="str">
        <f t="array" ref="V386">_xlfn.IFS(HR_Data[[#This Row],[Experience]]&gt;=15,"Expert",HR_Data[[#This Row],[Experience]]&gt;=8,"Senior",HR_Data[[#This Row],[Experience]]&gt;=3,"Mid-Level",TRUE(),"Junior")</f>
        <v>Expert</v>
      </c>
    </row>
    <row r="387" spans="1:22" ht="14.25" customHeight="1" x14ac:dyDescent="0.3">
      <c r="A387" t="s">
        <v>968</v>
      </c>
      <c r="B387" t="s">
        <v>267</v>
      </c>
      <c r="C387" t="s">
        <v>40</v>
      </c>
      <c r="D387" t="s">
        <v>25</v>
      </c>
      <c r="E387">
        <v>48</v>
      </c>
      <c r="F387">
        <v>95275</v>
      </c>
      <c r="G387">
        <v>22</v>
      </c>
      <c r="H387" t="s">
        <v>969</v>
      </c>
      <c r="I387" t="s">
        <v>80</v>
      </c>
      <c r="J387" t="s">
        <v>90</v>
      </c>
      <c r="K387" t="s">
        <v>29</v>
      </c>
      <c r="L387" t="str">
        <f t="array" ref="L387">_xlfn.IFS(HR_Data[[#This Row],[Experience]]&lt;2,"0-2 Years",HR_Data[[#This Row],[Experience]]&lt;5,"2-5 Years",HR_Data[[#This Row],[Experience]]&lt;10,"5-10 Years",TRUE(),"10+ Years")</f>
        <v>10+ Years</v>
      </c>
      <c r="M387" t="str">
        <f t="array" ref="M387">_xlfn.IFS(HR_Data[[#This Row],[Salary]]&lt;40000,"Low",HR_Data[[#This Row],[Salary]]&lt;70000,"Medium",HR_Data[[#This Row],[Salary]]&lt;100000,"High",TRUE(),"Very High")</f>
        <v>High</v>
      </c>
      <c r="N387" t="str">
        <f t="array" ref="N387">_xlfn.IFS(HR_Data[[#This Row],[Age]]&lt;25,"18-24",HR_Data[[#This Row],[Age]]&lt;35,"25-34",HR_Data[[#This Row],[Age]]&lt;45,"35-44",TRUE(),"45+")</f>
        <v>45+</v>
      </c>
      <c r="O387">
        <f>YEAR(HR_Data[[#This Row],[Joining Date]])</f>
        <v>2020</v>
      </c>
      <c r="P387" t="str">
        <f>TEXT(HR_Data[[#This Row],[Joining Date]],"mmmm")</f>
        <v>June</v>
      </c>
      <c r="Q387">
        <f t="array" ref="Q387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387">
        <f>HR_Data[[#This Row],[Salary]]*HR_Data[[#This Row],[Bonus %]]</f>
        <v>0</v>
      </c>
      <c r="S387">
        <f>HR_Data[[#This Row],[Salary]]+HR_Data[[#This Row],[Bonus Amount]]</f>
        <v>95275</v>
      </c>
      <c r="T387" t="str">
        <f>IF(HR_Data[[#This Row],[Attrition]]="Yes","Inactive","Active")</f>
        <v>Active</v>
      </c>
      <c r="U387" t="str">
        <f t="array" ref="U387">_xlfn.IFS(HR_Data[[#This Row],[Salary]]&gt;=100000,"A",HR_Data[[#This Row],[Salary]]&gt;=70000,"B",HR_Data[[#This Row],[Salary]]&gt;=50000,"C",TRUE(),"D")</f>
        <v>B</v>
      </c>
      <c r="V387" t="str">
        <f t="array" ref="V387">_xlfn.IFS(HR_Data[[#This Row],[Experience]]&gt;=15,"Expert",HR_Data[[#This Row],[Experience]]&gt;=8,"Senior",HR_Data[[#This Row],[Experience]]&gt;=3,"Mid-Level",TRUE(),"Junior")</f>
        <v>Expert</v>
      </c>
    </row>
    <row r="388" spans="1:22" ht="14.25" customHeight="1" x14ac:dyDescent="0.3">
      <c r="A388" t="s">
        <v>970</v>
      </c>
      <c r="B388" t="s">
        <v>349</v>
      </c>
      <c r="C388" t="s">
        <v>75</v>
      </c>
      <c r="D388" t="s">
        <v>25</v>
      </c>
      <c r="E388">
        <v>60</v>
      </c>
      <c r="F388">
        <v>135067</v>
      </c>
      <c r="G388">
        <v>34</v>
      </c>
      <c r="H388" t="s">
        <v>971</v>
      </c>
      <c r="I388" t="s">
        <v>35</v>
      </c>
      <c r="J388" t="s">
        <v>46</v>
      </c>
      <c r="K388" t="s">
        <v>29</v>
      </c>
      <c r="L388" t="str">
        <f t="array" ref="L388">_xlfn.IFS(HR_Data[[#This Row],[Experience]]&lt;2,"0-2 Years",HR_Data[[#This Row],[Experience]]&lt;5,"2-5 Years",HR_Data[[#This Row],[Experience]]&lt;10,"5-10 Years",TRUE(),"10+ Years")</f>
        <v>10+ Years</v>
      </c>
      <c r="M388" t="str">
        <f t="array" ref="M388">_xlfn.IFS(HR_Data[[#This Row],[Salary]]&lt;40000,"Low",HR_Data[[#This Row],[Salary]]&lt;70000,"Medium",HR_Data[[#This Row],[Salary]]&lt;100000,"High",TRUE(),"Very High")</f>
        <v>Very High</v>
      </c>
      <c r="N388" t="str">
        <f t="array" ref="N388">_xlfn.IFS(HR_Data[[#This Row],[Age]]&lt;25,"18-24",HR_Data[[#This Row],[Age]]&lt;35,"25-34",HR_Data[[#This Row],[Age]]&lt;45,"35-44",TRUE(),"45+")</f>
        <v>45+</v>
      </c>
      <c r="O388">
        <f>YEAR(HR_Data[[#This Row],[Joining Date]])</f>
        <v>2015</v>
      </c>
      <c r="P388" t="str">
        <f>TEXT(HR_Data[[#This Row],[Joining Date]],"mmmm")</f>
        <v>July</v>
      </c>
      <c r="Q388">
        <f t="array" ref="Q388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388">
        <f>HR_Data[[#This Row],[Salary]]*HR_Data[[#This Row],[Bonus %]]</f>
        <v>6753.35</v>
      </c>
      <c r="S388">
        <f>HR_Data[[#This Row],[Salary]]+HR_Data[[#This Row],[Bonus Amount]]</f>
        <v>141820.35</v>
      </c>
      <c r="T388" t="str">
        <f>IF(HR_Data[[#This Row],[Attrition]]="Yes","Inactive","Active")</f>
        <v>Active</v>
      </c>
      <c r="U388" t="str">
        <f t="array" ref="U388">_xlfn.IFS(HR_Data[[#This Row],[Salary]]&gt;=100000,"A",HR_Data[[#This Row],[Salary]]&gt;=70000,"B",HR_Data[[#This Row],[Salary]]&gt;=50000,"C",TRUE(),"D")</f>
        <v>A</v>
      </c>
      <c r="V388" t="str">
        <f t="array" ref="V388">_xlfn.IFS(HR_Data[[#This Row],[Experience]]&gt;=15,"Expert",HR_Data[[#This Row],[Experience]]&gt;=8,"Senior",HR_Data[[#This Row],[Experience]]&gt;=3,"Mid-Level",TRUE(),"Junior")</f>
        <v>Expert</v>
      </c>
    </row>
    <row r="389" spans="1:22" ht="14.25" customHeight="1" x14ac:dyDescent="0.3">
      <c r="A389" t="s">
        <v>972</v>
      </c>
      <c r="B389" t="s">
        <v>252</v>
      </c>
      <c r="C389" t="s">
        <v>75</v>
      </c>
      <c r="D389" t="s">
        <v>33</v>
      </c>
      <c r="E389">
        <v>25</v>
      </c>
      <c r="F389">
        <v>29708</v>
      </c>
      <c r="G389">
        <v>2</v>
      </c>
      <c r="H389" t="s">
        <v>973</v>
      </c>
      <c r="I389" t="s">
        <v>42</v>
      </c>
      <c r="J389" t="s">
        <v>36</v>
      </c>
      <c r="K389" t="s">
        <v>29</v>
      </c>
      <c r="L389" t="str">
        <f t="array" ref="L389">_xlfn.IFS(HR_Data[[#This Row],[Experience]]&lt;2,"0-2 Years",HR_Data[[#This Row],[Experience]]&lt;5,"2-5 Years",HR_Data[[#This Row],[Experience]]&lt;10,"5-10 Years",TRUE(),"10+ Years")</f>
        <v>2-5 Years</v>
      </c>
      <c r="M389" t="str">
        <f t="array" ref="M389">_xlfn.IFS(HR_Data[[#This Row],[Salary]]&lt;40000,"Low",HR_Data[[#This Row],[Salary]]&lt;70000,"Medium",HR_Data[[#This Row],[Salary]]&lt;100000,"High",TRUE(),"Very High")</f>
        <v>Low</v>
      </c>
      <c r="N389" t="str">
        <f t="array" ref="N389">_xlfn.IFS(HR_Data[[#This Row],[Age]]&lt;25,"18-24",HR_Data[[#This Row],[Age]]&lt;35,"25-34",HR_Data[[#This Row],[Age]]&lt;45,"35-44",TRUE(),"45+")</f>
        <v>25-34</v>
      </c>
      <c r="O389">
        <f>YEAR(HR_Data[[#This Row],[Joining Date]])</f>
        <v>2022</v>
      </c>
      <c r="P389" t="str">
        <f>TEXT(HR_Data[[#This Row],[Joining Date]],"mmmm")</f>
        <v>March</v>
      </c>
      <c r="Q389">
        <f t="array" ref="Q38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89">
        <f>HR_Data[[#This Row],[Salary]]*HR_Data[[#This Row],[Bonus %]]</f>
        <v>2970.8</v>
      </c>
      <c r="S389">
        <f>HR_Data[[#This Row],[Salary]]+HR_Data[[#This Row],[Bonus Amount]]</f>
        <v>32678.799999999999</v>
      </c>
      <c r="T389" t="str">
        <f>IF(HR_Data[[#This Row],[Attrition]]="Yes","Inactive","Active")</f>
        <v>Active</v>
      </c>
      <c r="U389" t="str">
        <f t="array" ref="U389">_xlfn.IFS(HR_Data[[#This Row],[Salary]]&gt;=100000,"A",HR_Data[[#This Row],[Salary]]&gt;=70000,"B",HR_Data[[#This Row],[Salary]]&gt;=50000,"C",TRUE(),"D")</f>
        <v>D</v>
      </c>
      <c r="V389" t="str">
        <f t="array" ref="V389">_xlfn.IFS(HR_Data[[#This Row],[Experience]]&gt;=15,"Expert",HR_Data[[#This Row],[Experience]]&gt;=8,"Senior",HR_Data[[#This Row],[Experience]]&gt;=3,"Mid-Level",TRUE(),"Junior")</f>
        <v>Junior</v>
      </c>
    </row>
    <row r="390" spans="1:22" ht="14.25" customHeight="1" x14ac:dyDescent="0.3">
      <c r="A390" t="s">
        <v>974</v>
      </c>
      <c r="B390" t="s">
        <v>335</v>
      </c>
      <c r="C390" t="s">
        <v>70</v>
      </c>
      <c r="D390" t="s">
        <v>33</v>
      </c>
      <c r="E390">
        <v>42</v>
      </c>
      <c r="F390">
        <v>65585</v>
      </c>
      <c r="G390">
        <v>13</v>
      </c>
      <c r="H390" t="s">
        <v>975</v>
      </c>
      <c r="I390" t="s">
        <v>35</v>
      </c>
      <c r="J390" t="s">
        <v>46</v>
      </c>
      <c r="K390" t="s">
        <v>29</v>
      </c>
      <c r="L390" t="str">
        <f t="array" ref="L390">_xlfn.IFS(HR_Data[[#This Row],[Experience]]&lt;2,"0-2 Years",HR_Data[[#This Row],[Experience]]&lt;5,"2-5 Years",HR_Data[[#This Row],[Experience]]&lt;10,"5-10 Years",TRUE(),"10+ Years")</f>
        <v>10+ Years</v>
      </c>
      <c r="M390" t="str">
        <f t="array" ref="M390">_xlfn.IFS(HR_Data[[#This Row],[Salary]]&lt;40000,"Low",HR_Data[[#This Row],[Salary]]&lt;70000,"Medium",HR_Data[[#This Row],[Salary]]&lt;100000,"High",TRUE(),"Very High")</f>
        <v>Medium</v>
      </c>
      <c r="N390" t="str">
        <f t="array" ref="N390">_xlfn.IFS(HR_Data[[#This Row],[Age]]&lt;25,"18-24",HR_Data[[#This Row],[Age]]&lt;35,"25-34",HR_Data[[#This Row],[Age]]&lt;45,"35-44",TRUE(),"45+")</f>
        <v>35-44</v>
      </c>
      <c r="O390">
        <f>YEAR(HR_Data[[#This Row],[Joining Date]])</f>
        <v>2024</v>
      </c>
      <c r="P390" t="str">
        <f>TEXT(HR_Data[[#This Row],[Joining Date]],"mmmm")</f>
        <v>July</v>
      </c>
      <c r="Q390">
        <f t="array" ref="Q390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390">
        <f>HR_Data[[#This Row],[Salary]]*HR_Data[[#This Row],[Bonus %]]</f>
        <v>3279.25</v>
      </c>
      <c r="S390">
        <f>HR_Data[[#This Row],[Salary]]+HR_Data[[#This Row],[Bonus Amount]]</f>
        <v>68864.25</v>
      </c>
      <c r="T390" t="str">
        <f>IF(HR_Data[[#This Row],[Attrition]]="Yes","Inactive","Active")</f>
        <v>Active</v>
      </c>
      <c r="U390" t="str">
        <f t="array" ref="U390">_xlfn.IFS(HR_Data[[#This Row],[Salary]]&gt;=100000,"A",HR_Data[[#This Row],[Salary]]&gt;=70000,"B",HR_Data[[#This Row],[Salary]]&gt;=50000,"C",TRUE(),"D")</f>
        <v>C</v>
      </c>
      <c r="V390" t="str">
        <f t="array" ref="V390">_xlfn.IFS(HR_Data[[#This Row],[Experience]]&gt;=15,"Expert",HR_Data[[#This Row],[Experience]]&gt;=8,"Senior",HR_Data[[#This Row],[Experience]]&gt;=3,"Mid-Level",TRUE(),"Junior")</f>
        <v>Senior</v>
      </c>
    </row>
    <row r="391" spans="1:22" ht="14.25" customHeight="1" x14ac:dyDescent="0.3">
      <c r="A391" t="s">
        <v>976</v>
      </c>
      <c r="B391" t="s">
        <v>23</v>
      </c>
      <c r="C391" t="s">
        <v>24</v>
      </c>
      <c r="D391" t="s">
        <v>33</v>
      </c>
      <c r="E391">
        <v>40</v>
      </c>
      <c r="F391">
        <v>87067</v>
      </c>
      <c r="G391">
        <v>21</v>
      </c>
      <c r="H391" t="s">
        <v>977</v>
      </c>
      <c r="I391" t="s">
        <v>80</v>
      </c>
      <c r="J391" t="s">
        <v>63</v>
      </c>
      <c r="K391" t="s">
        <v>29</v>
      </c>
      <c r="L391" t="str">
        <f t="array" ref="L391">_xlfn.IFS(HR_Data[[#This Row],[Experience]]&lt;2,"0-2 Years",HR_Data[[#This Row],[Experience]]&lt;5,"2-5 Years",HR_Data[[#This Row],[Experience]]&lt;10,"5-10 Years",TRUE(),"10+ Years")</f>
        <v>10+ Years</v>
      </c>
      <c r="M391" t="str">
        <f t="array" ref="M391">_xlfn.IFS(HR_Data[[#This Row],[Salary]]&lt;40000,"Low",HR_Data[[#This Row],[Salary]]&lt;70000,"Medium",HR_Data[[#This Row],[Salary]]&lt;100000,"High",TRUE(),"Very High")</f>
        <v>High</v>
      </c>
      <c r="N391" t="str">
        <f t="array" ref="N391">_xlfn.IFS(HR_Data[[#This Row],[Age]]&lt;25,"18-24",HR_Data[[#This Row],[Age]]&lt;35,"25-34",HR_Data[[#This Row],[Age]]&lt;45,"35-44",TRUE(),"45+")</f>
        <v>35-44</v>
      </c>
      <c r="O391">
        <f>YEAR(HR_Data[[#This Row],[Joining Date]])</f>
        <v>2016</v>
      </c>
      <c r="P391" t="str">
        <f>TEXT(HR_Data[[#This Row],[Joining Date]],"mmmm")</f>
        <v>August</v>
      </c>
      <c r="Q391">
        <f t="array" ref="Q391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391">
        <f>HR_Data[[#This Row],[Salary]]*HR_Data[[#This Row],[Bonus %]]</f>
        <v>17413.400000000001</v>
      </c>
      <c r="S391">
        <f>HR_Data[[#This Row],[Salary]]+HR_Data[[#This Row],[Bonus Amount]]</f>
        <v>104480.4</v>
      </c>
      <c r="T391" t="str">
        <f>IF(HR_Data[[#This Row],[Attrition]]="Yes","Inactive","Active")</f>
        <v>Active</v>
      </c>
      <c r="U391" t="str">
        <f t="array" ref="U391">_xlfn.IFS(HR_Data[[#This Row],[Salary]]&gt;=100000,"A",HR_Data[[#This Row],[Salary]]&gt;=70000,"B",HR_Data[[#This Row],[Salary]]&gt;=50000,"C",TRUE(),"D")</f>
        <v>B</v>
      </c>
      <c r="V391" t="str">
        <f t="array" ref="V391">_xlfn.IFS(HR_Data[[#This Row],[Experience]]&gt;=15,"Expert",HR_Data[[#This Row],[Experience]]&gt;=8,"Senior",HR_Data[[#This Row],[Experience]]&gt;=3,"Mid-Level",TRUE(),"Junior")</f>
        <v>Expert</v>
      </c>
    </row>
    <row r="392" spans="1:22" ht="14.25" customHeight="1" x14ac:dyDescent="0.3">
      <c r="A392" t="s">
        <v>978</v>
      </c>
      <c r="B392" t="s">
        <v>761</v>
      </c>
      <c r="C392" t="s">
        <v>112</v>
      </c>
      <c r="D392" t="s">
        <v>33</v>
      </c>
      <c r="E392">
        <v>51</v>
      </c>
      <c r="F392">
        <v>114982</v>
      </c>
      <c r="G392">
        <v>26</v>
      </c>
      <c r="H392" t="s">
        <v>979</v>
      </c>
      <c r="I392" t="s">
        <v>72</v>
      </c>
      <c r="J392" t="s">
        <v>36</v>
      </c>
      <c r="K392" t="s">
        <v>37</v>
      </c>
      <c r="L392" t="str">
        <f t="array" ref="L392">_xlfn.IFS(HR_Data[[#This Row],[Experience]]&lt;2,"0-2 Years",HR_Data[[#This Row],[Experience]]&lt;5,"2-5 Years",HR_Data[[#This Row],[Experience]]&lt;10,"5-10 Years",TRUE(),"10+ Years")</f>
        <v>10+ Years</v>
      </c>
      <c r="M392" t="str">
        <f t="array" ref="M392">_xlfn.IFS(HR_Data[[#This Row],[Salary]]&lt;40000,"Low",HR_Data[[#This Row],[Salary]]&lt;70000,"Medium",HR_Data[[#This Row],[Salary]]&lt;100000,"High",TRUE(),"Very High")</f>
        <v>Very High</v>
      </c>
      <c r="N392" t="str">
        <f t="array" ref="N392">_xlfn.IFS(HR_Data[[#This Row],[Age]]&lt;25,"18-24",HR_Data[[#This Row],[Age]]&lt;35,"25-34",HR_Data[[#This Row],[Age]]&lt;45,"35-44",TRUE(),"45+")</f>
        <v>45+</v>
      </c>
      <c r="O392">
        <f>YEAR(HR_Data[[#This Row],[Joining Date]])</f>
        <v>2024</v>
      </c>
      <c r="P392" t="str">
        <f>TEXT(HR_Data[[#This Row],[Joining Date]],"mmmm")</f>
        <v>January</v>
      </c>
      <c r="Q392">
        <f t="array" ref="Q39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92">
        <f>HR_Data[[#This Row],[Salary]]*HR_Data[[#This Row],[Bonus %]]</f>
        <v>11498.2</v>
      </c>
      <c r="S392">
        <f>HR_Data[[#This Row],[Salary]]+HR_Data[[#This Row],[Bonus Amount]]</f>
        <v>126480.2</v>
      </c>
      <c r="T392" t="str">
        <f>IF(HR_Data[[#This Row],[Attrition]]="Yes","Inactive","Active")</f>
        <v>Inactive</v>
      </c>
      <c r="U392" t="str">
        <f t="array" ref="U392">_xlfn.IFS(HR_Data[[#This Row],[Salary]]&gt;=100000,"A",HR_Data[[#This Row],[Salary]]&gt;=70000,"B",HR_Data[[#This Row],[Salary]]&gt;=50000,"C",TRUE(),"D")</f>
        <v>A</v>
      </c>
      <c r="V392" t="str">
        <f t="array" ref="V392">_xlfn.IFS(HR_Data[[#This Row],[Experience]]&gt;=15,"Expert",HR_Data[[#This Row],[Experience]]&gt;=8,"Senior",HR_Data[[#This Row],[Experience]]&gt;=3,"Mid-Level",TRUE(),"Junior")</f>
        <v>Expert</v>
      </c>
    </row>
    <row r="393" spans="1:22" ht="14.25" customHeight="1" x14ac:dyDescent="0.3">
      <c r="A393" t="s">
        <v>980</v>
      </c>
      <c r="B393" t="s">
        <v>231</v>
      </c>
      <c r="C393" t="s">
        <v>40</v>
      </c>
      <c r="D393" t="s">
        <v>25</v>
      </c>
      <c r="E393">
        <v>32</v>
      </c>
      <c r="F393">
        <v>25778</v>
      </c>
      <c r="G393">
        <v>2</v>
      </c>
      <c r="H393" t="s">
        <v>981</v>
      </c>
      <c r="I393" t="s">
        <v>35</v>
      </c>
      <c r="J393" t="s">
        <v>46</v>
      </c>
      <c r="K393" t="s">
        <v>37</v>
      </c>
      <c r="L393" t="str">
        <f t="array" ref="L393">_xlfn.IFS(HR_Data[[#This Row],[Experience]]&lt;2,"0-2 Years",HR_Data[[#This Row],[Experience]]&lt;5,"2-5 Years",HR_Data[[#This Row],[Experience]]&lt;10,"5-10 Years",TRUE(),"10+ Years")</f>
        <v>2-5 Years</v>
      </c>
      <c r="M393" t="str">
        <f t="array" ref="M393">_xlfn.IFS(HR_Data[[#This Row],[Salary]]&lt;40000,"Low",HR_Data[[#This Row],[Salary]]&lt;70000,"Medium",HR_Data[[#This Row],[Salary]]&lt;100000,"High",TRUE(),"Very High")</f>
        <v>Low</v>
      </c>
      <c r="N393" t="str">
        <f t="array" ref="N393">_xlfn.IFS(HR_Data[[#This Row],[Age]]&lt;25,"18-24",HR_Data[[#This Row],[Age]]&lt;35,"25-34",HR_Data[[#This Row],[Age]]&lt;45,"35-44",TRUE(),"45+")</f>
        <v>25-34</v>
      </c>
      <c r="O393">
        <f>YEAR(HR_Data[[#This Row],[Joining Date]])</f>
        <v>2023</v>
      </c>
      <c r="P393" t="str">
        <f>TEXT(HR_Data[[#This Row],[Joining Date]],"mmmm")</f>
        <v>January</v>
      </c>
      <c r="Q393">
        <f t="array" ref="Q393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393">
        <f>HR_Data[[#This Row],[Salary]]*HR_Data[[#This Row],[Bonus %]]</f>
        <v>1288.9000000000001</v>
      </c>
      <c r="S393">
        <f>HR_Data[[#This Row],[Salary]]+HR_Data[[#This Row],[Bonus Amount]]</f>
        <v>27066.9</v>
      </c>
      <c r="T393" t="str">
        <f>IF(HR_Data[[#This Row],[Attrition]]="Yes","Inactive","Active")</f>
        <v>Inactive</v>
      </c>
      <c r="U393" t="str">
        <f t="array" ref="U393">_xlfn.IFS(HR_Data[[#This Row],[Salary]]&gt;=100000,"A",HR_Data[[#This Row],[Salary]]&gt;=70000,"B",HR_Data[[#This Row],[Salary]]&gt;=50000,"C",TRUE(),"D")</f>
        <v>D</v>
      </c>
      <c r="V393" t="str">
        <f t="array" ref="V393">_xlfn.IFS(HR_Data[[#This Row],[Experience]]&gt;=15,"Expert",HR_Data[[#This Row],[Experience]]&gt;=8,"Senior",HR_Data[[#This Row],[Experience]]&gt;=3,"Mid-Level",TRUE(),"Junior")</f>
        <v>Junior</v>
      </c>
    </row>
    <row r="394" spans="1:22" ht="14.25" customHeight="1" x14ac:dyDescent="0.3">
      <c r="A394" t="s">
        <v>982</v>
      </c>
      <c r="B394" t="s">
        <v>270</v>
      </c>
      <c r="C394" t="s">
        <v>134</v>
      </c>
      <c r="D394" t="s">
        <v>33</v>
      </c>
      <c r="E394">
        <v>49</v>
      </c>
      <c r="F394">
        <v>94809</v>
      </c>
      <c r="G394">
        <v>24</v>
      </c>
      <c r="H394" t="s">
        <v>983</v>
      </c>
      <c r="I394" t="s">
        <v>80</v>
      </c>
      <c r="J394" t="s">
        <v>28</v>
      </c>
      <c r="K394" t="s">
        <v>29</v>
      </c>
      <c r="L394" t="str">
        <f t="array" ref="L394">_xlfn.IFS(HR_Data[[#This Row],[Experience]]&lt;2,"0-2 Years",HR_Data[[#This Row],[Experience]]&lt;5,"2-5 Years",HR_Data[[#This Row],[Experience]]&lt;10,"5-10 Years",TRUE(),"10+ Years")</f>
        <v>10+ Years</v>
      </c>
      <c r="M394" t="str">
        <f t="array" ref="M394">_xlfn.IFS(HR_Data[[#This Row],[Salary]]&lt;40000,"Low",HR_Data[[#This Row],[Salary]]&lt;70000,"Medium",HR_Data[[#This Row],[Salary]]&lt;100000,"High",TRUE(),"Very High")</f>
        <v>High</v>
      </c>
      <c r="N394" t="str">
        <f t="array" ref="N394">_xlfn.IFS(HR_Data[[#This Row],[Age]]&lt;25,"18-24",HR_Data[[#This Row],[Age]]&lt;35,"25-34",HR_Data[[#This Row],[Age]]&lt;45,"35-44",TRUE(),"45+")</f>
        <v>45+</v>
      </c>
      <c r="O394">
        <f>YEAR(HR_Data[[#This Row],[Joining Date]])</f>
        <v>2025</v>
      </c>
      <c r="P394" t="str">
        <f>TEXT(HR_Data[[#This Row],[Joining Date]],"mmmm")</f>
        <v>August</v>
      </c>
      <c r="Q394">
        <f t="array" ref="Q394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94">
        <f>HR_Data[[#This Row],[Salary]]*HR_Data[[#This Row],[Bonus %]]</f>
        <v>14221.35</v>
      </c>
      <c r="S394">
        <f>HR_Data[[#This Row],[Salary]]+HR_Data[[#This Row],[Bonus Amount]]</f>
        <v>109030.35</v>
      </c>
      <c r="T394" t="str">
        <f>IF(HR_Data[[#This Row],[Attrition]]="Yes","Inactive","Active")</f>
        <v>Active</v>
      </c>
      <c r="U394" t="str">
        <f t="array" ref="U394">_xlfn.IFS(HR_Data[[#This Row],[Salary]]&gt;=100000,"A",HR_Data[[#This Row],[Salary]]&gt;=70000,"B",HR_Data[[#This Row],[Salary]]&gt;=50000,"C",TRUE(),"D")</f>
        <v>B</v>
      </c>
      <c r="V394" t="str">
        <f t="array" ref="V394">_xlfn.IFS(HR_Data[[#This Row],[Experience]]&gt;=15,"Expert",HR_Data[[#This Row],[Experience]]&gt;=8,"Senior",HR_Data[[#This Row],[Experience]]&gt;=3,"Mid-Level",TRUE(),"Junior")</f>
        <v>Expert</v>
      </c>
    </row>
    <row r="395" spans="1:22" ht="14.25" customHeight="1" x14ac:dyDescent="0.3">
      <c r="A395" t="s">
        <v>984</v>
      </c>
      <c r="B395" t="s">
        <v>647</v>
      </c>
      <c r="C395" t="s">
        <v>75</v>
      </c>
      <c r="D395" t="s">
        <v>33</v>
      </c>
      <c r="E395">
        <v>42</v>
      </c>
      <c r="F395">
        <v>108737</v>
      </c>
      <c r="G395">
        <v>23</v>
      </c>
      <c r="H395" t="s">
        <v>985</v>
      </c>
      <c r="I395" t="s">
        <v>80</v>
      </c>
      <c r="J395" t="s">
        <v>63</v>
      </c>
      <c r="K395" t="s">
        <v>37</v>
      </c>
      <c r="L395" t="str">
        <f t="array" ref="L395">_xlfn.IFS(HR_Data[[#This Row],[Experience]]&lt;2,"0-2 Years",HR_Data[[#This Row],[Experience]]&lt;5,"2-5 Years",HR_Data[[#This Row],[Experience]]&lt;10,"5-10 Years",TRUE(),"10+ Years")</f>
        <v>10+ Years</v>
      </c>
      <c r="M395" t="str">
        <f t="array" ref="M395">_xlfn.IFS(HR_Data[[#This Row],[Salary]]&lt;40000,"Low",HR_Data[[#This Row],[Salary]]&lt;70000,"Medium",HR_Data[[#This Row],[Salary]]&lt;100000,"High",TRUE(),"Very High")</f>
        <v>Very High</v>
      </c>
      <c r="N395" t="str">
        <f t="array" ref="N395">_xlfn.IFS(HR_Data[[#This Row],[Age]]&lt;25,"18-24",HR_Data[[#This Row],[Age]]&lt;35,"25-34",HR_Data[[#This Row],[Age]]&lt;45,"35-44",TRUE(),"45+")</f>
        <v>35-44</v>
      </c>
      <c r="O395">
        <f>YEAR(HR_Data[[#This Row],[Joining Date]])</f>
        <v>2018</v>
      </c>
      <c r="P395" t="str">
        <f>TEXT(HR_Data[[#This Row],[Joining Date]],"mmmm")</f>
        <v>March</v>
      </c>
      <c r="Q395">
        <f t="array" ref="Q395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395">
        <f>HR_Data[[#This Row],[Salary]]*HR_Data[[#This Row],[Bonus %]]</f>
        <v>21747.4</v>
      </c>
      <c r="S395">
        <f>HR_Data[[#This Row],[Salary]]+HR_Data[[#This Row],[Bonus Amount]]</f>
        <v>130484.4</v>
      </c>
      <c r="T395" t="str">
        <f>IF(HR_Data[[#This Row],[Attrition]]="Yes","Inactive","Active")</f>
        <v>Inactive</v>
      </c>
      <c r="U395" t="str">
        <f t="array" ref="U395">_xlfn.IFS(HR_Data[[#This Row],[Salary]]&gt;=100000,"A",HR_Data[[#This Row],[Salary]]&gt;=70000,"B",HR_Data[[#This Row],[Salary]]&gt;=50000,"C",TRUE(),"D")</f>
        <v>A</v>
      </c>
      <c r="V395" t="str">
        <f t="array" ref="V395">_xlfn.IFS(HR_Data[[#This Row],[Experience]]&gt;=15,"Expert",HR_Data[[#This Row],[Experience]]&gt;=8,"Senior",HR_Data[[#This Row],[Experience]]&gt;=3,"Mid-Level",TRUE(),"Junior")</f>
        <v>Expert</v>
      </c>
    </row>
    <row r="396" spans="1:22" ht="14.25" customHeight="1" x14ac:dyDescent="0.3">
      <c r="A396" t="s">
        <v>986</v>
      </c>
      <c r="B396" t="s">
        <v>987</v>
      </c>
      <c r="C396" t="s">
        <v>70</v>
      </c>
      <c r="D396" t="s">
        <v>33</v>
      </c>
      <c r="E396">
        <v>43</v>
      </c>
      <c r="F396">
        <v>69867</v>
      </c>
      <c r="G396">
        <v>13</v>
      </c>
      <c r="H396" t="s">
        <v>988</v>
      </c>
      <c r="I396" t="s">
        <v>57</v>
      </c>
      <c r="J396" t="s">
        <v>36</v>
      </c>
      <c r="K396" t="s">
        <v>29</v>
      </c>
      <c r="L396" t="str">
        <f t="array" ref="L396">_xlfn.IFS(HR_Data[[#This Row],[Experience]]&lt;2,"0-2 Years",HR_Data[[#This Row],[Experience]]&lt;5,"2-5 Years",HR_Data[[#This Row],[Experience]]&lt;10,"5-10 Years",TRUE(),"10+ Years")</f>
        <v>10+ Years</v>
      </c>
      <c r="M396" t="str">
        <f t="array" ref="M396">_xlfn.IFS(HR_Data[[#This Row],[Salary]]&lt;40000,"Low",HR_Data[[#This Row],[Salary]]&lt;70000,"Medium",HR_Data[[#This Row],[Salary]]&lt;100000,"High",TRUE(),"Very High")</f>
        <v>Medium</v>
      </c>
      <c r="N396" t="str">
        <f t="array" ref="N396">_xlfn.IFS(HR_Data[[#This Row],[Age]]&lt;25,"18-24",HR_Data[[#This Row],[Age]]&lt;35,"25-34",HR_Data[[#This Row],[Age]]&lt;45,"35-44",TRUE(),"45+")</f>
        <v>35-44</v>
      </c>
      <c r="O396">
        <f>YEAR(HR_Data[[#This Row],[Joining Date]])</f>
        <v>2019</v>
      </c>
      <c r="P396" t="str">
        <f>TEXT(HR_Data[[#This Row],[Joining Date]],"mmmm")</f>
        <v>October</v>
      </c>
      <c r="Q396">
        <f t="array" ref="Q39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96">
        <f>HR_Data[[#This Row],[Salary]]*HR_Data[[#This Row],[Bonus %]]</f>
        <v>6986.7000000000007</v>
      </c>
      <c r="S396">
        <f>HR_Data[[#This Row],[Salary]]+HR_Data[[#This Row],[Bonus Amount]]</f>
        <v>76853.7</v>
      </c>
      <c r="T396" t="str">
        <f>IF(HR_Data[[#This Row],[Attrition]]="Yes","Inactive","Active")</f>
        <v>Active</v>
      </c>
      <c r="U396" t="str">
        <f t="array" ref="U396">_xlfn.IFS(HR_Data[[#This Row],[Salary]]&gt;=100000,"A",HR_Data[[#This Row],[Salary]]&gt;=70000,"B",HR_Data[[#This Row],[Salary]]&gt;=50000,"C",TRUE(),"D")</f>
        <v>C</v>
      </c>
      <c r="V396" t="str">
        <f t="array" ref="V396">_xlfn.IFS(HR_Data[[#This Row],[Experience]]&gt;=15,"Expert",HR_Data[[#This Row],[Experience]]&gt;=8,"Senior",HR_Data[[#This Row],[Experience]]&gt;=3,"Mid-Level",TRUE(),"Junior")</f>
        <v>Senior</v>
      </c>
    </row>
    <row r="397" spans="1:22" ht="14.25" customHeight="1" x14ac:dyDescent="0.3">
      <c r="A397" t="s">
        <v>989</v>
      </c>
      <c r="B397" t="s">
        <v>831</v>
      </c>
      <c r="C397" t="s">
        <v>93</v>
      </c>
      <c r="D397" t="s">
        <v>33</v>
      </c>
      <c r="E397">
        <v>38</v>
      </c>
      <c r="F397">
        <v>71955</v>
      </c>
      <c r="G397">
        <v>16</v>
      </c>
      <c r="H397" t="s">
        <v>990</v>
      </c>
      <c r="I397" t="s">
        <v>80</v>
      </c>
      <c r="J397" t="s">
        <v>36</v>
      </c>
      <c r="K397" t="s">
        <v>29</v>
      </c>
      <c r="L397" t="str">
        <f t="array" ref="L397">_xlfn.IFS(HR_Data[[#This Row],[Experience]]&lt;2,"0-2 Years",HR_Data[[#This Row],[Experience]]&lt;5,"2-5 Years",HR_Data[[#This Row],[Experience]]&lt;10,"5-10 Years",TRUE(),"10+ Years")</f>
        <v>10+ Years</v>
      </c>
      <c r="M397" t="str">
        <f t="array" ref="M397">_xlfn.IFS(HR_Data[[#This Row],[Salary]]&lt;40000,"Low",HR_Data[[#This Row],[Salary]]&lt;70000,"Medium",HR_Data[[#This Row],[Salary]]&lt;100000,"High",TRUE(),"Very High")</f>
        <v>High</v>
      </c>
      <c r="N397" t="str">
        <f t="array" ref="N397">_xlfn.IFS(HR_Data[[#This Row],[Age]]&lt;25,"18-24",HR_Data[[#This Row],[Age]]&lt;35,"25-34",HR_Data[[#This Row],[Age]]&lt;45,"35-44",TRUE(),"45+")</f>
        <v>35-44</v>
      </c>
      <c r="O397">
        <f>YEAR(HR_Data[[#This Row],[Joining Date]])</f>
        <v>2019</v>
      </c>
      <c r="P397" t="str">
        <f>TEXT(HR_Data[[#This Row],[Joining Date]],"mmmm")</f>
        <v>January</v>
      </c>
      <c r="Q397">
        <f t="array" ref="Q397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97">
        <f>HR_Data[[#This Row],[Salary]]*HR_Data[[#This Row],[Bonus %]]</f>
        <v>7195.5</v>
      </c>
      <c r="S397">
        <f>HR_Data[[#This Row],[Salary]]+HR_Data[[#This Row],[Bonus Amount]]</f>
        <v>79150.5</v>
      </c>
      <c r="T397" t="str">
        <f>IF(HR_Data[[#This Row],[Attrition]]="Yes","Inactive","Active")</f>
        <v>Active</v>
      </c>
      <c r="U397" t="str">
        <f t="array" ref="U397">_xlfn.IFS(HR_Data[[#This Row],[Salary]]&gt;=100000,"A",HR_Data[[#This Row],[Salary]]&gt;=70000,"B",HR_Data[[#This Row],[Salary]]&gt;=50000,"C",TRUE(),"D")</f>
        <v>B</v>
      </c>
      <c r="V397" t="str">
        <f t="array" ref="V397">_xlfn.IFS(HR_Data[[#This Row],[Experience]]&gt;=15,"Expert",HR_Data[[#This Row],[Experience]]&gt;=8,"Senior",HR_Data[[#This Row],[Experience]]&gt;=3,"Mid-Level",TRUE(),"Junior")</f>
        <v>Expert</v>
      </c>
    </row>
    <row r="398" spans="1:22" ht="14.25" customHeight="1" x14ac:dyDescent="0.3">
      <c r="A398" t="s">
        <v>991</v>
      </c>
      <c r="B398" t="s">
        <v>478</v>
      </c>
      <c r="C398" t="s">
        <v>70</v>
      </c>
      <c r="D398" t="s">
        <v>33</v>
      </c>
      <c r="E398">
        <v>27</v>
      </c>
      <c r="F398">
        <v>33017</v>
      </c>
      <c r="G398">
        <v>4</v>
      </c>
      <c r="H398" t="s">
        <v>992</v>
      </c>
      <c r="I398" t="s">
        <v>42</v>
      </c>
      <c r="J398" t="s">
        <v>36</v>
      </c>
      <c r="K398" t="s">
        <v>29</v>
      </c>
      <c r="L398" t="str">
        <f t="array" ref="L398">_xlfn.IFS(HR_Data[[#This Row],[Experience]]&lt;2,"0-2 Years",HR_Data[[#This Row],[Experience]]&lt;5,"2-5 Years",HR_Data[[#This Row],[Experience]]&lt;10,"5-10 Years",TRUE(),"10+ Years")</f>
        <v>2-5 Years</v>
      </c>
      <c r="M398" t="str">
        <f t="array" ref="M398">_xlfn.IFS(HR_Data[[#This Row],[Salary]]&lt;40000,"Low",HR_Data[[#This Row],[Salary]]&lt;70000,"Medium",HR_Data[[#This Row],[Salary]]&lt;100000,"High",TRUE(),"Very High")</f>
        <v>Low</v>
      </c>
      <c r="N398" t="str">
        <f t="array" ref="N398">_xlfn.IFS(HR_Data[[#This Row],[Age]]&lt;25,"18-24",HR_Data[[#This Row],[Age]]&lt;35,"25-34",HR_Data[[#This Row],[Age]]&lt;45,"35-44",TRUE(),"45+")</f>
        <v>25-34</v>
      </c>
      <c r="O398">
        <f>YEAR(HR_Data[[#This Row],[Joining Date]])</f>
        <v>2019</v>
      </c>
      <c r="P398" t="str">
        <f>TEXT(HR_Data[[#This Row],[Joining Date]],"mmmm")</f>
        <v>June</v>
      </c>
      <c r="Q398">
        <f t="array" ref="Q39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398">
        <f>HR_Data[[#This Row],[Salary]]*HR_Data[[#This Row],[Bonus %]]</f>
        <v>3301.7000000000003</v>
      </c>
      <c r="S398">
        <f>HR_Data[[#This Row],[Salary]]+HR_Data[[#This Row],[Bonus Amount]]</f>
        <v>36318.699999999997</v>
      </c>
      <c r="T398" t="str">
        <f>IF(HR_Data[[#This Row],[Attrition]]="Yes","Inactive","Active")</f>
        <v>Active</v>
      </c>
      <c r="U398" t="str">
        <f t="array" ref="U398">_xlfn.IFS(HR_Data[[#This Row],[Salary]]&gt;=100000,"A",HR_Data[[#This Row],[Salary]]&gt;=70000,"B",HR_Data[[#This Row],[Salary]]&gt;=50000,"C",TRUE(),"D")</f>
        <v>D</v>
      </c>
      <c r="V398" t="str">
        <f t="array" ref="V398">_xlfn.IFS(HR_Data[[#This Row],[Experience]]&gt;=15,"Expert",HR_Data[[#This Row],[Experience]]&gt;=8,"Senior",HR_Data[[#This Row],[Experience]]&gt;=3,"Mid-Level",TRUE(),"Junior")</f>
        <v>Mid-Level</v>
      </c>
    </row>
    <row r="399" spans="1:22" ht="14.25" customHeight="1" x14ac:dyDescent="0.3">
      <c r="A399" t="s">
        <v>993</v>
      </c>
      <c r="B399" t="s">
        <v>994</v>
      </c>
      <c r="C399" t="s">
        <v>24</v>
      </c>
      <c r="D399" t="s">
        <v>33</v>
      </c>
      <c r="E399">
        <v>46</v>
      </c>
      <c r="F399">
        <v>76887</v>
      </c>
      <c r="G399">
        <v>18</v>
      </c>
      <c r="H399" t="s">
        <v>995</v>
      </c>
      <c r="I399" t="s">
        <v>72</v>
      </c>
      <c r="J399" t="s">
        <v>28</v>
      </c>
      <c r="K399" t="s">
        <v>29</v>
      </c>
      <c r="L399" t="str">
        <f t="array" ref="L399">_xlfn.IFS(HR_Data[[#This Row],[Experience]]&lt;2,"0-2 Years",HR_Data[[#This Row],[Experience]]&lt;5,"2-5 Years",HR_Data[[#This Row],[Experience]]&lt;10,"5-10 Years",TRUE(),"10+ Years")</f>
        <v>10+ Years</v>
      </c>
      <c r="M399" t="str">
        <f t="array" ref="M399">_xlfn.IFS(HR_Data[[#This Row],[Salary]]&lt;40000,"Low",HR_Data[[#This Row],[Salary]]&lt;70000,"Medium",HR_Data[[#This Row],[Salary]]&lt;100000,"High",TRUE(),"Very High")</f>
        <v>High</v>
      </c>
      <c r="N399" t="str">
        <f t="array" ref="N399">_xlfn.IFS(HR_Data[[#This Row],[Age]]&lt;25,"18-24",HR_Data[[#This Row],[Age]]&lt;35,"25-34",HR_Data[[#This Row],[Age]]&lt;45,"35-44",TRUE(),"45+")</f>
        <v>45+</v>
      </c>
      <c r="O399">
        <f>YEAR(HR_Data[[#This Row],[Joining Date]])</f>
        <v>2019</v>
      </c>
      <c r="P399" t="str">
        <f>TEXT(HR_Data[[#This Row],[Joining Date]],"mmmm")</f>
        <v>May</v>
      </c>
      <c r="Q399">
        <f t="array" ref="Q39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399">
        <f>HR_Data[[#This Row],[Salary]]*HR_Data[[#This Row],[Bonus %]]</f>
        <v>11533.05</v>
      </c>
      <c r="S399">
        <f>HR_Data[[#This Row],[Salary]]+HR_Data[[#This Row],[Bonus Amount]]</f>
        <v>88420.05</v>
      </c>
      <c r="T399" t="str">
        <f>IF(HR_Data[[#This Row],[Attrition]]="Yes","Inactive","Active")</f>
        <v>Active</v>
      </c>
      <c r="U399" t="str">
        <f t="array" ref="U399">_xlfn.IFS(HR_Data[[#This Row],[Salary]]&gt;=100000,"A",HR_Data[[#This Row],[Salary]]&gt;=70000,"B",HR_Data[[#This Row],[Salary]]&gt;=50000,"C",TRUE(),"D")</f>
        <v>B</v>
      </c>
      <c r="V399" t="str">
        <f t="array" ref="V399">_xlfn.IFS(HR_Data[[#This Row],[Experience]]&gt;=15,"Expert",HR_Data[[#This Row],[Experience]]&gt;=8,"Senior",HR_Data[[#This Row],[Experience]]&gt;=3,"Mid-Level",TRUE(),"Junior")</f>
        <v>Expert</v>
      </c>
    </row>
    <row r="400" spans="1:22" ht="14.25" customHeight="1" x14ac:dyDescent="0.3">
      <c r="A400" t="s">
        <v>996</v>
      </c>
      <c r="B400" t="s">
        <v>121</v>
      </c>
      <c r="C400" t="s">
        <v>134</v>
      </c>
      <c r="D400" t="s">
        <v>25</v>
      </c>
      <c r="E400">
        <v>47</v>
      </c>
      <c r="F400">
        <v>104634</v>
      </c>
      <c r="G400">
        <v>23</v>
      </c>
      <c r="H400" t="s">
        <v>997</v>
      </c>
      <c r="I400" t="s">
        <v>132</v>
      </c>
      <c r="J400" t="s">
        <v>63</v>
      </c>
      <c r="K400" t="s">
        <v>29</v>
      </c>
      <c r="L400" t="str">
        <f t="array" ref="L400">_xlfn.IFS(HR_Data[[#This Row],[Experience]]&lt;2,"0-2 Years",HR_Data[[#This Row],[Experience]]&lt;5,"2-5 Years",HR_Data[[#This Row],[Experience]]&lt;10,"5-10 Years",TRUE(),"10+ Years")</f>
        <v>10+ Years</v>
      </c>
      <c r="M400" t="str">
        <f t="array" ref="M400">_xlfn.IFS(HR_Data[[#This Row],[Salary]]&lt;40000,"Low",HR_Data[[#This Row],[Salary]]&lt;70000,"Medium",HR_Data[[#This Row],[Salary]]&lt;100000,"High",TRUE(),"Very High")</f>
        <v>Very High</v>
      </c>
      <c r="N400" t="str">
        <f t="array" ref="N400">_xlfn.IFS(HR_Data[[#This Row],[Age]]&lt;25,"18-24",HR_Data[[#This Row],[Age]]&lt;35,"25-34",HR_Data[[#This Row],[Age]]&lt;45,"35-44",TRUE(),"45+")</f>
        <v>45+</v>
      </c>
      <c r="O400">
        <f>YEAR(HR_Data[[#This Row],[Joining Date]])</f>
        <v>2018</v>
      </c>
      <c r="P400" t="str">
        <f>TEXT(HR_Data[[#This Row],[Joining Date]],"mmmm")</f>
        <v>October</v>
      </c>
      <c r="Q400">
        <f t="array" ref="Q400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400">
        <f>HR_Data[[#This Row],[Salary]]*HR_Data[[#This Row],[Bonus %]]</f>
        <v>20926.800000000003</v>
      </c>
      <c r="S400">
        <f>HR_Data[[#This Row],[Salary]]+HR_Data[[#This Row],[Bonus Amount]]</f>
        <v>125560.8</v>
      </c>
      <c r="T400" t="str">
        <f>IF(HR_Data[[#This Row],[Attrition]]="Yes","Inactive","Active")</f>
        <v>Active</v>
      </c>
      <c r="U400" t="str">
        <f t="array" ref="U400">_xlfn.IFS(HR_Data[[#This Row],[Salary]]&gt;=100000,"A",HR_Data[[#This Row],[Salary]]&gt;=70000,"B",HR_Data[[#This Row],[Salary]]&gt;=50000,"C",TRUE(),"D")</f>
        <v>A</v>
      </c>
      <c r="V400" t="str">
        <f t="array" ref="V400">_xlfn.IFS(HR_Data[[#This Row],[Experience]]&gt;=15,"Expert",HR_Data[[#This Row],[Experience]]&gt;=8,"Senior",HR_Data[[#This Row],[Experience]]&gt;=3,"Mid-Level",TRUE(),"Junior")</f>
        <v>Expert</v>
      </c>
    </row>
    <row r="401" spans="1:22" ht="14.25" customHeight="1" x14ac:dyDescent="0.3">
      <c r="A401" t="s">
        <v>998</v>
      </c>
      <c r="B401" t="s">
        <v>23</v>
      </c>
      <c r="C401" t="s">
        <v>70</v>
      </c>
      <c r="D401" t="s">
        <v>33</v>
      </c>
      <c r="E401">
        <v>47</v>
      </c>
      <c r="F401">
        <v>99366</v>
      </c>
      <c r="G401">
        <v>21</v>
      </c>
      <c r="H401" t="s">
        <v>999</v>
      </c>
      <c r="I401" t="s">
        <v>80</v>
      </c>
      <c r="J401" t="s">
        <v>28</v>
      </c>
      <c r="K401" t="s">
        <v>29</v>
      </c>
      <c r="L401" t="str">
        <f t="array" ref="L401">_xlfn.IFS(HR_Data[[#This Row],[Experience]]&lt;2,"0-2 Years",HR_Data[[#This Row],[Experience]]&lt;5,"2-5 Years",HR_Data[[#This Row],[Experience]]&lt;10,"5-10 Years",TRUE(),"10+ Years")</f>
        <v>10+ Years</v>
      </c>
      <c r="M401" t="str">
        <f t="array" ref="M401">_xlfn.IFS(HR_Data[[#This Row],[Salary]]&lt;40000,"Low",HR_Data[[#This Row],[Salary]]&lt;70000,"Medium",HR_Data[[#This Row],[Salary]]&lt;100000,"High",TRUE(),"Very High")</f>
        <v>High</v>
      </c>
      <c r="N401" t="str">
        <f t="array" ref="N401">_xlfn.IFS(HR_Data[[#This Row],[Age]]&lt;25,"18-24",HR_Data[[#This Row],[Age]]&lt;35,"25-34",HR_Data[[#This Row],[Age]]&lt;45,"35-44",TRUE(),"45+")</f>
        <v>45+</v>
      </c>
      <c r="O401">
        <f>YEAR(HR_Data[[#This Row],[Joining Date]])</f>
        <v>2024</v>
      </c>
      <c r="P401" t="str">
        <f>TEXT(HR_Data[[#This Row],[Joining Date]],"mmmm")</f>
        <v>December</v>
      </c>
      <c r="Q401">
        <f t="array" ref="Q401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01">
        <f>HR_Data[[#This Row],[Salary]]*HR_Data[[#This Row],[Bonus %]]</f>
        <v>14904.9</v>
      </c>
      <c r="S401">
        <f>HR_Data[[#This Row],[Salary]]+HR_Data[[#This Row],[Bonus Amount]]</f>
        <v>114270.9</v>
      </c>
      <c r="T401" t="str">
        <f>IF(HR_Data[[#This Row],[Attrition]]="Yes","Inactive","Active")</f>
        <v>Active</v>
      </c>
      <c r="U401" t="str">
        <f t="array" ref="U401">_xlfn.IFS(HR_Data[[#This Row],[Salary]]&gt;=100000,"A",HR_Data[[#This Row],[Salary]]&gt;=70000,"B",HR_Data[[#This Row],[Salary]]&gt;=50000,"C",TRUE(),"D")</f>
        <v>B</v>
      </c>
      <c r="V401" t="str">
        <f t="array" ref="V401">_xlfn.IFS(HR_Data[[#This Row],[Experience]]&gt;=15,"Expert",HR_Data[[#This Row],[Experience]]&gt;=8,"Senior",HR_Data[[#This Row],[Experience]]&gt;=3,"Mid-Level",TRUE(),"Junior")</f>
        <v>Expert</v>
      </c>
    </row>
    <row r="402" spans="1:22" ht="14.25" customHeight="1" x14ac:dyDescent="0.3">
      <c r="A402" t="s">
        <v>1000</v>
      </c>
      <c r="B402" t="s">
        <v>127</v>
      </c>
      <c r="C402" t="s">
        <v>75</v>
      </c>
      <c r="D402" t="s">
        <v>33</v>
      </c>
      <c r="E402">
        <v>35</v>
      </c>
      <c r="F402">
        <v>49036</v>
      </c>
      <c r="G402">
        <v>8</v>
      </c>
      <c r="H402" t="s">
        <v>1001</v>
      </c>
      <c r="I402" t="s">
        <v>72</v>
      </c>
      <c r="J402" t="s">
        <v>36</v>
      </c>
      <c r="K402" t="s">
        <v>29</v>
      </c>
      <c r="L402" t="str">
        <f t="array" ref="L402">_xlfn.IFS(HR_Data[[#This Row],[Experience]]&lt;2,"0-2 Years",HR_Data[[#This Row],[Experience]]&lt;5,"2-5 Years",HR_Data[[#This Row],[Experience]]&lt;10,"5-10 Years",TRUE(),"10+ Years")</f>
        <v>5-10 Years</v>
      </c>
      <c r="M402" t="str">
        <f t="array" ref="M402">_xlfn.IFS(HR_Data[[#This Row],[Salary]]&lt;40000,"Low",HR_Data[[#This Row],[Salary]]&lt;70000,"Medium",HR_Data[[#This Row],[Salary]]&lt;100000,"High",TRUE(),"Very High")</f>
        <v>Medium</v>
      </c>
      <c r="N402" t="str">
        <f t="array" ref="N402">_xlfn.IFS(HR_Data[[#This Row],[Age]]&lt;25,"18-24",HR_Data[[#This Row],[Age]]&lt;35,"25-34",HR_Data[[#This Row],[Age]]&lt;45,"35-44",TRUE(),"45+")</f>
        <v>35-44</v>
      </c>
      <c r="O402">
        <f>YEAR(HR_Data[[#This Row],[Joining Date]])</f>
        <v>2020</v>
      </c>
      <c r="P402" t="str">
        <f>TEXT(HR_Data[[#This Row],[Joining Date]],"mmmm")</f>
        <v>November</v>
      </c>
      <c r="Q402">
        <f t="array" ref="Q40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02">
        <f>HR_Data[[#This Row],[Salary]]*HR_Data[[#This Row],[Bonus %]]</f>
        <v>4903.6000000000004</v>
      </c>
      <c r="S402">
        <f>HR_Data[[#This Row],[Salary]]+HR_Data[[#This Row],[Bonus Amount]]</f>
        <v>53939.6</v>
      </c>
      <c r="T402" t="str">
        <f>IF(HR_Data[[#This Row],[Attrition]]="Yes","Inactive","Active")</f>
        <v>Active</v>
      </c>
      <c r="U402" t="str">
        <f t="array" ref="U402">_xlfn.IFS(HR_Data[[#This Row],[Salary]]&gt;=100000,"A",HR_Data[[#This Row],[Salary]]&gt;=70000,"B",HR_Data[[#This Row],[Salary]]&gt;=50000,"C",TRUE(),"D")</f>
        <v>D</v>
      </c>
      <c r="V402" t="str">
        <f t="array" ref="V402">_xlfn.IFS(HR_Data[[#This Row],[Experience]]&gt;=15,"Expert",HR_Data[[#This Row],[Experience]]&gt;=8,"Senior",HR_Data[[#This Row],[Experience]]&gt;=3,"Mid-Level",TRUE(),"Junior")</f>
        <v>Senior</v>
      </c>
    </row>
    <row r="403" spans="1:22" ht="14.25" customHeight="1" x14ac:dyDescent="0.3">
      <c r="A403" t="s">
        <v>1002</v>
      </c>
      <c r="B403" t="s">
        <v>115</v>
      </c>
      <c r="C403" t="s">
        <v>70</v>
      </c>
      <c r="D403" t="s">
        <v>25</v>
      </c>
      <c r="E403">
        <v>53</v>
      </c>
      <c r="F403">
        <v>103971</v>
      </c>
      <c r="G403">
        <v>25</v>
      </c>
      <c r="H403" t="s">
        <v>1003</v>
      </c>
      <c r="I403" t="s">
        <v>62</v>
      </c>
      <c r="J403" t="s">
        <v>36</v>
      </c>
      <c r="K403" t="s">
        <v>29</v>
      </c>
      <c r="L403" t="str">
        <f t="array" ref="L403">_xlfn.IFS(HR_Data[[#This Row],[Experience]]&lt;2,"0-2 Years",HR_Data[[#This Row],[Experience]]&lt;5,"2-5 Years",HR_Data[[#This Row],[Experience]]&lt;10,"5-10 Years",TRUE(),"10+ Years")</f>
        <v>10+ Years</v>
      </c>
      <c r="M403" t="str">
        <f t="array" ref="M403">_xlfn.IFS(HR_Data[[#This Row],[Salary]]&lt;40000,"Low",HR_Data[[#This Row],[Salary]]&lt;70000,"Medium",HR_Data[[#This Row],[Salary]]&lt;100000,"High",TRUE(),"Very High")</f>
        <v>Very High</v>
      </c>
      <c r="N403" t="str">
        <f t="array" ref="N403">_xlfn.IFS(HR_Data[[#This Row],[Age]]&lt;25,"18-24",HR_Data[[#This Row],[Age]]&lt;35,"25-34",HR_Data[[#This Row],[Age]]&lt;45,"35-44",TRUE(),"45+")</f>
        <v>45+</v>
      </c>
      <c r="O403">
        <f>YEAR(HR_Data[[#This Row],[Joining Date]])</f>
        <v>2015</v>
      </c>
      <c r="P403" t="str">
        <f>TEXT(HR_Data[[#This Row],[Joining Date]],"mmmm")</f>
        <v>October</v>
      </c>
      <c r="Q403">
        <f t="array" ref="Q403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03">
        <f>HR_Data[[#This Row],[Salary]]*HR_Data[[#This Row],[Bonus %]]</f>
        <v>10397.1</v>
      </c>
      <c r="S403">
        <f>HR_Data[[#This Row],[Salary]]+HR_Data[[#This Row],[Bonus Amount]]</f>
        <v>114368.1</v>
      </c>
      <c r="T403" t="str">
        <f>IF(HR_Data[[#This Row],[Attrition]]="Yes","Inactive","Active")</f>
        <v>Active</v>
      </c>
      <c r="U403" t="str">
        <f t="array" ref="U403">_xlfn.IFS(HR_Data[[#This Row],[Salary]]&gt;=100000,"A",HR_Data[[#This Row],[Salary]]&gt;=70000,"B",HR_Data[[#This Row],[Salary]]&gt;=50000,"C",TRUE(),"D")</f>
        <v>A</v>
      </c>
      <c r="V403" t="str">
        <f t="array" ref="V403">_xlfn.IFS(HR_Data[[#This Row],[Experience]]&gt;=15,"Expert",HR_Data[[#This Row],[Experience]]&gt;=8,"Senior",HR_Data[[#This Row],[Experience]]&gt;=3,"Mid-Level",TRUE(),"Junior")</f>
        <v>Expert</v>
      </c>
    </row>
    <row r="404" spans="1:22" ht="14.25" customHeight="1" x14ac:dyDescent="0.3">
      <c r="A404" t="s">
        <v>1004</v>
      </c>
      <c r="B404" t="s">
        <v>155</v>
      </c>
      <c r="C404" t="s">
        <v>75</v>
      </c>
      <c r="D404" t="s">
        <v>33</v>
      </c>
      <c r="E404">
        <v>42</v>
      </c>
      <c r="F404">
        <v>71335</v>
      </c>
      <c r="G404">
        <v>14</v>
      </c>
      <c r="H404" t="s">
        <v>1005</v>
      </c>
      <c r="I404" t="s">
        <v>57</v>
      </c>
      <c r="J404" t="s">
        <v>36</v>
      </c>
      <c r="K404" t="s">
        <v>29</v>
      </c>
      <c r="L404" t="str">
        <f t="array" ref="L404">_xlfn.IFS(HR_Data[[#This Row],[Experience]]&lt;2,"0-2 Years",HR_Data[[#This Row],[Experience]]&lt;5,"2-5 Years",HR_Data[[#This Row],[Experience]]&lt;10,"5-10 Years",TRUE(),"10+ Years")</f>
        <v>10+ Years</v>
      </c>
      <c r="M404" t="str">
        <f t="array" ref="M404">_xlfn.IFS(HR_Data[[#This Row],[Salary]]&lt;40000,"Low",HR_Data[[#This Row],[Salary]]&lt;70000,"Medium",HR_Data[[#This Row],[Salary]]&lt;100000,"High",TRUE(),"Very High")</f>
        <v>High</v>
      </c>
      <c r="N404" t="str">
        <f t="array" ref="N404">_xlfn.IFS(HR_Data[[#This Row],[Age]]&lt;25,"18-24",HR_Data[[#This Row],[Age]]&lt;35,"25-34",HR_Data[[#This Row],[Age]]&lt;45,"35-44",TRUE(),"45+")</f>
        <v>35-44</v>
      </c>
      <c r="O404">
        <f>YEAR(HR_Data[[#This Row],[Joining Date]])</f>
        <v>2018</v>
      </c>
      <c r="P404" t="str">
        <f>TEXT(HR_Data[[#This Row],[Joining Date]],"mmmm")</f>
        <v>January</v>
      </c>
      <c r="Q404">
        <f t="array" ref="Q404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04">
        <f>HR_Data[[#This Row],[Salary]]*HR_Data[[#This Row],[Bonus %]]</f>
        <v>7133.5</v>
      </c>
      <c r="S404">
        <f>HR_Data[[#This Row],[Salary]]+HR_Data[[#This Row],[Bonus Amount]]</f>
        <v>78468.5</v>
      </c>
      <c r="T404" t="str">
        <f>IF(HR_Data[[#This Row],[Attrition]]="Yes","Inactive","Active")</f>
        <v>Active</v>
      </c>
      <c r="U404" t="str">
        <f t="array" ref="U404">_xlfn.IFS(HR_Data[[#This Row],[Salary]]&gt;=100000,"A",HR_Data[[#This Row],[Salary]]&gt;=70000,"B",HR_Data[[#This Row],[Salary]]&gt;=50000,"C",TRUE(),"D")</f>
        <v>B</v>
      </c>
      <c r="V404" t="str">
        <f t="array" ref="V404">_xlfn.IFS(HR_Data[[#This Row],[Experience]]&gt;=15,"Expert",HR_Data[[#This Row],[Experience]]&gt;=8,"Senior",HR_Data[[#This Row],[Experience]]&gt;=3,"Mid-Level",TRUE(),"Junior")</f>
        <v>Senior</v>
      </c>
    </row>
    <row r="405" spans="1:22" ht="14.25" customHeight="1" x14ac:dyDescent="0.3">
      <c r="A405" t="s">
        <v>1006</v>
      </c>
      <c r="B405" t="s">
        <v>471</v>
      </c>
      <c r="C405" t="s">
        <v>93</v>
      </c>
      <c r="D405" t="s">
        <v>25</v>
      </c>
      <c r="E405">
        <v>37</v>
      </c>
      <c r="F405">
        <v>53599</v>
      </c>
      <c r="G405">
        <v>10</v>
      </c>
      <c r="H405" t="s">
        <v>476</v>
      </c>
      <c r="I405" t="s">
        <v>27</v>
      </c>
      <c r="J405" t="s">
        <v>28</v>
      </c>
      <c r="K405" t="s">
        <v>29</v>
      </c>
      <c r="L405" t="str">
        <f t="array" ref="L405">_xlfn.IFS(HR_Data[[#This Row],[Experience]]&lt;2,"0-2 Years",HR_Data[[#This Row],[Experience]]&lt;5,"2-5 Years",HR_Data[[#This Row],[Experience]]&lt;10,"5-10 Years",TRUE(),"10+ Years")</f>
        <v>10+ Years</v>
      </c>
      <c r="M405" t="str">
        <f t="array" ref="M405">_xlfn.IFS(HR_Data[[#This Row],[Salary]]&lt;40000,"Low",HR_Data[[#This Row],[Salary]]&lt;70000,"Medium",HR_Data[[#This Row],[Salary]]&lt;100000,"High",TRUE(),"Very High")</f>
        <v>Medium</v>
      </c>
      <c r="N405" t="str">
        <f t="array" ref="N405">_xlfn.IFS(HR_Data[[#This Row],[Age]]&lt;25,"18-24",HR_Data[[#This Row],[Age]]&lt;35,"25-34",HR_Data[[#This Row],[Age]]&lt;45,"35-44",TRUE(),"45+")</f>
        <v>35-44</v>
      </c>
      <c r="O405">
        <f>YEAR(HR_Data[[#This Row],[Joining Date]])</f>
        <v>2025</v>
      </c>
      <c r="P405" t="str">
        <f>TEXT(HR_Data[[#This Row],[Joining Date]],"mmmm")</f>
        <v>January</v>
      </c>
      <c r="Q405">
        <f t="array" ref="Q405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05">
        <f>HR_Data[[#This Row],[Salary]]*HR_Data[[#This Row],[Bonus %]]</f>
        <v>8039.8499999999995</v>
      </c>
      <c r="S405">
        <f>HR_Data[[#This Row],[Salary]]+HR_Data[[#This Row],[Bonus Amount]]</f>
        <v>61638.85</v>
      </c>
      <c r="T405" t="str">
        <f>IF(HR_Data[[#This Row],[Attrition]]="Yes","Inactive","Active")</f>
        <v>Active</v>
      </c>
      <c r="U405" t="str">
        <f t="array" ref="U405">_xlfn.IFS(HR_Data[[#This Row],[Salary]]&gt;=100000,"A",HR_Data[[#This Row],[Salary]]&gt;=70000,"B",HR_Data[[#This Row],[Salary]]&gt;=50000,"C",TRUE(),"D")</f>
        <v>C</v>
      </c>
      <c r="V405" t="str">
        <f t="array" ref="V405">_xlfn.IFS(HR_Data[[#This Row],[Experience]]&gt;=15,"Expert",HR_Data[[#This Row],[Experience]]&gt;=8,"Senior",HR_Data[[#This Row],[Experience]]&gt;=3,"Mid-Level",TRUE(),"Junior")</f>
        <v>Senior</v>
      </c>
    </row>
    <row r="406" spans="1:22" ht="14.25" customHeight="1" x14ac:dyDescent="0.3">
      <c r="A406" t="s">
        <v>1007</v>
      </c>
      <c r="B406" t="s">
        <v>31</v>
      </c>
      <c r="C406" t="s">
        <v>55</v>
      </c>
      <c r="D406" t="s">
        <v>25</v>
      </c>
      <c r="E406">
        <v>40</v>
      </c>
      <c r="F406">
        <v>69393</v>
      </c>
      <c r="G406">
        <v>14</v>
      </c>
      <c r="H406" t="s">
        <v>1008</v>
      </c>
      <c r="I406" t="s">
        <v>35</v>
      </c>
      <c r="J406" t="s">
        <v>28</v>
      </c>
      <c r="K406" t="s">
        <v>29</v>
      </c>
      <c r="L406" t="str">
        <f t="array" ref="L406">_xlfn.IFS(HR_Data[[#This Row],[Experience]]&lt;2,"0-2 Years",HR_Data[[#This Row],[Experience]]&lt;5,"2-5 Years",HR_Data[[#This Row],[Experience]]&lt;10,"5-10 Years",TRUE(),"10+ Years")</f>
        <v>10+ Years</v>
      </c>
      <c r="M406" t="str">
        <f t="array" ref="M406">_xlfn.IFS(HR_Data[[#This Row],[Salary]]&lt;40000,"Low",HR_Data[[#This Row],[Salary]]&lt;70000,"Medium",HR_Data[[#This Row],[Salary]]&lt;100000,"High",TRUE(),"Very High")</f>
        <v>Medium</v>
      </c>
      <c r="N406" t="str">
        <f t="array" ref="N406">_xlfn.IFS(HR_Data[[#This Row],[Age]]&lt;25,"18-24",HR_Data[[#This Row],[Age]]&lt;35,"25-34",HR_Data[[#This Row],[Age]]&lt;45,"35-44",TRUE(),"45+")</f>
        <v>35-44</v>
      </c>
      <c r="O406">
        <f>YEAR(HR_Data[[#This Row],[Joining Date]])</f>
        <v>2016</v>
      </c>
      <c r="P406" t="str">
        <f>TEXT(HR_Data[[#This Row],[Joining Date]],"mmmm")</f>
        <v>May</v>
      </c>
      <c r="Q406">
        <f t="array" ref="Q406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06">
        <f>HR_Data[[#This Row],[Salary]]*HR_Data[[#This Row],[Bonus %]]</f>
        <v>10408.949999999999</v>
      </c>
      <c r="S406">
        <f>HR_Data[[#This Row],[Salary]]+HR_Data[[#This Row],[Bonus Amount]]</f>
        <v>79801.95</v>
      </c>
      <c r="T406" t="str">
        <f>IF(HR_Data[[#This Row],[Attrition]]="Yes","Inactive","Active")</f>
        <v>Active</v>
      </c>
      <c r="U406" t="str">
        <f t="array" ref="U406">_xlfn.IFS(HR_Data[[#This Row],[Salary]]&gt;=100000,"A",HR_Data[[#This Row],[Salary]]&gt;=70000,"B",HR_Data[[#This Row],[Salary]]&gt;=50000,"C",TRUE(),"D")</f>
        <v>C</v>
      </c>
      <c r="V406" t="str">
        <f t="array" ref="V406">_xlfn.IFS(HR_Data[[#This Row],[Experience]]&gt;=15,"Expert",HR_Data[[#This Row],[Experience]]&gt;=8,"Senior",HR_Data[[#This Row],[Experience]]&gt;=3,"Mid-Level",TRUE(),"Junior")</f>
        <v>Senior</v>
      </c>
    </row>
    <row r="407" spans="1:22" ht="14.25" customHeight="1" x14ac:dyDescent="0.3">
      <c r="A407" t="s">
        <v>1009</v>
      </c>
      <c r="B407" t="s">
        <v>1010</v>
      </c>
      <c r="C407" t="s">
        <v>24</v>
      </c>
      <c r="D407" t="s">
        <v>33</v>
      </c>
      <c r="E407">
        <v>48</v>
      </c>
      <c r="F407">
        <v>111107</v>
      </c>
      <c r="G407">
        <v>29</v>
      </c>
      <c r="H407" t="s">
        <v>1011</v>
      </c>
      <c r="I407" t="s">
        <v>62</v>
      </c>
      <c r="J407" t="s">
        <v>63</v>
      </c>
      <c r="K407" t="s">
        <v>29</v>
      </c>
      <c r="L407" t="str">
        <f t="array" ref="L407">_xlfn.IFS(HR_Data[[#This Row],[Experience]]&lt;2,"0-2 Years",HR_Data[[#This Row],[Experience]]&lt;5,"2-5 Years",HR_Data[[#This Row],[Experience]]&lt;10,"5-10 Years",TRUE(),"10+ Years")</f>
        <v>10+ Years</v>
      </c>
      <c r="M407" t="str">
        <f t="array" ref="M407">_xlfn.IFS(HR_Data[[#This Row],[Salary]]&lt;40000,"Low",HR_Data[[#This Row],[Salary]]&lt;70000,"Medium",HR_Data[[#This Row],[Salary]]&lt;100000,"High",TRUE(),"Very High")</f>
        <v>Very High</v>
      </c>
      <c r="N407" t="str">
        <f t="array" ref="N407">_xlfn.IFS(HR_Data[[#This Row],[Age]]&lt;25,"18-24",HR_Data[[#This Row],[Age]]&lt;35,"25-34",HR_Data[[#This Row],[Age]]&lt;45,"35-44",TRUE(),"45+")</f>
        <v>45+</v>
      </c>
      <c r="O407">
        <f>YEAR(HR_Data[[#This Row],[Joining Date]])</f>
        <v>2022</v>
      </c>
      <c r="P407" t="str">
        <f>TEXT(HR_Data[[#This Row],[Joining Date]],"mmmm")</f>
        <v>April</v>
      </c>
      <c r="Q407">
        <f t="array" ref="Q407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407">
        <f>HR_Data[[#This Row],[Salary]]*HR_Data[[#This Row],[Bonus %]]</f>
        <v>22221.4</v>
      </c>
      <c r="S407">
        <f>HR_Data[[#This Row],[Salary]]+HR_Data[[#This Row],[Bonus Amount]]</f>
        <v>133328.4</v>
      </c>
      <c r="T407" t="str">
        <f>IF(HR_Data[[#This Row],[Attrition]]="Yes","Inactive","Active")</f>
        <v>Active</v>
      </c>
      <c r="U407" t="str">
        <f t="array" ref="U407">_xlfn.IFS(HR_Data[[#This Row],[Salary]]&gt;=100000,"A",HR_Data[[#This Row],[Salary]]&gt;=70000,"B",HR_Data[[#This Row],[Salary]]&gt;=50000,"C",TRUE(),"D")</f>
        <v>A</v>
      </c>
      <c r="V407" t="str">
        <f t="array" ref="V407">_xlfn.IFS(HR_Data[[#This Row],[Experience]]&gt;=15,"Expert",HR_Data[[#This Row],[Experience]]&gt;=8,"Senior",HR_Data[[#This Row],[Experience]]&gt;=3,"Mid-Level",TRUE(),"Junior")</f>
        <v>Expert</v>
      </c>
    </row>
    <row r="408" spans="1:22" ht="14.25" customHeight="1" x14ac:dyDescent="0.3">
      <c r="A408" t="s">
        <v>1012</v>
      </c>
      <c r="B408" t="s">
        <v>332</v>
      </c>
      <c r="C408" t="s">
        <v>32</v>
      </c>
      <c r="D408" t="s">
        <v>25</v>
      </c>
      <c r="E408">
        <v>48</v>
      </c>
      <c r="F408">
        <v>113057</v>
      </c>
      <c r="G408">
        <v>24</v>
      </c>
      <c r="H408" t="s">
        <v>1013</v>
      </c>
      <c r="I408" t="s">
        <v>67</v>
      </c>
      <c r="J408" t="s">
        <v>36</v>
      </c>
      <c r="K408" t="s">
        <v>29</v>
      </c>
      <c r="L408" t="str">
        <f t="array" ref="L408">_xlfn.IFS(HR_Data[[#This Row],[Experience]]&lt;2,"0-2 Years",HR_Data[[#This Row],[Experience]]&lt;5,"2-5 Years",HR_Data[[#This Row],[Experience]]&lt;10,"5-10 Years",TRUE(),"10+ Years")</f>
        <v>10+ Years</v>
      </c>
      <c r="M408" t="str">
        <f t="array" ref="M408">_xlfn.IFS(HR_Data[[#This Row],[Salary]]&lt;40000,"Low",HR_Data[[#This Row],[Salary]]&lt;70000,"Medium",HR_Data[[#This Row],[Salary]]&lt;100000,"High",TRUE(),"Very High")</f>
        <v>Very High</v>
      </c>
      <c r="N408" t="str">
        <f t="array" ref="N408">_xlfn.IFS(HR_Data[[#This Row],[Age]]&lt;25,"18-24",HR_Data[[#This Row],[Age]]&lt;35,"25-34",HR_Data[[#This Row],[Age]]&lt;45,"35-44",TRUE(),"45+")</f>
        <v>45+</v>
      </c>
      <c r="O408">
        <f>YEAR(HR_Data[[#This Row],[Joining Date]])</f>
        <v>2016</v>
      </c>
      <c r="P408" t="str">
        <f>TEXT(HR_Data[[#This Row],[Joining Date]],"mmmm")</f>
        <v>September</v>
      </c>
      <c r="Q408">
        <f t="array" ref="Q40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08">
        <f>HR_Data[[#This Row],[Salary]]*HR_Data[[#This Row],[Bonus %]]</f>
        <v>11305.7</v>
      </c>
      <c r="S408">
        <f>HR_Data[[#This Row],[Salary]]+HR_Data[[#This Row],[Bonus Amount]]</f>
        <v>124362.7</v>
      </c>
      <c r="T408" t="str">
        <f>IF(HR_Data[[#This Row],[Attrition]]="Yes","Inactive","Active")</f>
        <v>Active</v>
      </c>
      <c r="U408" t="str">
        <f t="array" ref="U408">_xlfn.IFS(HR_Data[[#This Row],[Salary]]&gt;=100000,"A",HR_Data[[#This Row],[Salary]]&gt;=70000,"B",HR_Data[[#This Row],[Salary]]&gt;=50000,"C",TRUE(),"D")</f>
        <v>A</v>
      </c>
      <c r="V408" t="str">
        <f t="array" ref="V408">_xlfn.IFS(HR_Data[[#This Row],[Experience]]&gt;=15,"Expert",HR_Data[[#This Row],[Experience]]&gt;=8,"Senior",HR_Data[[#This Row],[Experience]]&gt;=3,"Mid-Level",TRUE(),"Junior")</f>
        <v>Expert</v>
      </c>
    </row>
    <row r="409" spans="1:22" ht="14.25" customHeight="1" x14ac:dyDescent="0.3">
      <c r="A409" t="s">
        <v>1014</v>
      </c>
      <c r="B409" t="s">
        <v>1015</v>
      </c>
      <c r="C409" t="s">
        <v>40</v>
      </c>
      <c r="D409" t="s">
        <v>25</v>
      </c>
      <c r="E409">
        <v>57</v>
      </c>
      <c r="F409">
        <v>135998</v>
      </c>
      <c r="G409">
        <v>31</v>
      </c>
      <c r="H409" t="s">
        <v>1016</v>
      </c>
      <c r="I409" t="s">
        <v>57</v>
      </c>
      <c r="J409" t="s">
        <v>36</v>
      </c>
      <c r="K409" t="s">
        <v>29</v>
      </c>
      <c r="L409" t="str">
        <f t="array" ref="L409">_xlfn.IFS(HR_Data[[#This Row],[Experience]]&lt;2,"0-2 Years",HR_Data[[#This Row],[Experience]]&lt;5,"2-5 Years",HR_Data[[#This Row],[Experience]]&lt;10,"5-10 Years",TRUE(),"10+ Years")</f>
        <v>10+ Years</v>
      </c>
      <c r="M409" t="str">
        <f t="array" ref="M409">_xlfn.IFS(HR_Data[[#This Row],[Salary]]&lt;40000,"Low",HR_Data[[#This Row],[Salary]]&lt;70000,"Medium",HR_Data[[#This Row],[Salary]]&lt;100000,"High",TRUE(),"Very High")</f>
        <v>Very High</v>
      </c>
      <c r="N409" t="str">
        <f t="array" ref="N409">_xlfn.IFS(HR_Data[[#This Row],[Age]]&lt;25,"18-24",HR_Data[[#This Row],[Age]]&lt;35,"25-34",HR_Data[[#This Row],[Age]]&lt;45,"35-44",TRUE(),"45+")</f>
        <v>45+</v>
      </c>
      <c r="O409">
        <f>YEAR(HR_Data[[#This Row],[Joining Date]])</f>
        <v>2015</v>
      </c>
      <c r="P409" t="str">
        <f>TEXT(HR_Data[[#This Row],[Joining Date]],"mmmm")</f>
        <v>February</v>
      </c>
      <c r="Q409">
        <f t="array" ref="Q40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09">
        <f>HR_Data[[#This Row],[Salary]]*HR_Data[[#This Row],[Bonus %]]</f>
        <v>13599.800000000001</v>
      </c>
      <c r="S409">
        <f>HR_Data[[#This Row],[Salary]]+HR_Data[[#This Row],[Bonus Amount]]</f>
        <v>149597.79999999999</v>
      </c>
      <c r="T409" t="str">
        <f>IF(HR_Data[[#This Row],[Attrition]]="Yes","Inactive","Active")</f>
        <v>Active</v>
      </c>
      <c r="U409" t="str">
        <f t="array" ref="U409">_xlfn.IFS(HR_Data[[#This Row],[Salary]]&gt;=100000,"A",HR_Data[[#This Row],[Salary]]&gt;=70000,"B",HR_Data[[#This Row],[Salary]]&gt;=50000,"C",TRUE(),"D")</f>
        <v>A</v>
      </c>
      <c r="V409" t="str">
        <f t="array" ref="V409">_xlfn.IFS(HR_Data[[#This Row],[Experience]]&gt;=15,"Expert",HR_Data[[#This Row],[Experience]]&gt;=8,"Senior",HR_Data[[#This Row],[Experience]]&gt;=3,"Mid-Level",TRUE(),"Junior")</f>
        <v>Expert</v>
      </c>
    </row>
    <row r="410" spans="1:22" ht="14.25" customHeight="1" x14ac:dyDescent="0.3">
      <c r="A410" t="s">
        <v>1017</v>
      </c>
      <c r="B410" t="s">
        <v>121</v>
      </c>
      <c r="C410" t="s">
        <v>55</v>
      </c>
      <c r="D410" t="s">
        <v>33</v>
      </c>
      <c r="E410">
        <v>30</v>
      </c>
      <c r="F410">
        <v>50956</v>
      </c>
      <c r="G410">
        <v>9</v>
      </c>
      <c r="H410" t="s">
        <v>1018</v>
      </c>
      <c r="I410" t="s">
        <v>35</v>
      </c>
      <c r="J410" t="s">
        <v>36</v>
      </c>
      <c r="K410" t="s">
        <v>29</v>
      </c>
      <c r="L410" t="str">
        <f t="array" ref="L410">_xlfn.IFS(HR_Data[[#This Row],[Experience]]&lt;2,"0-2 Years",HR_Data[[#This Row],[Experience]]&lt;5,"2-5 Years",HR_Data[[#This Row],[Experience]]&lt;10,"5-10 Years",TRUE(),"10+ Years")</f>
        <v>5-10 Years</v>
      </c>
      <c r="M410" t="str">
        <f t="array" ref="M410">_xlfn.IFS(HR_Data[[#This Row],[Salary]]&lt;40000,"Low",HR_Data[[#This Row],[Salary]]&lt;70000,"Medium",HR_Data[[#This Row],[Salary]]&lt;100000,"High",TRUE(),"Very High")</f>
        <v>Medium</v>
      </c>
      <c r="N410" t="str">
        <f t="array" ref="N410">_xlfn.IFS(HR_Data[[#This Row],[Age]]&lt;25,"18-24",HR_Data[[#This Row],[Age]]&lt;35,"25-34",HR_Data[[#This Row],[Age]]&lt;45,"35-44",TRUE(),"45+")</f>
        <v>25-34</v>
      </c>
      <c r="O410">
        <f>YEAR(HR_Data[[#This Row],[Joining Date]])</f>
        <v>2023</v>
      </c>
      <c r="P410" t="str">
        <f>TEXT(HR_Data[[#This Row],[Joining Date]],"mmmm")</f>
        <v>February</v>
      </c>
      <c r="Q410">
        <f t="array" ref="Q41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10">
        <f>HR_Data[[#This Row],[Salary]]*HR_Data[[#This Row],[Bonus %]]</f>
        <v>5095.6000000000004</v>
      </c>
      <c r="S410">
        <f>HR_Data[[#This Row],[Salary]]+HR_Data[[#This Row],[Bonus Amount]]</f>
        <v>56051.6</v>
      </c>
      <c r="T410" t="str">
        <f>IF(HR_Data[[#This Row],[Attrition]]="Yes","Inactive","Active")</f>
        <v>Active</v>
      </c>
      <c r="U410" t="str">
        <f t="array" ref="U410">_xlfn.IFS(HR_Data[[#This Row],[Salary]]&gt;=100000,"A",HR_Data[[#This Row],[Salary]]&gt;=70000,"B",HR_Data[[#This Row],[Salary]]&gt;=50000,"C",TRUE(),"D")</f>
        <v>C</v>
      </c>
      <c r="V410" t="str">
        <f t="array" ref="V410">_xlfn.IFS(HR_Data[[#This Row],[Experience]]&gt;=15,"Expert",HR_Data[[#This Row],[Experience]]&gt;=8,"Senior",HR_Data[[#This Row],[Experience]]&gt;=3,"Mid-Level",TRUE(),"Junior")</f>
        <v>Senior</v>
      </c>
    </row>
    <row r="411" spans="1:22" ht="14.25" customHeight="1" x14ac:dyDescent="0.3">
      <c r="A411" t="s">
        <v>1019</v>
      </c>
      <c r="B411" t="s">
        <v>96</v>
      </c>
      <c r="C411" t="s">
        <v>70</v>
      </c>
      <c r="D411" t="s">
        <v>33</v>
      </c>
      <c r="E411">
        <v>56</v>
      </c>
      <c r="F411">
        <v>119904</v>
      </c>
      <c r="G411">
        <v>30</v>
      </c>
      <c r="H411" t="s">
        <v>1020</v>
      </c>
      <c r="I411" t="s">
        <v>132</v>
      </c>
      <c r="J411" t="s">
        <v>36</v>
      </c>
      <c r="K411" t="s">
        <v>29</v>
      </c>
      <c r="L411" t="str">
        <f t="array" ref="L411">_xlfn.IFS(HR_Data[[#This Row],[Experience]]&lt;2,"0-2 Years",HR_Data[[#This Row],[Experience]]&lt;5,"2-5 Years",HR_Data[[#This Row],[Experience]]&lt;10,"5-10 Years",TRUE(),"10+ Years")</f>
        <v>10+ Years</v>
      </c>
      <c r="M411" t="str">
        <f t="array" ref="M411">_xlfn.IFS(HR_Data[[#This Row],[Salary]]&lt;40000,"Low",HR_Data[[#This Row],[Salary]]&lt;70000,"Medium",HR_Data[[#This Row],[Salary]]&lt;100000,"High",TRUE(),"Very High")</f>
        <v>Very High</v>
      </c>
      <c r="N411" t="str">
        <f t="array" ref="N411">_xlfn.IFS(HR_Data[[#This Row],[Age]]&lt;25,"18-24",HR_Data[[#This Row],[Age]]&lt;35,"25-34",HR_Data[[#This Row],[Age]]&lt;45,"35-44",TRUE(),"45+")</f>
        <v>45+</v>
      </c>
      <c r="O411">
        <f>YEAR(HR_Data[[#This Row],[Joining Date]])</f>
        <v>2018</v>
      </c>
      <c r="P411" t="str">
        <f>TEXT(HR_Data[[#This Row],[Joining Date]],"mmmm")</f>
        <v>August</v>
      </c>
      <c r="Q411">
        <f t="array" ref="Q41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11">
        <f>HR_Data[[#This Row],[Salary]]*HR_Data[[#This Row],[Bonus %]]</f>
        <v>11990.400000000001</v>
      </c>
      <c r="S411">
        <f>HR_Data[[#This Row],[Salary]]+HR_Data[[#This Row],[Bonus Amount]]</f>
        <v>131894.39999999999</v>
      </c>
      <c r="T411" t="str">
        <f>IF(HR_Data[[#This Row],[Attrition]]="Yes","Inactive","Active")</f>
        <v>Active</v>
      </c>
      <c r="U411" t="str">
        <f t="array" ref="U411">_xlfn.IFS(HR_Data[[#This Row],[Salary]]&gt;=100000,"A",HR_Data[[#This Row],[Salary]]&gt;=70000,"B",HR_Data[[#This Row],[Salary]]&gt;=50000,"C",TRUE(),"D")</f>
        <v>A</v>
      </c>
      <c r="V411" t="str">
        <f t="array" ref="V411">_xlfn.IFS(HR_Data[[#This Row],[Experience]]&gt;=15,"Expert",HR_Data[[#This Row],[Experience]]&gt;=8,"Senior",HR_Data[[#This Row],[Experience]]&gt;=3,"Mid-Level",TRUE(),"Junior")</f>
        <v>Expert</v>
      </c>
    </row>
    <row r="412" spans="1:22" ht="14.25" customHeight="1" x14ac:dyDescent="0.3">
      <c r="A412" t="s">
        <v>1021</v>
      </c>
      <c r="B412" t="s">
        <v>252</v>
      </c>
      <c r="C412" t="s">
        <v>32</v>
      </c>
      <c r="D412" t="s">
        <v>33</v>
      </c>
      <c r="E412">
        <v>51</v>
      </c>
      <c r="F412">
        <v>138152</v>
      </c>
      <c r="G412">
        <v>32</v>
      </c>
      <c r="H412" t="s">
        <v>1022</v>
      </c>
      <c r="I412" t="s">
        <v>80</v>
      </c>
      <c r="J412" t="s">
        <v>63</v>
      </c>
      <c r="K412" t="s">
        <v>29</v>
      </c>
      <c r="L412" t="str">
        <f t="array" ref="L412">_xlfn.IFS(HR_Data[[#This Row],[Experience]]&lt;2,"0-2 Years",HR_Data[[#This Row],[Experience]]&lt;5,"2-5 Years",HR_Data[[#This Row],[Experience]]&lt;10,"5-10 Years",TRUE(),"10+ Years")</f>
        <v>10+ Years</v>
      </c>
      <c r="M412" t="str">
        <f t="array" ref="M412">_xlfn.IFS(HR_Data[[#This Row],[Salary]]&lt;40000,"Low",HR_Data[[#This Row],[Salary]]&lt;70000,"Medium",HR_Data[[#This Row],[Salary]]&lt;100000,"High",TRUE(),"Very High")</f>
        <v>Very High</v>
      </c>
      <c r="N412" t="str">
        <f t="array" ref="N412">_xlfn.IFS(HR_Data[[#This Row],[Age]]&lt;25,"18-24",HR_Data[[#This Row],[Age]]&lt;35,"25-34",HR_Data[[#This Row],[Age]]&lt;45,"35-44",TRUE(),"45+")</f>
        <v>45+</v>
      </c>
      <c r="O412">
        <f>YEAR(HR_Data[[#This Row],[Joining Date]])</f>
        <v>2018</v>
      </c>
      <c r="P412" t="str">
        <f>TEXT(HR_Data[[#This Row],[Joining Date]],"mmmm")</f>
        <v>April</v>
      </c>
      <c r="Q412">
        <f t="array" ref="Q412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412">
        <f>HR_Data[[#This Row],[Salary]]*HR_Data[[#This Row],[Bonus %]]</f>
        <v>27630.400000000001</v>
      </c>
      <c r="S412">
        <f>HR_Data[[#This Row],[Salary]]+HR_Data[[#This Row],[Bonus Amount]]</f>
        <v>165782.39999999999</v>
      </c>
      <c r="T412" t="str">
        <f>IF(HR_Data[[#This Row],[Attrition]]="Yes","Inactive","Active")</f>
        <v>Active</v>
      </c>
      <c r="U412" t="str">
        <f t="array" ref="U412">_xlfn.IFS(HR_Data[[#This Row],[Salary]]&gt;=100000,"A",HR_Data[[#This Row],[Salary]]&gt;=70000,"B",HR_Data[[#This Row],[Salary]]&gt;=50000,"C",TRUE(),"D")</f>
        <v>A</v>
      </c>
      <c r="V412" t="str">
        <f t="array" ref="V412">_xlfn.IFS(HR_Data[[#This Row],[Experience]]&gt;=15,"Expert",HR_Data[[#This Row],[Experience]]&gt;=8,"Senior",HR_Data[[#This Row],[Experience]]&gt;=3,"Mid-Level",TRUE(),"Junior")</f>
        <v>Expert</v>
      </c>
    </row>
    <row r="413" spans="1:22" ht="14.25" customHeight="1" x14ac:dyDescent="0.3">
      <c r="A413" t="s">
        <v>1023</v>
      </c>
      <c r="B413" t="s">
        <v>161</v>
      </c>
      <c r="C413" t="s">
        <v>70</v>
      </c>
      <c r="D413" t="s">
        <v>33</v>
      </c>
      <c r="E413">
        <v>27</v>
      </c>
      <c r="F413">
        <v>47719</v>
      </c>
      <c r="G413">
        <v>5</v>
      </c>
      <c r="H413" t="s">
        <v>1024</v>
      </c>
      <c r="I413" t="s">
        <v>72</v>
      </c>
      <c r="J413" t="s">
        <v>46</v>
      </c>
      <c r="K413" t="s">
        <v>29</v>
      </c>
      <c r="L413" t="str">
        <f t="array" ref="L413">_xlfn.IFS(HR_Data[[#This Row],[Experience]]&lt;2,"0-2 Years",HR_Data[[#This Row],[Experience]]&lt;5,"2-5 Years",HR_Data[[#This Row],[Experience]]&lt;10,"5-10 Years",TRUE(),"10+ Years")</f>
        <v>5-10 Years</v>
      </c>
      <c r="M413" t="str">
        <f t="array" ref="M413">_xlfn.IFS(HR_Data[[#This Row],[Salary]]&lt;40000,"Low",HR_Data[[#This Row],[Salary]]&lt;70000,"Medium",HR_Data[[#This Row],[Salary]]&lt;100000,"High",TRUE(),"Very High")</f>
        <v>Medium</v>
      </c>
      <c r="N413" t="str">
        <f t="array" ref="N413">_xlfn.IFS(HR_Data[[#This Row],[Age]]&lt;25,"18-24",HR_Data[[#This Row],[Age]]&lt;35,"25-34",HR_Data[[#This Row],[Age]]&lt;45,"35-44",TRUE(),"45+")</f>
        <v>25-34</v>
      </c>
      <c r="O413">
        <f>YEAR(HR_Data[[#This Row],[Joining Date]])</f>
        <v>2025</v>
      </c>
      <c r="P413" t="str">
        <f>TEXT(HR_Data[[#This Row],[Joining Date]],"mmmm")</f>
        <v>July</v>
      </c>
      <c r="Q413">
        <f t="array" ref="Q413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413">
        <f>HR_Data[[#This Row],[Salary]]*HR_Data[[#This Row],[Bonus %]]</f>
        <v>2385.9500000000003</v>
      </c>
      <c r="S413">
        <f>HR_Data[[#This Row],[Salary]]+HR_Data[[#This Row],[Bonus Amount]]</f>
        <v>50104.95</v>
      </c>
      <c r="T413" t="str">
        <f>IF(HR_Data[[#This Row],[Attrition]]="Yes","Inactive","Active")</f>
        <v>Active</v>
      </c>
      <c r="U413" t="str">
        <f t="array" ref="U413">_xlfn.IFS(HR_Data[[#This Row],[Salary]]&gt;=100000,"A",HR_Data[[#This Row],[Salary]]&gt;=70000,"B",HR_Data[[#This Row],[Salary]]&gt;=50000,"C",TRUE(),"D")</f>
        <v>D</v>
      </c>
      <c r="V413" t="str">
        <f t="array" ref="V413">_xlfn.IFS(HR_Data[[#This Row],[Experience]]&gt;=15,"Expert",HR_Data[[#This Row],[Experience]]&gt;=8,"Senior",HR_Data[[#This Row],[Experience]]&gt;=3,"Mid-Level",TRUE(),"Junior")</f>
        <v>Mid-Level</v>
      </c>
    </row>
    <row r="414" spans="1:22" ht="14.25" customHeight="1" x14ac:dyDescent="0.3">
      <c r="A414" t="s">
        <v>1025</v>
      </c>
      <c r="B414" t="s">
        <v>130</v>
      </c>
      <c r="C414" t="s">
        <v>32</v>
      </c>
      <c r="D414" t="s">
        <v>25</v>
      </c>
      <c r="E414">
        <v>55</v>
      </c>
      <c r="F414">
        <v>124895</v>
      </c>
      <c r="G414">
        <v>32</v>
      </c>
      <c r="H414" t="s">
        <v>1026</v>
      </c>
      <c r="I414" t="s">
        <v>132</v>
      </c>
      <c r="J414" t="s">
        <v>46</v>
      </c>
      <c r="K414" t="s">
        <v>29</v>
      </c>
      <c r="L414" t="str">
        <f t="array" ref="L414">_xlfn.IFS(HR_Data[[#This Row],[Experience]]&lt;2,"0-2 Years",HR_Data[[#This Row],[Experience]]&lt;5,"2-5 Years",HR_Data[[#This Row],[Experience]]&lt;10,"5-10 Years",TRUE(),"10+ Years")</f>
        <v>10+ Years</v>
      </c>
      <c r="M414" t="str">
        <f t="array" ref="M414">_xlfn.IFS(HR_Data[[#This Row],[Salary]]&lt;40000,"Low",HR_Data[[#This Row],[Salary]]&lt;70000,"Medium",HR_Data[[#This Row],[Salary]]&lt;100000,"High",TRUE(),"Very High")</f>
        <v>Very High</v>
      </c>
      <c r="N414" t="str">
        <f t="array" ref="N414">_xlfn.IFS(HR_Data[[#This Row],[Age]]&lt;25,"18-24",HR_Data[[#This Row],[Age]]&lt;35,"25-34",HR_Data[[#This Row],[Age]]&lt;45,"35-44",TRUE(),"45+")</f>
        <v>45+</v>
      </c>
      <c r="O414">
        <f>YEAR(HR_Data[[#This Row],[Joining Date]])</f>
        <v>2022</v>
      </c>
      <c r="P414" t="str">
        <f>TEXT(HR_Data[[#This Row],[Joining Date]],"mmmm")</f>
        <v>September</v>
      </c>
      <c r="Q414">
        <f t="array" ref="Q414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414">
        <f>HR_Data[[#This Row],[Salary]]*HR_Data[[#This Row],[Bonus %]]</f>
        <v>6244.75</v>
      </c>
      <c r="S414">
        <f>HR_Data[[#This Row],[Salary]]+HR_Data[[#This Row],[Bonus Amount]]</f>
        <v>131139.75</v>
      </c>
      <c r="T414" t="str">
        <f>IF(HR_Data[[#This Row],[Attrition]]="Yes","Inactive","Active")</f>
        <v>Active</v>
      </c>
      <c r="U414" t="str">
        <f t="array" ref="U414">_xlfn.IFS(HR_Data[[#This Row],[Salary]]&gt;=100000,"A",HR_Data[[#This Row],[Salary]]&gt;=70000,"B",HR_Data[[#This Row],[Salary]]&gt;=50000,"C",TRUE(),"D")</f>
        <v>A</v>
      </c>
      <c r="V414" t="str">
        <f t="array" ref="V414">_xlfn.IFS(HR_Data[[#This Row],[Experience]]&gt;=15,"Expert",HR_Data[[#This Row],[Experience]]&gt;=8,"Senior",HR_Data[[#This Row],[Experience]]&gt;=3,"Mid-Level",TRUE(),"Junior")</f>
        <v>Expert</v>
      </c>
    </row>
    <row r="415" spans="1:22" ht="14.25" customHeight="1" x14ac:dyDescent="0.3">
      <c r="A415" t="s">
        <v>1027</v>
      </c>
      <c r="B415" t="s">
        <v>177</v>
      </c>
      <c r="C415" t="s">
        <v>70</v>
      </c>
      <c r="D415" t="s">
        <v>25</v>
      </c>
      <c r="E415">
        <v>25</v>
      </c>
      <c r="F415">
        <v>42830</v>
      </c>
      <c r="G415">
        <v>6</v>
      </c>
      <c r="H415" t="s">
        <v>1028</v>
      </c>
      <c r="I415" t="s">
        <v>72</v>
      </c>
      <c r="J415" t="s">
        <v>36</v>
      </c>
      <c r="K415" t="s">
        <v>29</v>
      </c>
      <c r="L415" t="str">
        <f t="array" ref="L415">_xlfn.IFS(HR_Data[[#This Row],[Experience]]&lt;2,"0-2 Years",HR_Data[[#This Row],[Experience]]&lt;5,"2-5 Years",HR_Data[[#This Row],[Experience]]&lt;10,"5-10 Years",TRUE(),"10+ Years")</f>
        <v>5-10 Years</v>
      </c>
      <c r="M415" t="str">
        <f t="array" ref="M415">_xlfn.IFS(HR_Data[[#This Row],[Salary]]&lt;40000,"Low",HR_Data[[#This Row],[Salary]]&lt;70000,"Medium",HR_Data[[#This Row],[Salary]]&lt;100000,"High",TRUE(),"Very High")</f>
        <v>Medium</v>
      </c>
      <c r="N415" t="str">
        <f t="array" ref="N415">_xlfn.IFS(HR_Data[[#This Row],[Age]]&lt;25,"18-24",HR_Data[[#This Row],[Age]]&lt;35,"25-34",HR_Data[[#This Row],[Age]]&lt;45,"35-44",TRUE(),"45+")</f>
        <v>25-34</v>
      </c>
      <c r="O415">
        <f>YEAR(HR_Data[[#This Row],[Joining Date]])</f>
        <v>2026</v>
      </c>
      <c r="P415" t="str">
        <f>TEXT(HR_Data[[#This Row],[Joining Date]],"mmmm")</f>
        <v>April</v>
      </c>
      <c r="Q415">
        <f t="array" ref="Q41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15">
        <f>HR_Data[[#This Row],[Salary]]*HR_Data[[#This Row],[Bonus %]]</f>
        <v>4283</v>
      </c>
      <c r="S415">
        <f>HR_Data[[#This Row],[Salary]]+HR_Data[[#This Row],[Bonus Amount]]</f>
        <v>47113</v>
      </c>
      <c r="T415" t="str">
        <f>IF(HR_Data[[#This Row],[Attrition]]="Yes","Inactive","Active")</f>
        <v>Active</v>
      </c>
      <c r="U415" t="str">
        <f t="array" ref="U415">_xlfn.IFS(HR_Data[[#This Row],[Salary]]&gt;=100000,"A",HR_Data[[#This Row],[Salary]]&gt;=70000,"B",HR_Data[[#This Row],[Salary]]&gt;=50000,"C",TRUE(),"D")</f>
        <v>D</v>
      </c>
      <c r="V415" t="str">
        <f t="array" ref="V415">_xlfn.IFS(HR_Data[[#This Row],[Experience]]&gt;=15,"Expert",HR_Data[[#This Row],[Experience]]&gt;=8,"Senior",HR_Data[[#This Row],[Experience]]&gt;=3,"Mid-Level",TRUE(),"Junior")</f>
        <v>Mid-Level</v>
      </c>
    </row>
    <row r="416" spans="1:22" ht="14.25" customHeight="1" x14ac:dyDescent="0.3">
      <c r="A416" t="s">
        <v>1029</v>
      </c>
      <c r="B416" t="s">
        <v>439</v>
      </c>
      <c r="C416" t="s">
        <v>112</v>
      </c>
      <c r="D416" t="s">
        <v>25</v>
      </c>
      <c r="E416">
        <v>29</v>
      </c>
      <c r="F416">
        <v>39893</v>
      </c>
      <c r="G416">
        <v>2</v>
      </c>
      <c r="H416" t="s">
        <v>1030</v>
      </c>
      <c r="I416" t="s">
        <v>45</v>
      </c>
      <c r="J416" t="s">
        <v>63</v>
      </c>
      <c r="K416" t="s">
        <v>29</v>
      </c>
      <c r="L416" t="str">
        <f t="array" ref="L416">_xlfn.IFS(HR_Data[[#This Row],[Experience]]&lt;2,"0-2 Years",HR_Data[[#This Row],[Experience]]&lt;5,"2-5 Years",HR_Data[[#This Row],[Experience]]&lt;10,"5-10 Years",TRUE(),"10+ Years")</f>
        <v>2-5 Years</v>
      </c>
      <c r="M416" t="str">
        <f t="array" ref="M416">_xlfn.IFS(HR_Data[[#This Row],[Salary]]&lt;40000,"Low",HR_Data[[#This Row],[Salary]]&lt;70000,"Medium",HR_Data[[#This Row],[Salary]]&lt;100000,"High",TRUE(),"Very High")</f>
        <v>Low</v>
      </c>
      <c r="N416" t="str">
        <f t="array" ref="N416">_xlfn.IFS(HR_Data[[#This Row],[Age]]&lt;25,"18-24",HR_Data[[#This Row],[Age]]&lt;35,"25-34",HR_Data[[#This Row],[Age]]&lt;45,"35-44",TRUE(),"45+")</f>
        <v>25-34</v>
      </c>
      <c r="O416">
        <f>YEAR(HR_Data[[#This Row],[Joining Date]])</f>
        <v>2017</v>
      </c>
      <c r="P416" t="str">
        <f>TEXT(HR_Data[[#This Row],[Joining Date]],"mmmm")</f>
        <v>August</v>
      </c>
      <c r="Q416">
        <f t="array" ref="Q416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416">
        <f>HR_Data[[#This Row],[Salary]]*HR_Data[[#This Row],[Bonus %]]</f>
        <v>7978.6</v>
      </c>
      <c r="S416">
        <f>HR_Data[[#This Row],[Salary]]+HR_Data[[#This Row],[Bonus Amount]]</f>
        <v>47871.6</v>
      </c>
      <c r="T416" t="str">
        <f>IF(HR_Data[[#This Row],[Attrition]]="Yes","Inactive","Active")</f>
        <v>Active</v>
      </c>
      <c r="U416" t="str">
        <f t="array" ref="U416">_xlfn.IFS(HR_Data[[#This Row],[Salary]]&gt;=100000,"A",HR_Data[[#This Row],[Salary]]&gt;=70000,"B",HR_Data[[#This Row],[Salary]]&gt;=50000,"C",TRUE(),"D")</f>
        <v>D</v>
      </c>
      <c r="V416" t="str">
        <f t="array" ref="V416">_xlfn.IFS(HR_Data[[#This Row],[Experience]]&gt;=15,"Expert",HR_Data[[#This Row],[Experience]]&gt;=8,"Senior",HR_Data[[#This Row],[Experience]]&gt;=3,"Mid-Level",TRUE(),"Junior")</f>
        <v>Junior</v>
      </c>
    </row>
    <row r="417" spans="1:22" ht="14.25" customHeight="1" x14ac:dyDescent="0.3">
      <c r="A417" t="s">
        <v>1031</v>
      </c>
      <c r="B417" t="s">
        <v>155</v>
      </c>
      <c r="C417" t="s">
        <v>24</v>
      </c>
      <c r="D417" t="s">
        <v>33</v>
      </c>
      <c r="E417">
        <v>50</v>
      </c>
      <c r="F417">
        <v>101623</v>
      </c>
      <c r="G417">
        <v>26</v>
      </c>
      <c r="H417" t="s">
        <v>1032</v>
      </c>
      <c r="I417" t="s">
        <v>62</v>
      </c>
      <c r="J417" t="s">
        <v>28</v>
      </c>
      <c r="K417" t="s">
        <v>29</v>
      </c>
      <c r="L417" t="str">
        <f t="array" ref="L417">_xlfn.IFS(HR_Data[[#This Row],[Experience]]&lt;2,"0-2 Years",HR_Data[[#This Row],[Experience]]&lt;5,"2-5 Years",HR_Data[[#This Row],[Experience]]&lt;10,"5-10 Years",TRUE(),"10+ Years")</f>
        <v>10+ Years</v>
      </c>
      <c r="M417" t="str">
        <f t="array" ref="M417">_xlfn.IFS(HR_Data[[#This Row],[Salary]]&lt;40000,"Low",HR_Data[[#This Row],[Salary]]&lt;70000,"Medium",HR_Data[[#This Row],[Salary]]&lt;100000,"High",TRUE(),"Very High")</f>
        <v>Very High</v>
      </c>
      <c r="N417" t="str">
        <f t="array" ref="N417">_xlfn.IFS(HR_Data[[#This Row],[Age]]&lt;25,"18-24",HR_Data[[#This Row],[Age]]&lt;35,"25-34",HR_Data[[#This Row],[Age]]&lt;45,"35-44",TRUE(),"45+")</f>
        <v>45+</v>
      </c>
      <c r="O417">
        <f>YEAR(HR_Data[[#This Row],[Joining Date]])</f>
        <v>2024</v>
      </c>
      <c r="P417" t="str">
        <f>TEXT(HR_Data[[#This Row],[Joining Date]],"mmmm")</f>
        <v>August</v>
      </c>
      <c r="Q417">
        <f t="array" ref="Q41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17">
        <f>HR_Data[[#This Row],[Salary]]*HR_Data[[#This Row],[Bonus %]]</f>
        <v>15243.449999999999</v>
      </c>
      <c r="S417">
        <f>HR_Data[[#This Row],[Salary]]+HR_Data[[#This Row],[Bonus Amount]]</f>
        <v>116866.45</v>
      </c>
      <c r="T417" t="str">
        <f>IF(HR_Data[[#This Row],[Attrition]]="Yes","Inactive","Active")</f>
        <v>Active</v>
      </c>
      <c r="U417" t="str">
        <f t="array" ref="U417">_xlfn.IFS(HR_Data[[#This Row],[Salary]]&gt;=100000,"A",HR_Data[[#This Row],[Salary]]&gt;=70000,"B",HR_Data[[#This Row],[Salary]]&gt;=50000,"C",TRUE(),"D")</f>
        <v>A</v>
      </c>
      <c r="V417" t="str">
        <f t="array" ref="V417">_xlfn.IFS(HR_Data[[#This Row],[Experience]]&gt;=15,"Expert",HR_Data[[#This Row],[Experience]]&gt;=8,"Senior",HR_Data[[#This Row],[Experience]]&gt;=3,"Mid-Level",TRUE(),"Junior")</f>
        <v>Expert</v>
      </c>
    </row>
    <row r="418" spans="1:22" ht="14.25" customHeight="1" x14ac:dyDescent="0.3">
      <c r="A418" t="s">
        <v>1033</v>
      </c>
      <c r="B418" t="s">
        <v>439</v>
      </c>
      <c r="C418" t="s">
        <v>32</v>
      </c>
      <c r="D418" t="s">
        <v>25</v>
      </c>
      <c r="E418">
        <v>31</v>
      </c>
      <c r="F418">
        <v>58234</v>
      </c>
      <c r="G418">
        <v>8</v>
      </c>
      <c r="H418" t="s">
        <v>1034</v>
      </c>
      <c r="I418" t="s">
        <v>57</v>
      </c>
      <c r="J418" t="s">
        <v>46</v>
      </c>
      <c r="K418" t="s">
        <v>37</v>
      </c>
      <c r="L418" t="str">
        <f t="array" ref="L418">_xlfn.IFS(HR_Data[[#This Row],[Experience]]&lt;2,"0-2 Years",HR_Data[[#This Row],[Experience]]&lt;5,"2-5 Years",HR_Data[[#This Row],[Experience]]&lt;10,"5-10 Years",TRUE(),"10+ Years")</f>
        <v>5-10 Years</v>
      </c>
      <c r="M418" t="str">
        <f t="array" ref="M418">_xlfn.IFS(HR_Data[[#This Row],[Salary]]&lt;40000,"Low",HR_Data[[#This Row],[Salary]]&lt;70000,"Medium",HR_Data[[#This Row],[Salary]]&lt;100000,"High",TRUE(),"Very High")</f>
        <v>Medium</v>
      </c>
      <c r="N418" t="str">
        <f t="array" ref="N418">_xlfn.IFS(HR_Data[[#This Row],[Age]]&lt;25,"18-24",HR_Data[[#This Row],[Age]]&lt;35,"25-34",HR_Data[[#This Row],[Age]]&lt;45,"35-44",TRUE(),"45+")</f>
        <v>25-34</v>
      </c>
      <c r="O418">
        <f>YEAR(HR_Data[[#This Row],[Joining Date]])</f>
        <v>2020</v>
      </c>
      <c r="P418" t="str">
        <f>TEXT(HR_Data[[#This Row],[Joining Date]],"mmmm")</f>
        <v>March</v>
      </c>
      <c r="Q418">
        <f t="array" ref="Q418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418">
        <f>HR_Data[[#This Row],[Salary]]*HR_Data[[#This Row],[Bonus %]]</f>
        <v>2911.7000000000003</v>
      </c>
      <c r="S418">
        <f>HR_Data[[#This Row],[Salary]]+HR_Data[[#This Row],[Bonus Amount]]</f>
        <v>61145.7</v>
      </c>
      <c r="T418" t="str">
        <f>IF(HR_Data[[#This Row],[Attrition]]="Yes","Inactive","Active")</f>
        <v>Inactive</v>
      </c>
      <c r="U418" t="str">
        <f t="array" ref="U418">_xlfn.IFS(HR_Data[[#This Row],[Salary]]&gt;=100000,"A",HR_Data[[#This Row],[Salary]]&gt;=70000,"B",HR_Data[[#This Row],[Salary]]&gt;=50000,"C",TRUE(),"D")</f>
        <v>C</v>
      </c>
      <c r="V418" t="str">
        <f t="array" ref="V418">_xlfn.IFS(HR_Data[[#This Row],[Experience]]&gt;=15,"Expert",HR_Data[[#This Row],[Experience]]&gt;=8,"Senior",HR_Data[[#This Row],[Experience]]&gt;=3,"Mid-Level",TRUE(),"Junior")</f>
        <v>Senior</v>
      </c>
    </row>
    <row r="419" spans="1:22" ht="14.25" customHeight="1" x14ac:dyDescent="0.3">
      <c r="A419" t="s">
        <v>1035</v>
      </c>
      <c r="B419" t="s">
        <v>226</v>
      </c>
      <c r="C419" t="s">
        <v>32</v>
      </c>
      <c r="D419" t="s">
        <v>25</v>
      </c>
      <c r="E419">
        <v>30</v>
      </c>
      <c r="F419">
        <v>25000</v>
      </c>
      <c r="G419">
        <v>0</v>
      </c>
      <c r="H419" t="s">
        <v>1036</v>
      </c>
      <c r="I419" t="s">
        <v>42</v>
      </c>
      <c r="J419" t="s">
        <v>36</v>
      </c>
      <c r="K419" t="s">
        <v>29</v>
      </c>
      <c r="L419" t="str">
        <f t="array" ref="L419">_xlfn.IFS(HR_Data[[#This Row],[Experience]]&lt;2,"0-2 Years",HR_Data[[#This Row],[Experience]]&lt;5,"2-5 Years",HR_Data[[#This Row],[Experience]]&lt;10,"5-10 Years",TRUE(),"10+ Years")</f>
        <v>0-2 Years</v>
      </c>
      <c r="M419" t="str">
        <f t="array" ref="M419">_xlfn.IFS(HR_Data[[#This Row],[Salary]]&lt;40000,"Low",HR_Data[[#This Row],[Salary]]&lt;70000,"Medium",HR_Data[[#This Row],[Salary]]&lt;100000,"High",TRUE(),"Very High")</f>
        <v>Low</v>
      </c>
      <c r="N419" t="str">
        <f t="array" ref="N419">_xlfn.IFS(HR_Data[[#This Row],[Age]]&lt;25,"18-24",HR_Data[[#This Row],[Age]]&lt;35,"25-34",HR_Data[[#This Row],[Age]]&lt;45,"35-44",TRUE(),"45+")</f>
        <v>25-34</v>
      </c>
      <c r="O419">
        <f>YEAR(HR_Data[[#This Row],[Joining Date]])</f>
        <v>2017</v>
      </c>
      <c r="P419" t="str">
        <f>TEXT(HR_Data[[#This Row],[Joining Date]],"mmmm")</f>
        <v>August</v>
      </c>
      <c r="Q419">
        <f t="array" ref="Q41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19">
        <f>HR_Data[[#This Row],[Salary]]*HR_Data[[#This Row],[Bonus %]]</f>
        <v>2500</v>
      </c>
      <c r="S419">
        <f>HR_Data[[#This Row],[Salary]]+HR_Data[[#This Row],[Bonus Amount]]</f>
        <v>27500</v>
      </c>
      <c r="T419" t="str">
        <f>IF(HR_Data[[#This Row],[Attrition]]="Yes","Inactive","Active")</f>
        <v>Active</v>
      </c>
      <c r="U419" t="str">
        <f t="array" ref="U419">_xlfn.IFS(HR_Data[[#This Row],[Salary]]&gt;=100000,"A",HR_Data[[#This Row],[Salary]]&gt;=70000,"B",HR_Data[[#This Row],[Salary]]&gt;=50000,"C",TRUE(),"D")</f>
        <v>D</v>
      </c>
      <c r="V419" t="str">
        <f t="array" ref="V419">_xlfn.IFS(HR_Data[[#This Row],[Experience]]&gt;=15,"Expert",HR_Data[[#This Row],[Experience]]&gt;=8,"Senior",HR_Data[[#This Row],[Experience]]&gt;=3,"Mid-Level",TRUE(),"Junior")</f>
        <v>Junior</v>
      </c>
    </row>
    <row r="420" spans="1:22" ht="14.25" customHeight="1" x14ac:dyDescent="0.3">
      <c r="A420" t="s">
        <v>1037</v>
      </c>
      <c r="B420" t="s">
        <v>59</v>
      </c>
      <c r="C420" t="s">
        <v>24</v>
      </c>
      <c r="D420" t="s">
        <v>25</v>
      </c>
      <c r="E420">
        <v>34</v>
      </c>
      <c r="F420">
        <v>64981</v>
      </c>
      <c r="G420">
        <v>9</v>
      </c>
      <c r="H420" t="s">
        <v>1038</v>
      </c>
      <c r="I420" t="s">
        <v>62</v>
      </c>
      <c r="J420" t="s">
        <v>28</v>
      </c>
      <c r="K420" t="s">
        <v>29</v>
      </c>
      <c r="L420" t="str">
        <f t="array" ref="L420">_xlfn.IFS(HR_Data[[#This Row],[Experience]]&lt;2,"0-2 Years",HR_Data[[#This Row],[Experience]]&lt;5,"2-5 Years",HR_Data[[#This Row],[Experience]]&lt;10,"5-10 Years",TRUE(),"10+ Years")</f>
        <v>5-10 Years</v>
      </c>
      <c r="M420" t="str">
        <f t="array" ref="M420">_xlfn.IFS(HR_Data[[#This Row],[Salary]]&lt;40000,"Low",HR_Data[[#This Row],[Salary]]&lt;70000,"Medium",HR_Data[[#This Row],[Salary]]&lt;100000,"High",TRUE(),"Very High")</f>
        <v>Medium</v>
      </c>
      <c r="N420" t="str">
        <f t="array" ref="N420">_xlfn.IFS(HR_Data[[#This Row],[Age]]&lt;25,"18-24",HR_Data[[#This Row],[Age]]&lt;35,"25-34",HR_Data[[#This Row],[Age]]&lt;45,"35-44",TRUE(),"45+")</f>
        <v>25-34</v>
      </c>
      <c r="O420">
        <f>YEAR(HR_Data[[#This Row],[Joining Date]])</f>
        <v>2020</v>
      </c>
      <c r="P420" t="str">
        <f>TEXT(HR_Data[[#This Row],[Joining Date]],"mmmm")</f>
        <v>September</v>
      </c>
      <c r="Q420">
        <f t="array" ref="Q420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20">
        <f>HR_Data[[#This Row],[Salary]]*HR_Data[[#This Row],[Bonus %]]</f>
        <v>9747.15</v>
      </c>
      <c r="S420">
        <f>HR_Data[[#This Row],[Salary]]+HR_Data[[#This Row],[Bonus Amount]]</f>
        <v>74728.149999999994</v>
      </c>
      <c r="T420" t="str">
        <f>IF(HR_Data[[#This Row],[Attrition]]="Yes","Inactive","Active")</f>
        <v>Active</v>
      </c>
      <c r="U420" t="str">
        <f t="array" ref="U420">_xlfn.IFS(HR_Data[[#This Row],[Salary]]&gt;=100000,"A",HR_Data[[#This Row],[Salary]]&gt;=70000,"B",HR_Data[[#This Row],[Salary]]&gt;=50000,"C",TRUE(),"D")</f>
        <v>C</v>
      </c>
      <c r="V420" t="str">
        <f t="array" ref="V420">_xlfn.IFS(HR_Data[[#This Row],[Experience]]&gt;=15,"Expert",HR_Data[[#This Row],[Experience]]&gt;=8,"Senior",HR_Data[[#This Row],[Experience]]&gt;=3,"Mid-Level",TRUE(),"Junior")</f>
        <v>Senior</v>
      </c>
    </row>
    <row r="421" spans="1:22" ht="14.25" customHeight="1" x14ac:dyDescent="0.3">
      <c r="A421" t="s">
        <v>1039</v>
      </c>
      <c r="B421" t="s">
        <v>322</v>
      </c>
      <c r="C421" t="s">
        <v>134</v>
      </c>
      <c r="D421" t="s">
        <v>25</v>
      </c>
      <c r="E421">
        <v>38</v>
      </c>
      <c r="F421">
        <v>76691</v>
      </c>
      <c r="G421">
        <v>13</v>
      </c>
      <c r="H421" t="s">
        <v>1040</v>
      </c>
      <c r="I421" t="s">
        <v>62</v>
      </c>
      <c r="J421" t="s">
        <v>28</v>
      </c>
      <c r="K421" t="s">
        <v>29</v>
      </c>
      <c r="L421" t="str">
        <f t="array" ref="L421">_xlfn.IFS(HR_Data[[#This Row],[Experience]]&lt;2,"0-2 Years",HR_Data[[#This Row],[Experience]]&lt;5,"2-5 Years",HR_Data[[#This Row],[Experience]]&lt;10,"5-10 Years",TRUE(),"10+ Years")</f>
        <v>10+ Years</v>
      </c>
      <c r="M421" t="str">
        <f t="array" ref="M421">_xlfn.IFS(HR_Data[[#This Row],[Salary]]&lt;40000,"Low",HR_Data[[#This Row],[Salary]]&lt;70000,"Medium",HR_Data[[#This Row],[Salary]]&lt;100000,"High",TRUE(),"Very High")</f>
        <v>High</v>
      </c>
      <c r="N421" t="str">
        <f t="array" ref="N421">_xlfn.IFS(HR_Data[[#This Row],[Age]]&lt;25,"18-24",HR_Data[[#This Row],[Age]]&lt;35,"25-34",HR_Data[[#This Row],[Age]]&lt;45,"35-44",TRUE(),"45+")</f>
        <v>35-44</v>
      </c>
      <c r="O421">
        <f>YEAR(HR_Data[[#This Row],[Joining Date]])</f>
        <v>2025</v>
      </c>
      <c r="P421" t="str">
        <f>TEXT(HR_Data[[#This Row],[Joining Date]],"mmmm")</f>
        <v>October</v>
      </c>
      <c r="Q421">
        <f t="array" ref="Q421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21">
        <f>HR_Data[[#This Row],[Salary]]*HR_Data[[#This Row],[Bonus %]]</f>
        <v>11503.65</v>
      </c>
      <c r="S421">
        <f>HR_Data[[#This Row],[Salary]]+HR_Data[[#This Row],[Bonus Amount]]</f>
        <v>88194.65</v>
      </c>
      <c r="T421" t="str">
        <f>IF(HR_Data[[#This Row],[Attrition]]="Yes","Inactive","Active")</f>
        <v>Active</v>
      </c>
      <c r="U421" t="str">
        <f t="array" ref="U421">_xlfn.IFS(HR_Data[[#This Row],[Salary]]&gt;=100000,"A",HR_Data[[#This Row],[Salary]]&gt;=70000,"B",HR_Data[[#This Row],[Salary]]&gt;=50000,"C",TRUE(),"D")</f>
        <v>B</v>
      </c>
      <c r="V421" t="str">
        <f t="array" ref="V421">_xlfn.IFS(HR_Data[[#This Row],[Experience]]&gt;=15,"Expert",HR_Data[[#This Row],[Experience]]&gt;=8,"Senior",HR_Data[[#This Row],[Experience]]&gt;=3,"Mid-Level",TRUE(),"Junior")</f>
        <v>Senior</v>
      </c>
    </row>
    <row r="422" spans="1:22" ht="14.25" customHeight="1" x14ac:dyDescent="0.3">
      <c r="A422" t="s">
        <v>1041</v>
      </c>
      <c r="B422" t="s">
        <v>1042</v>
      </c>
      <c r="C422" t="s">
        <v>60</v>
      </c>
      <c r="D422" t="s">
        <v>25</v>
      </c>
      <c r="E422">
        <v>37</v>
      </c>
      <c r="F422">
        <v>46502</v>
      </c>
      <c r="G422">
        <v>8</v>
      </c>
      <c r="H422" t="s">
        <v>625</v>
      </c>
      <c r="I422" t="s">
        <v>67</v>
      </c>
      <c r="J422" t="s">
        <v>36</v>
      </c>
      <c r="K422" t="s">
        <v>29</v>
      </c>
      <c r="L422" t="str">
        <f t="array" ref="L422">_xlfn.IFS(HR_Data[[#This Row],[Experience]]&lt;2,"0-2 Years",HR_Data[[#This Row],[Experience]]&lt;5,"2-5 Years",HR_Data[[#This Row],[Experience]]&lt;10,"5-10 Years",TRUE(),"10+ Years")</f>
        <v>5-10 Years</v>
      </c>
      <c r="M422" t="str">
        <f t="array" ref="M422">_xlfn.IFS(HR_Data[[#This Row],[Salary]]&lt;40000,"Low",HR_Data[[#This Row],[Salary]]&lt;70000,"Medium",HR_Data[[#This Row],[Salary]]&lt;100000,"High",TRUE(),"Very High")</f>
        <v>Medium</v>
      </c>
      <c r="N422" t="str">
        <f t="array" ref="N422">_xlfn.IFS(HR_Data[[#This Row],[Age]]&lt;25,"18-24",HR_Data[[#This Row],[Age]]&lt;35,"25-34",HR_Data[[#This Row],[Age]]&lt;45,"35-44",TRUE(),"45+")</f>
        <v>35-44</v>
      </c>
      <c r="O422">
        <f>YEAR(HR_Data[[#This Row],[Joining Date]])</f>
        <v>2020</v>
      </c>
      <c r="P422" t="str">
        <f>TEXT(HR_Data[[#This Row],[Joining Date]],"mmmm")</f>
        <v>February</v>
      </c>
      <c r="Q422">
        <f t="array" ref="Q42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22">
        <f>HR_Data[[#This Row],[Salary]]*HR_Data[[#This Row],[Bonus %]]</f>
        <v>4650.2</v>
      </c>
      <c r="S422">
        <f>HR_Data[[#This Row],[Salary]]+HR_Data[[#This Row],[Bonus Amount]]</f>
        <v>51152.2</v>
      </c>
      <c r="T422" t="str">
        <f>IF(HR_Data[[#This Row],[Attrition]]="Yes","Inactive","Active")</f>
        <v>Active</v>
      </c>
      <c r="U422" t="str">
        <f t="array" ref="U422">_xlfn.IFS(HR_Data[[#This Row],[Salary]]&gt;=100000,"A",HR_Data[[#This Row],[Salary]]&gt;=70000,"B",HR_Data[[#This Row],[Salary]]&gt;=50000,"C",TRUE(),"D")</f>
        <v>D</v>
      </c>
      <c r="V422" t="str">
        <f t="array" ref="V422">_xlfn.IFS(HR_Data[[#This Row],[Experience]]&gt;=15,"Expert",HR_Data[[#This Row],[Experience]]&gt;=8,"Senior",HR_Data[[#This Row],[Experience]]&gt;=3,"Mid-Level",TRUE(),"Junior")</f>
        <v>Senior</v>
      </c>
    </row>
    <row r="423" spans="1:22" ht="14.25" customHeight="1" x14ac:dyDescent="0.3">
      <c r="A423" t="s">
        <v>1043</v>
      </c>
      <c r="B423" t="s">
        <v>486</v>
      </c>
      <c r="C423" t="s">
        <v>93</v>
      </c>
      <c r="D423" t="s">
        <v>25</v>
      </c>
      <c r="E423">
        <v>60</v>
      </c>
      <c r="F423">
        <v>130705</v>
      </c>
      <c r="G423">
        <v>35</v>
      </c>
      <c r="H423" t="s">
        <v>1044</v>
      </c>
      <c r="I423" t="s">
        <v>42</v>
      </c>
      <c r="J423" t="s">
        <v>28</v>
      </c>
      <c r="K423" t="s">
        <v>29</v>
      </c>
      <c r="L423" t="str">
        <f t="array" ref="L423">_xlfn.IFS(HR_Data[[#This Row],[Experience]]&lt;2,"0-2 Years",HR_Data[[#This Row],[Experience]]&lt;5,"2-5 Years",HR_Data[[#This Row],[Experience]]&lt;10,"5-10 Years",TRUE(),"10+ Years")</f>
        <v>10+ Years</v>
      </c>
      <c r="M423" t="str">
        <f t="array" ref="M423">_xlfn.IFS(HR_Data[[#This Row],[Salary]]&lt;40000,"Low",HR_Data[[#This Row],[Salary]]&lt;70000,"Medium",HR_Data[[#This Row],[Salary]]&lt;100000,"High",TRUE(),"Very High")</f>
        <v>Very High</v>
      </c>
      <c r="N423" t="str">
        <f t="array" ref="N423">_xlfn.IFS(HR_Data[[#This Row],[Age]]&lt;25,"18-24",HR_Data[[#This Row],[Age]]&lt;35,"25-34",HR_Data[[#This Row],[Age]]&lt;45,"35-44",TRUE(),"45+")</f>
        <v>45+</v>
      </c>
      <c r="O423">
        <f>YEAR(HR_Data[[#This Row],[Joining Date]])</f>
        <v>2018</v>
      </c>
      <c r="P423" t="str">
        <f>TEXT(HR_Data[[#This Row],[Joining Date]],"mmmm")</f>
        <v>August</v>
      </c>
      <c r="Q423">
        <f t="array" ref="Q42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23">
        <f>HR_Data[[#This Row],[Salary]]*HR_Data[[#This Row],[Bonus %]]</f>
        <v>19605.75</v>
      </c>
      <c r="S423">
        <f>HR_Data[[#This Row],[Salary]]+HR_Data[[#This Row],[Bonus Amount]]</f>
        <v>150310.75</v>
      </c>
      <c r="T423" t="str">
        <f>IF(HR_Data[[#This Row],[Attrition]]="Yes","Inactive","Active")</f>
        <v>Active</v>
      </c>
      <c r="U423" t="str">
        <f t="array" ref="U423">_xlfn.IFS(HR_Data[[#This Row],[Salary]]&gt;=100000,"A",HR_Data[[#This Row],[Salary]]&gt;=70000,"B",HR_Data[[#This Row],[Salary]]&gt;=50000,"C",TRUE(),"D")</f>
        <v>A</v>
      </c>
      <c r="V423" t="str">
        <f t="array" ref="V423">_xlfn.IFS(HR_Data[[#This Row],[Experience]]&gt;=15,"Expert",HR_Data[[#This Row],[Experience]]&gt;=8,"Senior",HR_Data[[#This Row],[Experience]]&gt;=3,"Mid-Level",TRUE(),"Junior")</f>
        <v>Expert</v>
      </c>
    </row>
    <row r="424" spans="1:22" ht="14.25" customHeight="1" x14ac:dyDescent="0.3">
      <c r="A424" t="s">
        <v>1045</v>
      </c>
      <c r="B424" t="s">
        <v>409</v>
      </c>
      <c r="C424" t="s">
        <v>24</v>
      </c>
      <c r="D424" t="s">
        <v>25</v>
      </c>
      <c r="E424">
        <v>27</v>
      </c>
      <c r="F424">
        <v>37066</v>
      </c>
      <c r="G424">
        <v>4</v>
      </c>
      <c r="H424" t="s">
        <v>1046</v>
      </c>
      <c r="I424" t="s">
        <v>72</v>
      </c>
      <c r="J424" t="s">
        <v>63</v>
      </c>
      <c r="K424" t="s">
        <v>37</v>
      </c>
      <c r="L424" t="str">
        <f t="array" ref="L424">_xlfn.IFS(HR_Data[[#This Row],[Experience]]&lt;2,"0-2 Years",HR_Data[[#This Row],[Experience]]&lt;5,"2-5 Years",HR_Data[[#This Row],[Experience]]&lt;10,"5-10 Years",TRUE(),"10+ Years")</f>
        <v>2-5 Years</v>
      </c>
      <c r="M424" t="str">
        <f t="array" ref="M424">_xlfn.IFS(HR_Data[[#This Row],[Salary]]&lt;40000,"Low",HR_Data[[#This Row],[Salary]]&lt;70000,"Medium",HR_Data[[#This Row],[Salary]]&lt;100000,"High",TRUE(),"Very High")</f>
        <v>Low</v>
      </c>
      <c r="N424" t="str">
        <f t="array" ref="N424">_xlfn.IFS(HR_Data[[#This Row],[Age]]&lt;25,"18-24",HR_Data[[#This Row],[Age]]&lt;35,"25-34",HR_Data[[#This Row],[Age]]&lt;45,"35-44",TRUE(),"45+")</f>
        <v>25-34</v>
      </c>
      <c r="O424">
        <f>YEAR(HR_Data[[#This Row],[Joining Date]])</f>
        <v>2023</v>
      </c>
      <c r="P424" t="str">
        <f>TEXT(HR_Data[[#This Row],[Joining Date]],"mmmm")</f>
        <v>April</v>
      </c>
      <c r="Q424">
        <f t="array" ref="Q424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424">
        <f>HR_Data[[#This Row],[Salary]]*HR_Data[[#This Row],[Bonus %]]</f>
        <v>7413.2000000000007</v>
      </c>
      <c r="S424">
        <f>HR_Data[[#This Row],[Salary]]+HR_Data[[#This Row],[Bonus Amount]]</f>
        <v>44479.199999999997</v>
      </c>
      <c r="T424" t="str">
        <f>IF(HR_Data[[#This Row],[Attrition]]="Yes","Inactive","Active")</f>
        <v>Inactive</v>
      </c>
      <c r="U424" t="str">
        <f t="array" ref="U424">_xlfn.IFS(HR_Data[[#This Row],[Salary]]&gt;=100000,"A",HR_Data[[#This Row],[Salary]]&gt;=70000,"B",HR_Data[[#This Row],[Salary]]&gt;=50000,"C",TRUE(),"D")</f>
        <v>D</v>
      </c>
      <c r="V424" t="str">
        <f t="array" ref="V424">_xlfn.IFS(HR_Data[[#This Row],[Experience]]&gt;=15,"Expert",HR_Data[[#This Row],[Experience]]&gt;=8,"Senior",HR_Data[[#This Row],[Experience]]&gt;=3,"Mid-Level",TRUE(),"Junior")</f>
        <v>Mid-Level</v>
      </c>
    </row>
    <row r="425" spans="1:22" ht="14.25" customHeight="1" x14ac:dyDescent="0.3">
      <c r="A425" t="s">
        <v>1047</v>
      </c>
      <c r="B425" t="s">
        <v>868</v>
      </c>
      <c r="C425" t="s">
        <v>60</v>
      </c>
      <c r="D425" t="s">
        <v>33</v>
      </c>
      <c r="E425">
        <v>24</v>
      </c>
      <c r="F425">
        <v>42799</v>
      </c>
      <c r="G425">
        <v>3</v>
      </c>
      <c r="H425" t="s">
        <v>1048</v>
      </c>
      <c r="I425" t="s">
        <v>72</v>
      </c>
      <c r="J425" t="s">
        <v>63</v>
      </c>
      <c r="K425" t="s">
        <v>29</v>
      </c>
      <c r="L425" t="str">
        <f t="array" ref="L425">_xlfn.IFS(HR_Data[[#This Row],[Experience]]&lt;2,"0-2 Years",HR_Data[[#This Row],[Experience]]&lt;5,"2-5 Years",HR_Data[[#This Row],[Experience]]&lt;10,"5-10 Years",TRUE(),"10+ Years")</f>
        <v>2-5 Years</v>
      </c>
      <c r="M425" t="str">
        <f t="array" ref="M425">_xlfn.IFS(HR_Data[[#This Row],[Salary]]&lt;40000,"Low",HR_Data[[#This Row],[Salary]]&lt;70000,"Medium",HR_Data[[#This Row],[Salary]]&lt;100000,"High",TRUE(),"Very High")</f>
        <v>Medium</v>
      </c>
      <c r="N425" t="str">
        <f t="array" ref="N425">_xlfn.IFS(HR_Data[[#This Row],[Age]]&lt;25,"18-24",HR_Data[[#This Row],[Age]]&lt;35,"25-34",HR_Data[[#This Row],[Age]]&lt;45,"35-44",TRUE(),"45+")</f>
        <v>18-24</v>
      </c>
      <c r="O425">
        <f>YEAR(HR_Data[[#This Row],[Joining Date]])</f>
        <v>2024</v>
      </c>
      <c r="P425" t="str">
        <f>TEXT(HR_Data[[#This Row],[Joining Date]],"mmmm")</f>
        <v>November</v>
      </c>
      <c r="Q425">
        <f t="array" ref="Q425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425">
        <f>HR_Data[[#This Row],[Salary]]*HR_Data[[#This Row],[Bonus %]]</f>
        <v>8559.8000000000011</v>
      </c>
      <c r="S425">
        <f>HR_Data[[#This Row],[Salary]]+HR_Data[[#This Row],[Bonus Amount]]</f>
        <v>51358.8</v>
      </c>
      <c r="T425" t="str">
        <f>IF(HR_Data[[#This Row],[Attrition]]="Yes","Inactive","Active")</f>
        <v>Active</v>
      </c>
      <c r="U425" t="str">
        <f t="array" ref="U425">_xlfn.IFS(HR_Data[[#This Row],[Salary]]&gt;=100000,"A",HR_Data[[#This Row],[Salary]]&gt;=70000,"B",HR_Data[[#This Row],[Salary]]&gt;=50000,"C",TRUE(),"D")</f>
        <v>D</v>
      </c>
      <c r="V425" t="str">
        <f t="array" ref="V425">_xlfn.IFS(HR_Data[[#This Row],[Experience]]&gt;=15,"Expert",HR_Data[[#This Row],[Experience]]&gt;=8,"Senior",HR_Data[[#This Row],[Experience]]&gt;=3,"Mid-Level",TRUE(),"Junior")</f>
        <v>Mid-Level</v>
      </c>
    </row>
    <row r="426" spans="1:22" ht="14.25" customHeight="1" x14ac:dyDescent="0.3">
      <c r="A426" t="s">
        <v>1049</v>
      </c>
      <c r="B426" t="s">
        <v>1050</v>
      </c>
      <c r="C426" t="s">
        <v>40</v>
      </c>
      <c r="D426" t="s">
        <v>25</v>
      </c>
      <c r="E426">
        <v>59</v>
      </c>
      <c r="F426">
        <v>126991</v>
      </c>
      <c r="G426">
        <v>32</v>
      </c>
      <c r="H426" t="s">
        <v>1051</v>
      </c>
      <c r="I426" t="s">
        <v>62</v>
      </c>
      <c r="J426" t="s">
        <v>36</v>
      </c>
      <c r="K426" t="s">
        <v>29</v>
      </c>
      <c r="L426" t="str">
        <f t="array" ref="L426">_xlfn.IFS(HR_Data[[#This Row],[Experience]]&lt;2,"0-2 Years",HR_Data[[#This Row],[Experience]]&lt;5,"2-5 Years",HR_Data[[#This Row],[Experience]]&lt;10,"5-10 Years",TRUE(),"10+ Years")</f>
        <v>10+ Years</v>
      </c>
      <c r="M426" t="str">
        <f t="array" ref="M426">_xlfn.IFS(HR_Data[[#This Row],[Salary]]&lt;40000,"Low",HR_Data[[#This Row],[Salary]]&lt;70000,"Medium",HR_Data[[#This Row],[Salary]]&lt;100000,"High",TRUE(),"Very High")</f>
        <v>Very High</v>
      </c>
      <c r="N426" t="str">
        <f t="array" ref="N426">_xlfn.IFS(HR_Data[[#This Row],[Age]]&lt;25,"18-24",HR_Data[[#This Row],[Age]]&lt;35,"25-34",HR_Data[[#This Row],[Age]]&lt;45,"35-44",TRUE(),"45+")</f>
        <v>45+</v>
      </c>
      <c r="O426">
        <f>YEAR(HR_Data[[#This Row],[Joining Date]])</f>
        <v>2018</v>
      </c>
      <c r="P426" t="str">
        <f>TEXT(HR_Data[[#This Row],[Joining Date]],"mmmm")</f>
        <v>October</v>
      </c>
      <c r="Q426">
        <f t="array" ref="Q42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26">
        <f>HR_Data[[#This Row],[Salary]]*HR_Data[[#This Row],[Bonus %]]</f>
        <v>12699.1</v>
      </c>
      <c r="S426">
        <f>HR_Data[[#This Row],[Salary]]+HR_Data[[#This Row],[Bonus Amount]]</f>
        <v>139690.1</v>
      </c>
      <c r="T426" t="str">
        <f>IF(HR_Data[[#This Row],[Attrition]]="Yes","Inactive","Active")</f>
        <v>Active</v>
      </c>
      <c r="U426" t="str">
        <f t="array" ref="U426">_xlfn.IFS(HR_Data[[#This Row],[Salary]]&gt;=100000,"A",HR_Data[[#This Row],[Salary]]&gt;=70000,"B",HR_Data[[#This Row],[Salary]]&gt;=50000,"C",TRUE(),"D")</f>
        <v>A</v>
      </c>
      <c r="V426" t="str">
        <f t="array" ref="V426">_xlfn.IFS(HR_Data[[#This Row],[Experience]]&gt;=15,"Expert",HR_Data[[#This Row],[Experience]]&gt;=8,"Senior",HR_Data[[#This Row],[Experience]]&gt;=3,"Mid-Level",TRUE(),"Junior")</f>
        <v>Expert</v>
      </c>
    </row>
    <row r="427" spans="1:22" ht="14.25" customHeight="1" x14ac:dyDescent="0.3">
      <c r="A427" t="s">
        <v>1052</v>
      </c>
      <c r="B427" t="s">
        <v>1053</v>
      </c>
      <c r="C427" t="s">
        <v>75</v>
      </c>
      <c r="D427" t="s">
        <v>25</v>
      </c>
      <c r="E427">
        <v>51</v>
      </c>
      <c r="F427">
        <v>100348</v>
      </c>
      <c r="G427">
        <v>22</v>
      </c>
      <c r="H427" t="s">
        <v>1054</v>
      </c>
      <c r="I427" t="s">
        <v>45</v>
      </c>
      <c r="J427" t="s">
        <v>36</v>
      </c>
      <c r="K427" t="s">
        <v>29</v>
      </c>
      <c r="L427" t="str">
        <f t="array" ref="L427">_xlfn.IFS(HR_Data[[#This Row],[Experience]]&lt;2,"0-2 Years",HR_Data[[#This Row],[Experience]]&lt;5,"2-5 Years",HR_Data[[#This Row],[Experience]]&lt;10,"5-10 Years",TRUE(),"10+ Years")</f>
        <v>10+ Years</v>
      </c>
      <c r="M427" t="str">
        <f t="array" ref="M427">_xlfn.IFS(HR_Data[[#This Row],[Salary]]&lt;40000,"Low",HR_Data[[#This Row],[Salary]]&lt;70000,"Medium",HR_Data[[#This Row],[Salary]]&lt;100000,"High",TRUE(),"Very High")</f>
        <v>Very High</v>
      </c>
      <c r="N427" t="str">
        <f t="array" ref="N427">_xlfn.IFS(HR_Data[[#This Row],[Age]]&lt;25,"18-24",HR_Data[[#This Row],[Age]]&lt;35,"25-34",HR_Data[[#This Row],[Age]]&lt;45,"35-44",TRUE(),"45+")</f>
        <v>45+</v>
      </c>
      <c r="O427">
        <f>YEAR(HR_Data[[#This Row],[Joining Date]])</f>
        <v>2024</v>
      </c>
      <c r="P427" t="str">
        <f>TEXT(HR_Data[[#This Row],[Joining Date]],"mmmm")</f>
        <v>February</v>
      </c>
      <c r="Q427">
        <f t="array" ref="Q427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27">
        <f>HR_Data[[#This Row],[Salary]]*HR_Data[[#This Row],[Bonus %]]</f>
        <v>10034.800000000001</v>
      </c>
      <c r="S427">
        <f>HR_Data[[#This Row],[Salary]]+HR_Data[[#This Row],[Bonus Amount]]</f>
        <v>110382.8</v>
      </c>
      <c r="T427" t="str">
        <f>IF(HR_Data[[#This Row],[Attrition]]="Yes","Inactive","Active")</f>
        <v>Active</v>
      </c>
      <c r="U427" t="str">
        <f t="array" ref="U427">_xlfn.IFS(HR_Data[[#This Row],[Salary]]&gt;=100000,"A",HR_Data[[#This Row],[Salary]]&gt;=70000,"B",HR_Data[[#This Row],[Salary]]&gt;=50000,"C",TRUE(),"D")</f>
        <v>A</v>
      </c>
      <c r="V427" t="str">
        <f t="array" ref="V427">_xlfn.IFS(HR_Data[[#This Row],[Experience]]&gt;=15,"Expert",HR_Data[[#This Row],[Experience]]&gt;=8,"Senior",HR_Data[[#This Row],[Experience]]&gt;=3,"Mid-Level",TRUE(),"Junior")</f>
        <v>Expert</v>
      </c>
    </row>
    <row r="428" spans="1:22" ht="14.25" customHeight="1" x14ac:dyDescent="0.3">
      <c r="A428" t="s">
        <v>1055</v>
      </c>
      <c r="B428" t="s">
        <v>503</v>
      </c>
      <c r="C428" t="s">
        <v>112</v>
      </c>
      <c r="D428" t="s">
        <v>25</v>
      </c>
      <c r="E428">
        <v>46</v>
      </c>
      <c r="F428">
        <v>96460</v>
      </c>
      <c r="G428">
        <v>22</v>
      </c>
      <c r="H428" t="s">
        <v>1056</v>
      </c>
      <c r="I428" t="s">
        <v>132</v>
      </c>
      <c r="J428" t="s">
        <v>36</v>
      </c>
      <c r="K428" t="s">
        <v>29</v>
      </c>
      <c r="L428" t="str">
        <f t="array" ref="L428">_xlfn.IFS(HR_Data[[#This Row],[Experience]]&lt;2,"0-2 Years",HR_Data[[#This Row],[Experience]]&lt;5,"2-5 Years",HR_Data[[#This Row],[Experience]]&lt;10,"5-10 Years",TRUE(),"10+ Years")</f>
        <v>10+ Years</v>
      </c>
      <c r="M428" t="str">
        <f t="array" ref="M428">_xlfn.IFS(HR_Data[[#This Row],[Salary]]&lt;40000,"Low",HR_Data[[#This Row],[Salary]]&lt;70000,"Medium",HR_Data[[#This Row],[Salary]]&lt;100000,"High",TRUE(),"Very High")</f>
        <v>High</v>
      </c>
      <c r="N428" t="str">
        <f t="array" ref="N428">_xlfn.IFS(HR_Data[[#This Row],[Age]]&lt;25,"18-24",HR_Data[[#This Row],[Age]]&lt;35,"25-34",HR_Data[[#This Row],[Age]]&lt;45,"35-44",TRUE(),"45+")</f>
        <v>45+</v>
      </c>
      <c r="O428">
        <f>YEAR(HR_Data[[#This Row],[Joining Date]])</f>
        <v>2020</v>
      </c>
      <c r="P428" t="str">
        <f>TEXT(HR_Data[[#This Row],[Joining Date]],"mmmm")</f>
        <v>January</v>
      </c>
      <c r="Q428">
        <f t="array" ref="Q42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28">
        <f>HR_Data[[#This Row],[Salary]]*HR_Data[[#This Row],[Bonus %]]</f>
        <v>9646</v>
      </c>
      <c r="S428">
        <f>HR_Data[[#This Row],[Salary]]+HR_Data[[#This Row],[Bonus Amount]]</f>
        <v>106106</v>
      </c>
      <c r="T428" t="str">
        <f>IF(HR_Data[[#This Row],[Attrition]]="Yes","Inactive","Active")</f>
        <v>Active</v>
      </c>
      <c r="U428" t="str">
        <f t="array" ref="U428">_xlfn.IFS(HR_Data[[#This Row],[Salary]]&gt;=100000,"A",HR_Data[[#This Row],[Salary]]&gt;=70000,"B",HR_Data[[#This Row],[Salary]]&gt;=50000,"C",TRUE(),"D")</f>
        <v>B</v>
      </c>
      <c r="V428" t="str">
        <f t="array" ref="V428">_xlfn.IFS(HR_Data[[#This Row],[Experience]]&gt;=15,"Expert",HR_Data[[#This Row],[Experience]]&gt;=8,"Senior",HR_Data[[#This Row],[Experience]]&gt;=3,"Mid-Level",TRUE(),"Junior")</f>
        <v>Expert</v>
      </c>
    </row>
    <row r="429" spans="1:22" ht="14.25" customHeight="1" x14ac:dyDescent="0.3">
      <c r="A429" t="s">
        <v>1057</v>
      </c>
      <c r="B429" t="s">
        <v>761</v>
      </c>
      <c r="C429" t="s">
        <v>134</v>
      </c>
      <c r="D429" t="s">
        <v>25</v>
      </c>
      <c r="E429">
        <v>53</v>
      </c>
      <c r="F429">
        <v>103688</v>
      </c>
      <c r="G429">
        <v>26</v>
      </c>
      <c r="H429" t="s">
        <v>1058</v>
      </c>
      <c r="I429" t="s">
        <v>35</v>
      </c>
      <c r="J429" t="s">
        <v>36</v>
      </c>
      <c r="K429" t="s">
        <v>29</v>
      </c>
      <c r="L429" t="str">
        <f t="array" ref="L429">_xlfn.IFS(HR_Data[[#This Row],[Experience]]&lt;2,"0-2 Years",HR_Data[[#This Row],[Experience]]&lt;5,"2-5 Years",HR_Data[[#This Row],[Experience]]&lt;10,"5-10 Years",TRUE(),"10+ Years")</f>
        <v>10+ Years</v>
      </c>
      <c r="M429" t="str">
        <f t="array" ref="M429">_xlfn.IFS(HR_Data[[#This Row],[Salary]]&lt;40000,"Low",HR_Data[[#This Row],[Salary]]&lt;70000,"Medium",HR_Data[[#This Row],[Salary]]&lt;100000,"High",TRUE(),"Very High")</f>
        <v>Very High</v>
      </c>
      <c r="N429" t="str">
        <f t="array" ref="N429">_xlfn.IFS(HR_Data[[#This Row],[Age]]&lt;25,"18-24",HR_Data[[#This Row],[Age]]&lt;35,"25-34",HR_Data[[#This Row],[Age]]&lt;45,"35-44",TRUE(),"45+")</f>
        <v>45+</v>
      </c>
      <c r="O429">
        <f>YEAR(HR_Data[[#This Row],[Joining Date]])</f>
        <v>2016</v>
      </c>
      <c r="P429" t="str">
        <f>TEXT(HR_Data[[#This Row],[Joining Date]],"mmmm")</f>
        <v>August</v>
      </c>
      <c r="Q429">
        <f t="array" ref="Q42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29">
        <f>HR_Data[[#This Row],[Salary]]*HR_Data[[#This Row],[Bonus %]]</f>
        <v>10368.800000000001</v>
      </c>
      <c r="S429">
        <f>HR_Data[[#This Row],[Salary]]+HR_Data[[#This Row],[Bonus Amount]]</f>
        <v>114056.8</v>
      </c>
      <c r="T429" t="str">
        <f>IF(HR_Data[[#This Row],[Attrition]]="Yes","Inactive","Active")</f>
        <v>Active</v>
      </c>
      <c r="U429" t="str">
        <f t="array" ref="U429">_xlfn.IFS(HR_Data[[#This Row],[Salary]]&gt;=100000,"A",HR_Data[[#This Row],[Salary]]&gt;=70000,"B",HR_Data[[#This Row],[Salary]]&gt;=50000,"C",TRUE(),"D")</f>
        <v>A</v>
      </c>
      <c r="V429" t="str">
        <f t="array" ref="V429">_xlfn.IFS(HR_Data[[#This Row],[Experience]]&gt;=15,"Expert",HR_Data[[#This Row],[Experience]]&gt;=8,"Senior",HR_Data[[#This Row],[Experience]]&gt;=3,"Mid-Level",TRUE(),"Junior")</f>
        <v>Expert</v>
      </c>
    </row>
    <row r="430" spans="1:22" ht="14.25" customHeight="1" x14ac:dyDescent="0.3">
      <c r="A430" t="s">
        <v>1059</v>
      </c>
      <c r="B430" t="s">
        <v>689</v>
      </c>
      <c r="C430" t="s">
        <v>24</v>
      </c>
      <c r="D430" t="s">
        <v>33</v>
      </c>
      <c r="E430">
        <v>52</v>
      </c>
      <c r="F430">
        <v>109647</v>
      </c>
      <c r="G430">
        <v>24</v>
      </c>
      <c r="H430" t="s">
        <v>621</v>
      </c>
      <c r="I430" t="s">
        <v>35</v>
      </c>
      <c r="J430" t="s">
        <v>46</v>
      </c>
      <c r="K430" t="s">
        <v>29</v>
      </c>
      <c r="L430" t="str">
        <f t="array" ref="L430">_xlfn.IFS(HR_Data[[#This Row],[Experience]]&lt;2,"0-2 Years",HR_Data[[#This Row],[Experience]]&lt;5,"2-5 Years",HR_Data[[#This Row],[Experience]]&lt;10,"5-10 Years",TRUE(),"10+ Years")</f>
        <v>10+ Years</v>
      </c>
      <c r="M430" t="str">
        <f t="array" ref="M430">_xlfn.IFS(HR_Data[[#This Row],[Salary]]&lt;40000,"Low",HR_Data[[#This Row],[Salary]]&lt;70000,"Medium",HR_Data[[#This Row],[Salary]]&lt;100000,"High",TRUE(),"Very High")</f>
        <v>Very High</v>
      </c>
      <c r="N430" t="str">
        <f t="array" ref="N430">_xlfn.IFS(HR_Data[[#This Row],[Age]]&lt;25,"18-24",HR_Data[[#This Row],[Age]]&lt;35,"25-34",HR_Data[[#This Row],[Age]]&lt;45,"35-44",TRUE(),"45+")</f>
        <v>45+</v>
      </c>
      <c r="O430">
        <f>YEAR(HR_Data[[#This Row],[Joining Date]])</f>
        <v>2020</v>
      </c>
      <c r="P430" t="str">
        <f>TEXT(HR_Data[[#This Row],[Joining Date]],"mmmm")</f>
        <v>June</v>
      </c>
      <c r="Q430">
        <f t="array" ref="Q430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430">
        <f>HR_Data[[#This Row],[Salary]]*HR_Data[[#This Row],[Bonus %]]</f>
        <v>5482.35</v>
      </c>
      <c r="S430">
        <f>HR_Data[[#This Row],[Salary]]+HR_Data[[#This Row],[Bonus Amount]]</f>
        <v>115129.35</v>
      </c>
      <c r="T430" t="str">
        <f>IF(HR_Data[[#This Row],[Attrition]]="Yes","Inactive","Active")</f>
        <v>Active</v>
      </c>
      <c r="U430" t="str">
        <f t="array" ref="U430">_xlfn.IFS(HR_Data[[#This Row],[Salary]]&gt;=100000,"A",HR_Data[[#This Row],[Salary]]&gt;=70000,"B",HR_Data[[#This Row],[Salary]]&gt;=50000,"C",TRUE(),"D")</f>
        <v>A</v>
      </c>
      <c r="V430" t="str">
        <f t="array" ref="V430">_xlfn.IFS(HR_Data[[#This Row],[Experience]]&gt;=15,"Expert",HR_Data[[#This Row],[Experience]]&gt;=8,"Senior",HR_Data[[#This Row],[Experience]]&gt;=3,"Mid-Level",TRUE(),"Junior")</f>
        <v>Expert</v>
      </c>
    </row>
    <row r="431" spans="1:22" ht="14.25" customHeight="1" x14ac:dyDescent="0.3">
      <c r="A431" t="s">
        <v>1060</v>
      </c>
      <c r="B431" t="s">
        <v>492</v>
      </c>
      <c r="C431" t="s">
        <v>32</v>
      </c>
      <c r="D431" t="s">
        <v>25</v>
      </c>
      <c r="E431">
        <v>30</v>
      </c>
      <c r="F431">
        <v>41613</v>
      </c>
      <c r="G431">
        <v>7</v>
      </c>
      <c r="H431" t="s">
        <v>1061</v>
      </c>
      <c r="I431" t="s">
        <v>45</v>
      </c>
      <c r="J431" t="s">
        <v>36</v>
      </c>
      <c r="K431" t="s">
        <v>29</v>
      </c>
      <c r="L431" t="str">
        <f t="array" ref="L431">_xlfn.IFS(HR_Data[[#This Row],[Experience]]&lt;2,"0-2 Years",HR_Data[[#This Row],[Experience]]&lt;5,"2-5 Years",HR_Data[[#This Row],[Experience]]&lt;10,"5-10 Years",TRUE(),"10+ Years")</f>
        <v>5-10 Years</v>
      </c>
      <c r="M431" t="str">
        <f t="array" ref="M431">_xlfn.IFS(HR_Data[[#This Row],[Salary]]&lt;40000,"Low",HR_Data[[#This Row],[Salary]]&lt;70000,"Medium",HR_Data[[#This Row],[Salary]]&lt;100000,"High",TRUE(),"Very High")</f>
        <v>Medium</v>
      </c>
      <c r="N431" t="str">
        <f t="array" ref="N431">_xlfn.IFS(HR_Data[[#This Row],[Age]]&lt;25,"18-24",HR_Data[[#This Row],[Age]]&lt;35,"25-34",HR_Data[[#This Row],[Age]]&lt;45,"35-44",TRUE(),"45+")</f>
        <v>25-34</v>
      </c>
      <c r="O431">
        <f>YEAR(HR_Data[[#This Row],[Joining Date]])</f>
        <v>2023</v>
      </c>
      <c r="P431" t="str">
        <f>TEXT(HR_Data[[#This Row],[Joining Date]],"mmmm")</f>
        <v>August</v>
      </c>
      <c r="Q431">
        <f t="array" ref="Q43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31">
        <f>HR_Data[[#This Row],[Salary]]*HR_Data[[#This Row],[Bonus %]]</f>
        <v>4161.3</v>
      </c>
      <c r="S431">
        <f>HR_Data[[#This Row],[Salary]]+HR_Data[[#This Row],[Bonus Amount]]</f>
        <v>45774.3</v>
      </c>
      <c r="T431" t="str">
        <f>IF(HR_Data[[#This Row],[Attrition]]="Yes","Inactive","Active")</f>
        <v>Active</v>
      </c>
      <c r="U431" t="str">
        <f t="array" ref="U431">_xlfn.IFS(HR_Data[[#This Row],[Salary]]&gt;=100000,"A",HR_Data[[#This Row],[Salary]]&gt;=70000,"B",HR_Data[[#This Row],[Salary]]&gt;=50000,"C",TRUE(),"D")</f>
        <v>D</v>
      </c>
      <c r="V431" t="str">
        <f t="array" ref="V431">_xlfn.IFS(HR_Data[[#This Row],[Experience]]&gt;=15,"Expert",HR_Data[[#This Row],[Experience]]&gt;=8,"Senior",HR_Data[[#This Row],[Experience]]&gt;=3,"Mid-Level",TRUE(),"Junior")</f>
        <v>Mid-Level</v>
      </c>
    </row>
    <row r="432" spans="1:22" ht="14.25" customHeight="1" x14ac:dyDescent="0.3">
      <c r="A432" t="s">
        <v>1062</v>
      </c>
      <c r="B432" t="s">
        <v>39</v>
      </c>
      <c r="C432" t="s">
        <v>75</v>
      </c>
      <c r="D432" t="s">
        <v>33</v>
      </c>
      <c r="E432">
        <v>53</v>
      </c>
      <c r="F432">
        <v>134429</v>
      </c>
      <c r="G432">
        <v>34</v>
      </c>
      <c r="H432" t="s">
        <v>938</v>
      </c>
      <c r="I432" t="s">
        <v>35</v>
      </c>
      <c r="J432" t="s">
        <v>28</v>
      </c>
      <c r="K432" t="s">
        <v>29</v>
      </c>
      <c r="L432" t="str">
        <f t="array" ref="L432">_xlfn.IFS(HR_Data[[#This Row],[Experience]]&lt;2,"0-2 Years",HR_Data[[#This Row],[Experience]]&lt;5,"2-5 Years",HR_Data[[#This Row],[Experience]]&lt;10,"5-10 Years",TRUE(),"10+ Years")</f>
        <v>10+ Years</v>
      </c>
      <c r="M432" t="str">
        <f t="array" ref="M432">_xlfn.IFS(HR_Data[[#This Row],[Salary]]&lt;40000,"Low",HR_Data[[#This Row],[Salary]]&lt;70000,"Medium",HR_Data[[#This Row],[Salary]]&lt;100000,"High",TRUE(),"Very High")</f>
        <v>Very High</v>
      </c>
      <c r="N432" t="str">
        <f t="array" ref="N432">_xlfn.IFS(HR_Data[[#This Row],[Age]]&lt;25,"18-24",HR_Data[[#This Row],[Age]]&lt;35,"25-34",HR_Data[[#This Row],[Age]]&lt;45,"35-44",TRUE(),"45+")</f>
        <v>45+</v>
      </c>
      <c r="O432">
        <f>YEAR(HR_Data[[#This Row],[Joining Date]])</f>
        <v>2020</v>
      </c>
      <c r="P432" t="str">
        <f>TEXT(HR_Data[[#This Row],[Joining Date]],"mmmm")</f>
        <v>July</v>
      </c>
      <c r="Q432">
        <f t="array" ref="Q432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32">
        <f>HR_Data[[#This Row],[Salary]]*HR_Data[[#This Row],[Bonus %]]</f>
        <v>20164.349999999999</v>
      </c>
      <c r="S432">
        <f>HR_Data[[#This Row],[Salary]]+HR_Data[[#This Row],[Bonus Amount]]</f>
        <v>154593.35</v>
      </c>
      <c r="T432" t="str">
        <f>IF(HR_Data[[#This Row],[Attrition]]="Yes","Inactive","Active")</f>
        <v>Active</v>
      </c>
      <c r="U432" t="str">
        <f t="array" ref="U432">_xlfn.IFS(HR_Data[[#This Row],[Salary]]&gt;=100000,"A",HR_Data[[#This Row],[Salary]]&gt;=70000,"B",HR_Data[[#This Row],[Salary]]&gt;=50000,"C",TRUE(),"D")</f>
        <v>A</v>
      </c>
      <c r="V432" t="str">
        <f t="array" ref="V432">_xlfn.IFS(HR_Data[[#This Row],[Experience]]&gt;=15,"Expert",HR_Data[[#This Row],[Experience]]&gt;=8,"Senior",HR_Data[[#This Row],[Experience]]&gt;=3,"Mid-Level",TRUE(),"Junior")</f>
        <v>Expert</v>
      </c>
    </row>
    <row r="433" spans="1:22" ht="14.25" customHeight="1" x14ac:dyDescent="0.3">
      <c r="A433" t="s">
        <v>1063</v>
      </c>
      <c r="B433" t="s">
        <v>650</v>
      </c>
      <c r="C433" t="s">
        <v>60</v>
      </c>
      <c r="D433" t="s">
        <v>33</v>
      </c>
      <c r="E433">
        <v>44</v>
      </c>
      <c r="F433">
        <v>88161</v>
      </c>
      <c r="G433">
        <v>20</v>
      </c>
      <c r="H433" t="s">
        <v>1064</v>
      </c>
      <c r="I433" t="s">
        <v>57</v>
      </c>
      <c r="J433" t="s">
        <v>28</v>
      </c>
      <c r="K433" t="s">
        <v>29</v>
      </c>
      <c r="L433" t="str">
        <f t="array" ref="L433">_xlfn.IFS(HR_Data[[#This Row],[Experience]]&lt;2,"0-2 Years",HR_Data[[#This Row],[Experience]]&lt;5,"2-5 Years",HR_Data[[#This Row],[Experience]]&lt;10,"5-10 Years",TRUE(),"10+ Years")</f>
        <v>10+ Years</v>
      </c>
      <c r="M433" t="str">
        <f t="array" ref="M433">_xlfn.IFS(HR_Data[[#This Row],[Salary]]&lt;40000,"Low",HR_Data[[#This Row],[Salary]]&lt;70000,"Medium",HR_Data[[#This Row],[Salary]]&lt;100000,"High",TRUE(),"Very High")</f>
        <v>High</v>
      </c>
      <c r="N433" t="str">
        <f t="array" ref="N433">_xlfn.IFS(HR_Data[[#This Row],[Age]]&lt;25,"18-24",HR_Data[[#This Row],[Age]]&lt;35,"25-34",HR_Data[[#This Row],[Age]]&lt;45,"35-44",TRUE(),"45+")</f>
        <v>35-44</v>
      </c>
      <c r="O433">
        <f>YEAR(HR_Data[[#This Row],[Joining Date]])</f>
        <v>2021</v>
      </c>
      <c r="P433" t="str">
        <f>TEXT(HR_Data[[#This Row],[Joining Date]],"mmmm")</f>
        <v>January</v>
      </c>
      <c r="Q433">
        <f t="array" ref="Q43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33">
        <f>HR_Data[[#This Row],[Salary]]*HR_Data[[#This Row],[Bonus %]]</f>
        <v>13224.15</v>
      </c>
      <c r="S433">
        <f>HR_Data[[#This Row],[Salary]]+HR_Data[[#This Row],[Bonus Amount]]</f>
        <v>101385.15</v>
      </c>
      <c r="T433" t="str">
        <f>IF(HR_Data[[#This Row],[Attrition]]="Yes","Inactive","Active")</f>
        <v>Active</v>
      </c>
      <c r="U433" t="str">
        <f t="array" ref="U433">_xlfn.IFS(HR_Data[[#This Row],[Salary]]&gt;=100000,"A",HR_Data[[#This Row],[Salary]]&gt;=70000,"B",HR_Data[[#This Row],[Salary]]&gt;=50000,"C",TRUE(),"D")</f>
        <v>B</v>
      </c>
      <c r="V433" t="str">
        <f t="array" ref="V433">_xlfn.IFS(HR_Data[[#This Row],[Experience]]&gt;=15,"Expert",HR_Data[[#This Row],[Experience]]&gt;=8,"Senior",HR_Data[[#This Row],[Experience]]&gt;=3,"Mid-Level",TRUE(),"Junior")</f>
        <v>Expert</v>
      </c>
    </row>
    <row r="434" spans="1:22" ht="14.25" customHeight="1" x14ac:dyDescent="0.3">
      <c r="A434" t="s">
        <v>1065</v>
      </c>
      <c r="B434" t="s">
        <v>395</v>
      </c>
      <c r="C434" t="s">
        <v>40</v>
      </c>
      <c r="D434" t="s">
        <v>33</v>
      </c>
      <c r="E434">
        <v>38</v>
      </c>
      <c r="F434">
        <v>75710</v>
      </c>
      <c r="G434">
        <v>16</v>
      </c>
      <c r="H434" t="s">
        <v>1066</v>
      </c>
      <c r="I434" t="s">
        <v>42</v>
      </c>
      <c r="J434" t="s">
        <v>46</v>
      </c>
      <c r="K434" t="s">
        <v>29</v>
      </c>
      <c r="L434" t="str">
        <f t="array" ref="L434">_xlfn.IFS(HR_Data[[#This Row],[Experience]]&lt;2,"0-2 Years",HR_Data[[#This Row],[Experience]]&lt;5,"2-5 Years",HR_Data[[#This Row],[Experience]]&lt;10,"5-10 Years",TRUE(),"10+ Years")</f>
        <v>10+ Years</v>
      </c>
      <c r="M434" t="str">
        <f t="array" ref="M434">_xlfn.IFS(HR_Data[[#This Row],[Salary]]&lt;40000,"Low",HR_Data[[#This Row],[Salary]]&lt;70000,"Medium",HR_Data[[#This Row],[Salary]]&lt;100000,"High",TRUE(),"Very High")</f>
        <v>High</v>
      </c>
      <c r="N434" t="str">
        <f t="array" ref="N434">_xlfn.IFS(HR_Data[[#This Row],[Age]]&lt;25,"18-24",HR_Data[[#This Row],[Age]]&lt;35,"25-34",HR_Data[[#This Row],[Age]]&lt;45,"35-44",TRUE(),"45+")</f>
        <v>35-44</v>
      </c>
      <c r="O434">
        <f>YEAR(HR_Data[[#This Row],[Joining Date]])</f>
        <v>2019</v>
      </c>
      <c r="P434" t="str">
        <f>TEXT(HR_Data[[#This Row],[Joining Date]],"mmmm")</f>
        <v>July</v>
      </c>
      <c r="Q434">
        <f t="array" ref="Q434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434">
        <f>HR_Data[[#This Row],[Salary]]*HR_Data[[#This Row],[Bonus %]]</f>
        <v>3785.5</v>
      </c>
      <c r="S434">
        <f>HR_Data[[#This Row],[Salary]]+HR_Data[[#This Row],[Bonus Amount]]</f>
        <v>79495.5</v>
      </c>
      <c r="T434" t="str">
        <f>IF(HR_Data[[#This Row],[Attrition]]="Yes","Inactive","Active")</f>
        <v>Active</v>
      </c>
      <c r="U434" t="str">
        <f t="array" ref="U434">_xlfn.IFS(HR_Data[[#This Row],[Salary]]&gt;=100000,"A",HR_Data[[#This Row],[Salary]]&gt;=70000,"B",HR_Data[[#This Row],[Salary]]&gt;=50000,"C",TRUE(),"D")</f>
        <v>B</v>
      </c>
      <c r="V434" t="str">
        <f t="array" ref="V434">_xlfn.IFS(HR_Data[[#This Row],[Experience]]&gt;=15,"Expert",HR_Data[[#This Row],[Experience]]&gt;=8,"Senior",HR_Data[[#This Row],[Experience]]&gt;=3,"Mid-Level",TRUE(),"Junior")</f>
        <v>Expert</v>
      </c>
    </row>
    <row r="435" spans="1:22" ht="14.25" customHeight="1" x14ac:dyDescent="0.3">
      <c r="A435" t="s">
        <v>1067</v>
      </c>
      <c r="B435" t="s">
        <v>1068</v>
      </c>
      <c r="C435" t="s">
        <v>24</v>
      </c>
      <c r="D435" t="s">
        <v>25</v>
      </c>
      <c r="E435">
        <v>59</v>
      </c>
      <c r="F435">
        <v>116417</v>
      </c>
      <c r="G435">
        <v>31</v>
      </c>
      <c r="H435" t="s">
        <v>1069</v>
      </c>
      <c r="I435" t="s">
        <v>35</v>
      </c>
      <c r="J435" t="s">
        <v>46</v>
      </c>
      <c r="K435" t="s">
        <v>29</v>
      </c>
      <c r="L435" t="str">
        <f t="array" ref="L435">_xlfn.IFS(HR_Data[[#This Row],[Experience]]&lt;2,"0-2 Years",HR_Data[[#This Row],[Experience]]&lt;5,"2-5 Years",HR_Data[[#This Row],[Experience]]&lt;10,"5-10 Years",TRUE(),"10+ Years")</f>
        <v>10+ Years</v>
      </c>
      <c r="M435" t="str">
        <f t="array" ref="M435">_xlfn.IFS(HR_Data[[#This Row],[Salary]]&lt;40000,"Low",HR_Data[[#This Row],[Salary]]&lt;70000,"Medium",HR_Data[[#This Row],[Salary]]&lt;100000,"High",TRUE(),"Very High")</f>
        <v>Very High</v>
      </c>
      <c r="N435" t="str">
        <f t="array" ref="N435">_xlfn.IFS(HR_Data[[#This Row],[Age]]&lt;25,"18-24",HR_Data[[#This Row],[Age]]&lt;35,"25-34",HR_Data[[#This Row],[Age]]&lt;45,"35-44",TRUE(),"45+")</f>
        <v>45+</v>
      </c>
      <c r="O435">
        <f>YEAR(HR_Data[[#This Row],[Joining Date]])</f>
        <v>2015</v>
      </c>
      <c r="P435" t="str">
        <f>TEXT(HR_Data[[#This Row],[Joining Date]],"mmmm")</f>
        <v>December</v>
      </c>
      <c r="Q435">
        <f t="array" ref="Q435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435">
        <f>HR_Data[[#This Row],[Salary]]*HR_Data[[#This Row],[Bonus %]]</f>
        <v>5820.85</v>
      </c>
      <c r="S435">
        <f>HR_Data[[#This Row],[Salary]]+HR_Data[[#This Row],[Bonus Amount]]</f>
        <v>122237.85</v>
      </c>
      <c r="T435" t="str">
        <f>IF(HR_Data[[#This Row],[Attrition]]="Yes","Inactive","Active")</f>
        <v>Active</v>
      </c>
      <c r="U435" t="str">
        <f t="array" ref="U435">_xlfn.IFS(HR_Data[[#This Row],[Salary]]&gt;=100000,"A",HR_Data[[#This Row],[Salary]]&gt;=70000,"B",HR_Data[[#This Row],[Salary]]&gt;=50000,"C",TRUE(),"D")</f>
        <v>A</v>
      </c>
      <c r="V435" t="str">
        <f t="array" ref="V435">_xlfn.IFS(HR_Data[[#This Row],[Experience]]&gt;=15,"Expert",HR_Data[[#This Row],[Experience]]&gt;=8,"Senior",HR_Data[[#This Row],[Experience]]&gt;=3,"Mid-Level",TRUE(),"Junior")</f>
        <v>Expert</v>
      </c>
    </row>
    <row r="436" spans="1:22" ht="14.25" customHeight="1" x14ac:dyDescent="0.3">
      <c r="A436" t="s">
        <v>1070</v>
      </c>
      <c r="B436" t="s">
        <v>831</v>
      </c>
      <c r="C436" t="s">
        <v>32</v>
      </c>
      <c r="D436" t="s">
        <v>25</v>
      </c>
      <c r="E436">
        <v>38</v>
      </c>
      <c r="F436">
        <v>61383</v>
      </c>
      <c r="G436">
        <v>11</v>
      </c>
      <c r="H436" t="s">
        <v>1071</v>
      </c>
      <c r="I436" t="s">
        <v>45</v>
      </c>
      <c r="J436" t="s">
        <v>28</v>
      </c>
      <c r="K436" t="s">
        <v>29</v>
      </c>
      <c r="L436" t="str">
        <f t="array" ref="L436">_xlfn.IFS(HR_Data[[#This Row],[Experience]]&lt;2,"0-2 Years",HR_Data[[#This Row],[Experience]]&lt;5,"2-5 Years",HR_Data[[#This Row],[Experience]]&lt;10,"5-10 Years",TRUE(),"10+ Years")</f>
        <v>10+ Years</v>
      </c>
      <c r="M436" t="str">
        <f t="array" ref="M436">_xlfn.IFS(HR_Data[[#This Row],[Salary]]&lt;40000,"Low",HR_Data[[#This Row],[Salary]]&lt;70000,"Medium",HR_Data[[#This Row],[Salary]]&lt;100000,"High",TRUE(),"Very High")</f>
        <v>Medium</v>
      </c>
      <c r="N436" t="str">
        <f t="array" ref="N436">_xlfn.IFS(HR_Data[[#This Row],[Age]]&lt;25,"18-24",HR_Data[[#This Row],[Age]]&lt;35,"25-34",HR_Data[[#This Row],[Age]]&lt;45,"35-44",TRUE(),"45+")</f>
        <v>35-44</v>
      </c>
      <c r="O436">
        <f>YEAR(HR_Data[[#This Row],[Joining Date]])</f>
        <v>2023</v>
      </c>
      <c r="P436" t="str">
        <f>TEXT(HR_Data[[#This Row],[Joining Date]],"mmmm")</f>
        <v>December</v>
      </c>
      <c r="Q436">
        <f t="array" ref="Q436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36">
        <f>HR_Data[[#This Row],[Salary]]*HR_Data[[#This Row],[Bonus %]]</f>
        <v>9207.4499999999989</v>
      </c>
      <c r="S436">
        <f>HR_Data[[#This Row],[Salary]]+HR_Data[[#This Row],[Bonus Amount]]</f>
        <v>70590.45</v>
      </c>
      <c r="T436" t="str">
        <f>IF(HR_Data[[#This Row],[Attrition]]="Yes","Inactive","Active")</f>
        <v>Active</v>
      </c>
      <c r="U436" t="str">
        <f t="array" ref="U436">_xlfn.IFS(HR_Data[[#This Row],[Salary]]&gt;=100000,"A",HR_Data[[#This Row],[Salary]]&gt;=70000,"B",HR_Data[[#This Row],[Salary]]&gt;=50000,"C",TRUE(),"D")</f>
        <v>C</v>
      </c>
      <c r="V436" t="str">
        <f t="array" ref="V436">_xlfn.IFS(HR_Data[[#This Row],[Experience]]&gt;=15,"Expert",HR_Data[[#This Row],[Experience]]&gt;=8,"Senior",HR_Data[[#This Row],[Experience]]&gt;=3,"Mid-Level",TRUE(),"Junior")</f>
        <v>Senior</v>
      </c>
    </row>
    <row r="437" spans="1:22" ht="14.25" customHeight="1" x14ac:dyDescent="0.3">
      <c r="A437" t="s">
        <v>1072</v>
      </c>
      <c r="B437" t="s">
        <v>1073</v>
      </c>
      <c r="C437" t="s">
        <v>75</v>
      </c>
      <c r="D437" t="s">
        <v>25</v>
      </c>
      <c r="E437">
        <v>29</v>
      </c>
      <c r="F437">
        <v>34779</v>
      </c>
      <c r="G437">
        <v>2</v>
      </c>
      <c r="H437" t="s">
        <v>1074</v>
      </c>
      <c r="I437" t="s">
        <v>67</v>
      </c>
      <c r="J437" t="s">
        <v>46</v>
      </c>
      <c r="K437" t="s">
        <v>29</v>
      </c>
      <c r="L437" t="str">
        <f t="array" ref="L437">_xlfn.IFS(HR_Data[[#This Row],[Experience]]&lt;2,"0-2 Years",HR_Data[[#This Row],[Experience]]&lt;5,"2-5 Years",HR_Data[[#This Row],[Experience]]&lt;10,"5-10 Years",TRUE(),"10+ Years")</f>
        <v>2-5 Years</v>
      </c>
      <c r="M437" t="str">
        <f t="array" ref="M437">_xlfn.IFS(HR_Data[[#This Row],[Salary]]&lt;40000,"Low",HR_Data[[#This Row],[Salary]]&lt;70000,"Medium",HR_Data[[#This Row],[Salary]]&lt;100000,"High",TRUE(),"Very High")</f>
        <v>Low</v>
      </c>
      <c r="N437" t="str">
        <f t="array" ref="N437">_xlfn.IFS(HR_Data[[#This Row],[Age]]&lt;25,"18-24",HR_Data[[#This Row],[Age]]&lt;35,"25-34",HR_Data[[#This Row],[Age]]&lt;45,"35-44",TRUE(),"45+")</f>
        <v>25-34</v>
      </c>
      <c r="O437">
        <f>YEAR(HR_Data[[#This Row],[Joining Date]])</f>
        <v>2023</v>
      </c>
      <c r="P437" t="str">
        <f>TEXT(HR_Data[[#This Row],[Joining Date]],"mmmm")</f>
        <v>October</v>
      </c>
      <c r="Q437">
        <f t="array" ref="Q437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437">
        <f>HR_Data[[#This Row],[Salary]]*HR_Data[[#This Row],[Bonus %]]</f>
        <v>1738.95</v>
      </c>
      <c r="S437">
        <f>HR_Data[[#This Row],[Salary]]+HR_Data[[#This Row],[Bonus Amount]]</f>
        <v>36517.949999999997</v>
      </c>
      <c r="T437" t="str">
        <f>IF(HR_Data[[#This Row],[Attrition]]="Yes","Inactive","Active")</f>
        <v>Active</v>
      </c>
      <c r="U437" t="str">
        <f t="array" ref="U437">_xlfn.IFS(HR_Data[[#This Row],[Salary]]&gt;=100000,"A",HR_Data[[#This Row],[Salary]]&gt;=70000,"B",HR_Data[[#This Row],[Salary]]&gt;=50000,"C",TRUE(),"D")</f>
        <v>D</v>
      </c>
      <c r="V437" t="str">
        <f t="array" ref="V437">_xlfn.IFS(HR_Data[[#This Row],[Experience]]&gt;=15,"Expert",HR_Data[[#This Row],[Experience]]&gt;=8,"Senior",HR_Data[[#This Row],[Experience]]&gt;=3,"Mid-Level",TRUE(),"Junior")</f>
        <v>Junior</v>
      </c>
    </row>
    <row r="438" spans="1:22" ht="14.25" customHeight="1" x14ac:dyDescent="0.3">
      <c r="A438" t="s">
        <v>1075</v>
      </c>
      <c r="B438" t="s">
        <v>994</v>
      </c>
      <c r="C438" t="s">
        <v>70</v>
      </c>
      <c r="D438" t="s">
        <v>25</v>
      </c>
      <c r="E438">
        <v>21</v>
      </c>
      <c r="F438">
        <v>25000</v>
      </c>
      <c r="G438">
        <v>0</v>
      </c>
      <c r="H438" t="s">
        <v>56</v>
      </c>
      <c r="I438" t="s">
        <v>57</v>
      </c>
      <c r="J438" t="s">
        <v>36</v>
      </c>
      <c r="K438" t="s">
        <v>29</v>
      </c>
      <c r="L438" t="str">
        <f t="array" ref="L438">_xlfn.IFS(HR_Data[[#This Row],[Experience]]&lt;2,"0-2 Years",HR_Data[[#This Row],[Experience]]&lt;5,"2-5 Years",HR_Data[[#This Row],[Experience]]&lt;10,"5-10 Years",TRUE(),"10+ Years")</f>
        <v>0-2 Years</v>
      </c>
      <c r="M438" t="str">
        <f t="array" ref="M438">_xlfn.IFS(HR_Data[[#This Row],[Salary]]&lt;40000,"Low",HR_Data[[#This Row],[Salary]]&lt;70000,"Medium",HR_Data[[#This Row],[Salary]]&lt;100000,"High",TRUE(),"Very High")</f>
        <v>Low</v>
      </c>
      <c r="N438" t="str">
        <f t="array" ref="N438">_xlfn.IFS(HR_Data[[#This Row],[Age]]&lt;25,"18-24",HR_Data[[#This Row],[Age]]&lt;35,"25-34",HR_Data[[#This Row],[Age]]&lt;45,"35-44",TRUE(),"45+")</f>
        <v>18-24</v>
      </c>
      <c r="O438">
        <f>YEAR(HR_Data[[#This Row],[Joining Date]])</f>
        <v>2023</v>
      </c>
      <c r="P438" t="str">
        <f>TEXT(HR_Data[[#This Row],[Joining Date]],"mmmm")</f>
        <v>July</v>
      </c>
      <c r="Q438">
        <f t="array" ref="Q43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38">
        <f>HR_Data[[#This Row],[Salary]]*HR_Data[[#This Row],[Bonus %]]</f>
        <v>2500</v>
      </c>
      <c r="S438">
        <f>HR_Data[[#This Row],[Salary]]+HR_Data[[#This Row],[Bonus Amount]]</f>
        <v>27500</v>
      </c>
      <c r="T438" t="str">
        <f>IF(HR_Data[[#This Row],[Attrition]]="Yes","Inactive","Active")</f>
        <v>Active</v>
      </c>
      <c r="U438" t="str">
        <f t="array" ref="U438">_xlfn.IFS(HR_Data[[#This Row],[Salary]]&gt;=100000,"A",HR_Data[[#This Row],[Salary]]&gt;=70000,"B",HR_Data[[#This Row],[Salary]]&gt;=50000,"C",TRUE(),"D")</f>
        <v>D</v>
      </c>
      <c r="V438" t="str">
        <f t="array" ref="V438">_xlfn.IFS(HR_Data[[#This Row],[Experience]]&gt;=15,"Expert",HR_Data[[#This Row],[Experience]]&gt;=8,"Senior",HR_Data[[#This Row],[Experience]]&gt;=3,"Mid-Level",TRUE(),"Junior")</f>
        <v>Junior</v>
      </c>
    </row>
    <row r="439" spans="1:22" ht="14.25" customHeight="1" x14ac:dyDescent="0.3">
      <c r="A439" t="s">
        <v>1076</v>
      </c>
      <c r="B439" t="s">
        <v>102</v>
      </c>
      <c r="C439" t="s">
        <v>55</v>
      </c>
      <c r="D439" t="s">
        <v>25</v>
      </c>
      <c r="E439">
        <v>43</v>
      </c>
      <c r="F439">
        <v>82642</v>
      </c>
      <c r="G439">
        <v>17</v>
      </c>
      <c r="H439" t="s">
        <v>1077</v>
      </c>
      <c r="I439" t="s">
        <v>80</v>
      </c>
      <c r="J439" t="s">
        <v>28</v>
      </c>
      <c r="K439" t="s">
        <v>29</v>
      </c>
      <c r="L439" t="str">
        <f t="array" ref="L439">_xlfn.IFS(HR_Data[[#This Row],[Experience]]&lt;2,"0-2 Years",HR_Data[[#This Row],[Experience]]&lt;5,"2-5 Years",HR_Data[[#This Row],[Experience]]&lt;10,"5-10 Years",TRUE(),"10+ Years")</f>
        <v>10+ Years</v>
      </c>
      <c r="M439" t="str">
        <f t="array" ref="M439">_xlfn.IFS(HR_Data[[#This Row],[Salary]]&lt;40000,"Low",HR_Data[[#This Row],[Salary]]&lt;70000,"Medium",HR_Data[[#This Row],[Salary]]&lt;100000,"High",TRUE(),"Very High")</f>
        <v>High</v>
      </c>
      <c r="N439" t="str">
        <f t="array" ref="N439">_xlfn.IFS(HR_Data[[#This Row],[Age]]&lt;25,"18-24",HR_Data[[#This Row],[Age]]&lt;35,"25-34",HR_Data[[#This Row],[Age]]&lt;45,"35-44",TRUE(),"45+")</f>
        <v>35-44</v>
      </c>
      <c r="O439">
        <f>YEAR(HR_Data[[#This Row],[Joining Date]])</f>
        <v>2023</v>
      </c>
      <c r="P439" t="str">
        <f>TEXT(HR_Data[[#This Row],[Joining Date]],"mmmm")</f>
        <v>March</v>
      </c>
      <c r="Q439">
        <f t="array" ref="Q43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39">
        <f>HR_Data[[#This Row],[Salary]]*HR_Data[[#This Row],[Bonus %]]</f>
        <v>12396.3</v>
      </c>
      <c r="S439">
        <f>HR_Data[[#This Row],[Salary]]+HR_Data[[#This Row],[Bonus Amount]]</f>
        <v>95038.3</v>
      </c>
      <c r="T439" t="str">
        <f>IF(HR_Data[[#This Row],[Attrition]]="Yes","Inactive","Active")</f>
        <v>Active</v>
      </c>
      <c r="U439" t="str">
        <f t="array" ref="U439">_xlfn.IFS(HR_Data[[#This Row],[Salary]]&gt;=100000,"A",HR_Data[[#This Row],[Salary]]&gt;=70000,"B",HR_Data[[#This Row],[Salary]]&gt;=50000,"C",TRUE(),"D")</f>
        <v>B</v>
      </c>
      <c r="V439" t="str">
        <f t="array" ref="V439">_xlfn.IFS(HR_Data[[#This Row],[Experience]]&gt;=15,"Expert",HR_Data[[#This Row],[Experience]]&gt;=8,"Senior",HR_Data[[#This Row],[Experience]]&gt;=3,"Mid-Level",TRUE(),"Junior")</f>
        <v>Expert</v>
      </c>
    </row>
    <row r="440" spans="1:22" ht="14.25" customHeight="1" x14ac:dyDescent="0.3">
      <c r="A440" t="s">
        <v>1078</v>
      </c>
      <c r="B440" t="s">
        <v>1079</v>
      </c>
      <c r="C440" t="s">
        <v>60</v>
      </c>
      <c r="D440" t="s">
        <v>25</v>
      </c>
      <c r="E440">
        <v>49</v>
      </c>
      <c r="F440">
        <v>125323</v>
      </c>
      <c r="G440">
        <v>28</v>
      </c>
      <c r="H440" t="s">
        <v>1080</v>
      </c>
      <c r="I440" t="s">
        <v>62</v>
      </c>
      <c r="J440" t="s">
        <v>90</v>
      </c>
      <c r="K440" t="s">
        <v>29</v>
      </c>
      <c r="L440" t="str">
        <f t="array" ref="L440">_xlfn.IFS(HR_Data[[#This Row],[Experience]]&lt;2,"0-2 Years",HR_Data[[#This Row],[Experience]]&lt;5,"2-5 Years",HR_Data[[#This Row],[Experience]]&lt;10,"5-10 Years",TRUE(),"10+ Years")</f>
        <v>10+ Years</v>
      </c>
      <c r="M440" t="str">
        <f t="array" ref="M440">_xlfn.IFS(HR_Data[[#This Row],[Salary]]&lt;40000,"Low",HR_Data[[#This Row],[Salary]]&lt;70000,"Medium",HR_Data[[#This Row],[Salary]]&lt;100000,"High",TRUE(),"Very High")</f>
        <v>Very High</v>
      </c>
      <c r="N440" t="str">
        <f t="array" ref="N440">_xlfn.IFS(HR_Data[[#This Row],[Age]]&lt;25,"18-24",HR_Data[[#This Row],[Age]]&lt;35,"25-34",HR_Data[[#This Row],[Age]]&lt;45,"35-44",TRUE(),"45+")</f>
        <v>45+</v>
      </c>
      <c r="O440">
        <f>YEAR(HR_Data[[#This Row],[Joining Date]])</f>
        <v>2017</v>
      </c>
      <c r="P440" t="str">
        <f>TEXT(HR_Data[[#This Row],[Joining Date]],"mmmm")</f>
        <v>December</v>
      </c>
      <c r="Q440">
        <f t="array" ref="Q440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440">
        <f>HR_Data[[#This Row],[Salary]]*HR_Data[[#This Row],[Bonus %]]</f>
        <v>0</v>
      </c>
      <c r="S440">
        <f>HR_Data[[#This Row],[Salary]]+HR_Data[[#This Row],[Bonus Amount]]</f>
        <v>125323</v>
      </c>
      <c r="T440" t="str">
        <f>IF(HR_Data[[#This Row],[Attrition]]="Yes","Inactive","Active")</f>
        <v>Active</v>
      </c>
      <c r="U440" t="str">
        <f t="array" ref="U440">_xlfn.IFS(HR_Data[[#This Row],[Salary]]&gt;=100000,"A",HR_Data[[#This Row],[Salary]]&gt;=70000,"B",HR_Data[[#This Row],[Salary]]&gt;=50000,"C",TRUE(),"D")</f>
        <v>A</v>
      </c>
      <c r="V440" t="str">
        <f t="array" ref="V440">_xlfn.IFS(HR_Data[[#This Row],[Experience]]&gt;=15,"Expert",HR_Data[[#This Row],[Experience]]&gt;=8,"Senior",HR_Data[[#This Row],[Experience]]&gt;=3,"Mid-Level",TRUE(),"Junior")</f>
        <v>Expert</v>
      </c>
    </row>
    <row r="441" spans="1:22" ht="14.25" customHeight="1" x14ac:dyDescent="0.3">
      <c r="A441" t="s">
        <v>1081</v>
      </c>
      <c r="B441" t="s">
        <v>436</v>
      </c>
      <c r="C441" t="s">
        <v>75</v>
      </c>
      <c r="D441" t="s">
        <v>25</v>
      </c>
      <c r="E441">
        <v>33</v>
      </c>
      <c r="F441">
        <v>60300</v>
      </c>
      <c r="G441">
        <v>12</v>
      </c>
      <c r="H441" t="s">
        <v>1082</v>
      </c>
      <c r="I441" t="s">
        <v>35</v>
      </c>
      <c r="J441" t="s">
        <v>46</v>
      </c>
      <c r="K441" t="s">
        <v>29</v>
      </c>
      <c r="L441" t="str">
        <f t="array" ref="L441">_xlfn.IFS(HR_Data[[#This Row],[Experience]]&lt;2,"0-2 Years",HR_Data[[#This Row],[Experience]]&lt;5,"2-5 Years",HR_Data[[#This Row],[Experience]]&lt;10,"5-10 Years",TRUE(),"10+ Years")</f>
        <v>10+ Years</v>
      </c>
      <c r="M441" t="str">
        <f t="array" ref="M441">_xlfn.IFS(HR_Data[[#This Row],[Salary]]&lt;40000,"Low",HR_Data[[#This Row],[Salary]]&lt;70000,"Medium",HR_Data[[#This Row],[Salary]]&lt;100000,"High",TRUE(),"Very High")</f>
        <v>Medium</v>
      </c>
      <c r="N441" t="str">
        <f t="array" ref="N441">_xlfn.IFS(HR_Data[[#This Row],[Age]]&lt;25,"18-24",HR_Data[[#This Row],[Age]]&lt;35,"25-34",HR_Data[[#This Row],[Age]]&lt;45,"35-44",TRUE(),"45+")</f>
        <v>25-34</v>
      </c>
      <c r="O441">
        <f>YEAR(HR_Data[[#This Row],[Joining Date]])</f>
        <v>2025</v>
      </c>
      <c r="P441" t="str">
        <f>TEXT(HR_Data[[#This Row],[Joining Date]],"mmmm")</f>
        <v>August</v>
      </c>
      <c r="Q441">
        <f t="array" ref="Q441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441">
        <f>HR_Data[[#This Row],[Salary]]*HR_Data[[#This Row],[Bonus %]]</f>
        <v>3015</v>
      </c>
      <c r="S441">
        <f>HR_Data[[#This Row],[Salary]]+HR_Data[[#This Row],[Bonus Amount]]</f>
        <v>63315</v>
      </c>
      <c r="T441" t="str">
        <f>IF(HR_Data[[#This Row],[Attrition]]="Yes","Inactive","Active")</f>
        <v>Active</v>
      </c>
      <c r="U441" t="str">
        <f t="array" ref="U441">_xlfn.IFS(HR_Data[[#This Row],[Salary]]&gt;=100000,"A",HR_Data[[#This Row],[Salary]]&gt;=70000,"B",HR_Data[[#This Row],[Salary]]&gt;=50000,"C",TRUE(),"D")</f>
        <v>C</v>
      </c>
      <c r="V441" t="str">
        <f t="array" ref="V441">_xlfn.IFS(HR_Data[[#This Row],[Experience]]&gt;=15,"Expert",HR_Data[[#This Row],[Experience]]&gt;=8,"Senior",HR_Data[[#This Row],[Experience]]&gt;=3,"Mid-Level",TRUE(),"Junior")</f>
        <v>Senior</v>
      </c>
    </row>
    <row r="442" spans="1:22" ht="14.25" customHeight="1" x14ac:dyDescent="0.3">
      <c r="A442" t="s">
        <v>1083</v>
      </c>
      <c r="B442" t="s">
        <v>727</v>
      </c>
      <c r="C442" t="s">
        <v>134</v>
      </c>
      <c r="D442" t="s">
        <v>25</v>
      </c>
      <c r="E442">
        <v>42</v>
      </c>
      <c r="F442">
        <v>96220</v>
      </c>
      <c r="G442">
        <v>19</v>
      </c>
      <c r="H442" t="s">
        <v>1084</v>
      </c>
      <c r="I442" t="s">
        <v>42</v>
      </c>
      <c r="J442" t="s">
        <v>28</v>
      </c>
      <c r="K442" t="s">
        <v>29</v>
      </c>
      <c r="L442" t="str">
        <f t="array" ref="L442">_xlfn.IFS(HR_Data[[#This Row],[Experience]]&lt;2,"0-2 Years",HR_Data[[#This Row],[Experience]]&lt;5,"2-5 Years",HR_Data[[#This Row],[Experience]]&lt;10,"5-10 Years",TRUE(),"10+ Years")</f>
        <v>10+ Years</v>
      </c>
      <c r="M442" t="str">
        <f t="array" ref="M442">_xlfn.IFS(HR_Data[[#This Row],[Salary]]&lt;40000,"Low",HR_Data[[#This Row],[Salary]]&lt;70000,"Medium",HR_Data[[#This Row],[Salary]]&lt;100000,"High",TRUE(),"Very High")</f>
        <v>High</v>
      </c>
      <c r="N442" t="str">
        <f t="array" ref="N442">_xlfn.IFS(HR_Data[[#This Row],[Age]]&lt;25,"18-24",HR_Data[[#This Row],[Age]]&lt;35,"25-34",HR_Data[[#This Row],[Age]]&lt;45,"35-44",TRUE(),"45+")</f>
        <v>35-44</v>
      </c>
      <c r="O442">
        <f>YEAR(HR_Data[[#This Row],[Joining Date]])</f>
        <v>2016</v>
      </c>
      <c r="P442" t="str">
        <f>TEXT(HR_Data[[#This Row],[Joining Date]],"mmmm")</f>
        <v>January</v>
      </c>
      <c r="Q442">
        <f t="array" ref="Q442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42">
        <f>HR_Data[[#This Row],[Salary]]*HR_Data[[#This Row],[Bonus %]]</f>
        <v>14433</v>
      </c>
      <c r="S442">
        <f>HR_Data[[#This Row],[Salary]]+HR_Data[[#This Row],[Bonus Amount]]</f>
        <v>110653</v>
      </c>
      <c r="T442" t="str">
        <f>IF(HR_Data[[#This Row],[Attrition]]="Yes","Inactive","Active")</f>
        <v>Active</v>
      </c>
      <c r="U442" t="str">
        <f t="array" ref="U442">_xlfn.IFS(HR_Data[[#This Row],[Salary]]&gt;=100000,"A",HR_Data[[#This Row],[Salary]]&gt;=70000,"B",HR_Data[[#This Row],[Salary]]&gt;=50000,"C",TRUE(),"D")</f>
        <v>B</v>
      </c>
      <c r="V442" t="str">
        <f t="array" ref="V442">_xlfn.IFS(HR_Data[[#This Row],[Experience]]&gt;=15,"Expert",HR_Data[[#This Row],[Experience]]&gt;=8,"Senior",HR_Data[[#This Row],[Experience]]&gt;=3,"Mid-Level",TRUE(),"Junior")</f>
        <v>Expert</v>
      </c>
    </row>
    <row r="443" spans="1:22" ht="14.25" customHeight="1" x14ac:dyDescent="0.3">
      <c r="A443" t="s">
        <v>1085</v>
      </c>
      <c r="B443" t="s">
        <v>618</v>
      </c>
      <c r="C443" t="s">
        <v>112</v>
      </c>
      <c r="D443" t="s">
        <v>25</v>
      </c>
      <c r="E443">
        <v>58</v>
      </c>
      <c r="F443">
        <v>117566</v>
      </c>
      <c r="G443">
        <v>28</v>
      </c>
      <c r="H443" t="s">
        <v>1086</v>
      </c>
      <c r="I443" t="s">
        <v>42</v>
      </c>
      <c r="J443" t="s">
        <v>28</v>
      </c>
      <c r="K443" t="s">
        <v>29</v>
      </c>
      <c r="L443" t="str">
        <f t="array" ref="L443">_xlfn.IFS(HR_Data[[#This Row],[Experience]]&lt;2,"0-2 Years",HR_Data[[#This Row],[Experience]]&lt;5,"2-5 Years",HR_Data[[#This Row],[Experience]]&lt;10,"5-10 Years",TRUE(),"10+ Years")</f>
        <v>10+ Years</v>
      </c>
      <c r="M443" t="str">
        <f t="array" ref="M443">_xlfn.IFS(HR_Data[[#This Row],[Salary]]&lt;40000,"Low",HR_Data[[#This Row],[Salary]]&lt;70000,"Medium",HR_Data[[#This Row],[Salary]]&lt;100000,"High",TRUE(),"Very High")</f>
        <v>Very High</v>
      </c>
      <c r="N443" t="str">
        <f t="array" ref="N443">_xlfn.IFS(HR_Data[[#This Row],[Age]]&lt;25,"18-24",HR_Data[[#This Row],[Age]]&lt;35,"25-34",HR_Data[[#This Row],[Age]]&lt;45,"35-44",TRUE(),"45+")</f>
        <v>45+</v>
      </c>
      <c r="O443">
        <f>YEAR(HR_Data[[#This Row],[Joining Date]])</f>
        <v>2020</v>
      </c>
      <c r="P443" t="str">
        <f>TEXT(HR_Data[[#This Row],[Joining Date]],"mmmm")</f>
        <v>October</v>
      </c>
      <c r="Q443">
        <f t="array" ref="Q44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43">
        <f>HR_Data[[#This Row],[Salary]]*HR_Data[[#This Row],[Bonus %]]</f>
        <v>17634.899999999998</v>
      </c>
      <c r="S443">
        <f>HR_Data[[#This Row],[Salary]]+HR_Data[[#This Row],[Bonus Amount]]</f>
        <v>135200.9</v>
      </c>
      <c r="T443" t="str">
        <f>IF(HR_Data[[#This Row],[Attrition]]="Yes","Inactive","Active")</f>
        <v>Active</v>
      </c>
      <c r="U443" t="str">
        <f t="array" ref="U443">_xlfn.IFS(HR_Data[[#This Row],[Salary]]&gt;=100000,"A",HR_Data[[#This Row],[Salary]]&gt;=70000,"B",HR_Data[[#This Row],[Salary]]&gt;=50000,"C",TRUE(),"D")</f>
        <v>A</v>
      </c>
      <c r="V443" t="str">
        <f t="array" ref="V443">_xlfn.IFS(HR_Data[[#This Row],[Experience]]&gt;=15,"Expert",HR_Data[[#This Row],[Experience]]&gt;=8,"Senior",HR_Data[[#This Row],[Experience]]&gt;=3,"Mid-Level",TRUE(),"Junior")</f>
        <v>Expert</v>
      </c>
    </row>
    <row r="444" spans="1:22" ht="14.25" customHeight="1" x14ac:dyDescent="0.3">
      <c r="A444" t="s">
        <v>1087</v>
      </c>
      <c r="B444" t="s">
        <v>239</v>
      </c>
      <c r="C444" t="s">
        <v>134</v>
      </c>
      <c r="D444" t="s">
        <v>25</v>
      </c>
      <c r="E444">
        <v>51</v>
      </c>
      <c r="F444">
        <v>107243</v>
      </c>
      <c r="G444">
        <v>22</v>
      </c>
      <c r="H444" t="s">
        <v>1088</v>
      </c>
      <c r="I444" t="s">
        <v>67</v>
      </c>
      <c r="J444" t="s">
        <v>36</v>
      </c>
      <c r="K444" t="s">
        <v>29</v>
      </c>
      <c r="L444" t="str">
        <f t="array" ref="L444">_xlfn.IFS(HR_Data[[#This Row],[Experience]]&lt;2,"0-2 Years",HR_Data[[#This Row],[Experience]]&lt;5,"2-5 Years",HR_Data[[#This Row],[Experience]]&lt;10,"5-10 Years",TRUE(),"10+ Years")</f>
        <v>10+ Years</v>
      </c>
      <c r="M444" t="str">
        <f t="array" ref="M444">_xlfn.IFS(HR_Data[[#This Row],[Salary]]&lt;40000,"Low",HR_Data[[#This Row],[Salary]]&lt;70000,"Medium",HR_Data[[#This Row],[Salary]]&lt;100000,"High",TRUE(),"Very High")</f>
        <v>Very High</v>
      </c>
      <c r="N444" t="str">
        <f t="array" ref="N444">_xlfn.IFS(HR_Data[[#This Row],[Age]]&lt;25,"18-24",HR_Data[[#This Row],[Age]]&lt;35,"25-34",HR_Data[[#This Row],[Age]]&lt;45,"35-44",TRUE(),"45+")</f>
        <v>45+</v>
      </c>
      <c r="O444">
        <f>YEAR(HR_Data[[#This Row],[Joining Date]])</f>
        <v>2019</v>
      </c>
      <c r="P444" t="str">
        <f>TEXT(HR_Data[[#This Row],[Joining Date]],"mmmm")</f>
        <v>June</v>
      </c>
      <c r="Q444">
        <f t="array" ref="Q444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44">
        <f>HR_Data[[#This Row],[Salary]]*HR_Data[[#This Row],[Bonus %]]</f>
        <v>10724.300000000001</v>
      </c>
      <c r="S444">
        <f>HR_Data[[#This Row],[Salary]]+HR_Data[[#This Row],[Bonus Amount]]</f>
        <v>117967.3</v>
      </c>
      <c r="T444" t="str">
        <f>IF(HR_Data[[#This Row],[Attrition]]="Yes","Inactive","Active")</f>
        <v>Active</v>
      </c>
      <c r="U444" t="str">
        <f t="array" ref="U444">_xlfn.IFS(HR_Data[[#This Row],[Salary]]&gt;=100000,"A",HR_Data[[#This Row],[Salary]]&gt;=70000,"B",HR_Data[[#This Row],[Salary]]&gt;=50000,"C",TRUE(),"D")</f>
        <v>A</v>
      </c>
      <c r="V444" t="str">
        <f t="array" ref="V444">_xlfn.IFS(HR_Data[[#This Row],[Experience]]&gt;=15,"Expert",HR_Data[[#This Row],[Experience]]&gt;=8,"Senior",HR_Data[[#This Row],[Experience]]&gt;=3,"Mid-Level",TRUE(),"Junior")</f>
        <v>Expert</v>
      </c>
    </row>
    <row r="445" spans="1:22" ht="14.25" customHeight="1" x14ac:dyDescent="0.3">
      <c r="A445" t="s">
        <v>1089</v>
      </c>
      <c r="B445" t="s">
        <v>1090</v>
      </c>
      <c r="C445" t="s">
        <v>55</v>
      </c>
      <c r="D445" t="s">
        <v>25</v>
      </c>
      <c r="E445">
        <v>58</v>
      </c>
      <c r="F445">
        <v>134045</v>
      </c>
      <c r="G445">
        <v>32</v>
      </c>
      <c r="H445" t="s">
        <v>1091</v>
      </c>
      <c r="I445" t="s">
        <v>72</v>
      </c>
      <c r="J445" t="s">
        <v>28</v>
      </c>
      <c r="K445" t="s">
        <v>29</v>
      </c>
      <c r="L445" t="str">
        <f t="array" ref="L445">_xlfn.IFS(HR_Data[[#This Row],[Experience]]&lt;2,"0-2 Years",HR_Data[[#This Row],[Experience]]&lt;5,"2-5 Years",HR_Data[[#This Row],[Experience]]&lt;10,"5-10 Years",TRUE(),"10+ Years")</f>
        <v>10+ Years</v>
      </c>
      <c r="M445" t="str">
        <f t="array" ref="M445">_xlfn.IFS(HR_Data[[#This Row],[Salary]]&lt;40000,"Low",HR_Data[[#This Row],[Salary]]&lt;70000,"Medium",HR_Data[[#This Row],[Salary]]&lt;100000,"High",TRUE(),"Very High")</f>
        <v>Very High</v>
      </c>
      <c r="N445" t="str">
        <f t="array" ref="N445">_xlfn.IFS(HR_Data[[#This Row],[Age]]&lt;25,"18-24",HR_Data[[#This Row],[Age]]&lt;35,"25-34",HR_Data[[#This Row],[Age]]&lt;45,"35-44",TRUE(),"45+")</f>
        <v>45+</v>
      </c>
      <c r="O445">
        <f>YEAR(HR_Data[[#This Row],[Joining Date]])</f>
        <v>2016</v>
      </c>
      <c r="P445" t="str">
        <f>TEXT(HR_Data[[#This Row],[Joining Date]],"mmmm")</f>
        <v>October</v>
      </c>
      <c r="Q445">
        <f t="array" ref="Q445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45">
        <f>HR_Data[[#This Row],[Salary]]*HR_Data[[#This Row],[Bonus %]]</f>
        <v>20106.75</v>
      </c>
      <c r="S445">
        <f>HR_Data[[#This Row],[Salary]]+HR_Data[[#This Row],[Bonus Amount]]</f>
        <v>154151.75</v>
      </c>
      <c r="T445" t="str">
        <f>IF(HR_Data[[#This Row],[Attrition]]="Yes","Inactive","Active")</f>
        <v>Active</v>
      </c>
      <c r="U445" t="str">
        <f t="array" ref="U445">_xlfn.IFS(HR_Data[[#This Row],[Salary]]&gt;=100000,"A",HR_Data[[#This Row],[Salary]]&gt;=70000,"B",HR_Data[[#This Row],[Salary]]&gt;=50000,"C",TRUE(),"D")</f>
        <v>A</v>
      </c>
      <c r="V445" t="str">
        <f t="array" ref="V445">_xlfn.IFS(HR_Data[[#This Row],[Experience]]&gt;=15,"Expert",HR_Data[[#This Row],[Experience]]&gt;=8,"Senior",HR_Data[[#This Row],[Experience]]&gt;=3,"Mid-Level",TRUE(),"Junior")</f>
        <v>Expert</v>
      </c>
    </row>
    <row r="446" spans="1:22" ht="14.25" customHeight="1" x14ac:dyDescent="0.3">
      <c r="A446" t="s">
        <v>1092</v>
      </c>
      <c r="B446" t="s">
        <v>234</v>
      </c>
      <c r="C446" t="s">
        <v>24</v>
      </c>
      <c r="D446" t="s">
        <v>25</v>
      </c>
      <c r="E446">
        <v>45</v>
      </c>
      <c r="F446">
        <v>99592</v>
      </c>
      <c r="G446">
        <v>25</v>
      </c>
      <c r="H446" t="s">
        <v>1093</v>
      </c>
      <c r="I446" t="s">
        <v>80</v>
      </c>
      <c r="J446" t="s">
        <v>28</v>
      </c>
      <c r="K446" t="s">
        <v>29</v>
      </c>
      <c r="L446" t="str">
        <f t="array" ref="L446">_xlfn.IFS(HR_Data[[#This Row],[Experience]]&lt;2,"0-2 Years",HR_Data[[#This Row],[Experience]]&lt;5,"2-5 Years",HR_Data[[#This Row],[Experience]]&lt;10,"5-10 Years",TRUE(),"10+ Years")</f>
        <v>10+ Years</v>
      </c>
      <c r="M446" t="str">
        <f t="array" ref="M446">_xlfn.IFS(HR_Data[[#This Row],[Salary]]&lt;40000,"Low",HR_Data[[#This Row],[Salary]]&lt;70000,"Medium",HR_Data[[#This Row],[Salary]]&lt;100000,"High",TRUE(),"Very High")</f>
        <v>High</v>
      </c>
      <c r="N446" t="str">
        <f t="array" ref="N446">_xlfn.IFS(HR_Data[[#This Row],[Age]]&lt;25,"18-24",HR_Data[[#This Row],[Age]]&lt;35,"25-34",HR_Data[[#This Row],[Age]]&lt;45,"35-44",TRUE(),"45+")</f>
        <v>45+</v>
      </c>
      <c r="O446">
        <f>YEAR(HR_Data[[#This Row],[Joining Date]])</f>
        <v>2018</v>
      </c>
      <c r="P446" t="str">
        <f>TEXT(HR_Data[[#This Row],[Joining Date]],"mmmm")</f>
        <v>August</v>
      </c>
      <c r="Q446">
        <f t="array" ref="Q446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46">
        <f>HR_Data[[#This Row],[Salary]]*HR_Data[[#This Row],[Bonus %]]</f>
        <v>14938.8</v>
      </c>
      <c r="S446">
        <f>HR_Data[[#This Row],[Salary]]+HR_Data[[#This Row],[Bonus Amount]]</f>
        <v>114530.8</v>
      </c>
      <c r="T446" t="str">
        <f>IF(HR_Data[[#This Row],[Attrition]]="Yes","Inactive","Active")</f>
        <v>Active</v>
      </c>
      <c r="U446" t="str">
        <f t="array" ref="U446">_xlfn.IFS(HR_Data[[#This Row],[Salary]]&gt;=100000,"A",HR_Data[[#This Row],[Salary]]&gt;=70000,"B",HR_Data[[#This Row],[Salary]]&gt;=50000,"C",TRUE(),"D")</f>
        <v>B</v>
      </c>
      <c r="V446" t="str">
        <f t="array" ref="V446">_xlfn.IFS(HR_Data[[#This Row],[Experience]]&gt;=15,"Expert",HR_Data[[#This Row],[Experience]]&gt;=8,"Senior",HR_Data[[#This Row],[Experience]]&gt;=3,"Mid-Level",TRUE(),"Junior")</f>
        <v>Expert</v>
      </c>
    </row>
    <row r="447" spans="1:22" ht="14.25" customHeight="1" x14ac:dyDescent="0.3">
      <c r="A447" t="s">
        <v>1094</v>
      </c>
      <c r="B447" t="s">
        <v>1050</v>
      </c>
      <c r="C447" t="s">
        <v>60</v>
      </c>
      <c r="D447" t="s">
        <v>25</v>
      </c>
      <c r="E447">
        <v>52</v>
      </c>
      <c r="F447">
        <v>125832</v>
      </c>
      <c r="G447">
        <v>28</v>
      </c>
      <c r="H447" t="s">
        <v>1095</v>
      </c>
      <c r="I447" t="s">
        <v>42</v>
      </c>
      <c r="J447" t="s">
        <v>36</v>
      </c>
      <c r="K447" t="s">
        <v>29</v>
      </c>
      <c r="L447" t="str">
        <f t="array" ref="L447">_xlfn.IFS(HR_Data[[#This Row],[Experience]]&lt;2,"0-2 Years",HR_Data[[#This Row],[Experience]]&lt;5,"2-5 Years",HR_Data[[#This Row],[Experience]]&lt;10,"5-10 Years",TRUE(),"10+ Years")</f>
        <v>10+ Years</v>
      </c>
      <c r="M447" t="str">
        <f t="array" ref="M447">_xlfn.IFS(HR_Data[[#This Row],[Salary]]&lt;40000,"Low",HR_Data[[#This Row],[Salary]]&lt;70000,"Medium",HR_Data[[#This Row],[Salary]]&lt;100000,"High",TRUE(),"Very High")</f>
        <v>Very High</v>
      </c>
      <c r="N447" t="str">
        <f t="array" ref="N447">_xlfn.IFS(HR_Data[[#This Row],[Age]]&lt;25,"18-24",HR_Data[[#This Row],[Age]]&lt;35,"25-34",HR_Data[[#This Row],[Age]]&lt;45,"35-44",TRUE(),"45+")</f>
        <v>45+</v>
      </c>
      <c r="O447">
        <f>YEAR(HR_Data[[#This Row],[Joining Date]])</f>
        <v>2025</v>
      </c>
      <c r="P447" t="str">
        <f>TEXT(HR_Data[[#This Row],[Joining Date]],"mmmm")</f>
        <v>February</v>
      </c>
      <c r="Q447">
        <f t="array" ref="Q447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47">
        <f>HR_Data[[#This Row],[Salary]]*HR_Data[[#This Row],[Bonus %]]</f>
        <v>12583.2</v>
      </c>
      <c r="S447">
        <f>HR_Data[[#This Row],[Salary]]+HR_Data[[#This Row],[Bonus Amount]]</f>
        <v>138415.20000000001</v>
      </c>
      <c r="T447" t="str">
        <f>IF(HR_Data[[#This Row],[Attrition]]="Yes","Inactive","Active")</f>
        <v>Active</v>
      </c>
      <c r="U447" t="str">
        <f t="array" ref="U447">_xlfn.IFS(HR_Data[[#This Row],[Salary]]&gt;=100000,"A",HR_Data[[#This Row],[Salary]]&gt;=70000,"B",HR_Data[[#This Row],[Salary]]&gt;=50000,"C",TRUE(),"D")</f>
        <v>A</v>
      </c>
      <c r="V447" t="str">
        <f t="array" ref="V447">_xlfn.IFS(HR_Data[[#This Row],[Experience]]&gt;=15,"Expert",HR_Data[[#This Row],[Experience]]&gt;=8,"Senior",HR_Data[[#This Row],[Experience]]&gt;=3,"Mid-Level",TRUE(),"Junior")</f>
        <v>Expert</v>
      </c>
    </row>
    <row r="448" spans="1:22" ht="14.25" customHeight="1" x14ac:dyDescent="0.3">
      <c r="A448" t="s">
        <v>1096</v>
      </c>
      <c r="B448" t="s">
        <v>228</v>
      </c>
      <c r="C448" t="s">
        <v>112</v>
      </c>
      <c r="D448" t="s">
        <v>33</v>
      </c>
      <c r="E448">
        <v>34</v>
      </c>
      <c r="F448">
        <v>71610</v>
      </c>
      <c r="G448">
        <v>13</v>
      </c>
      <c r="H448" t="s">
        <v>1097</v>
      </c>
      <c r="I448" t="s">
        <v>62</v>
      </c>
      <c r="J448" t="s">
        <v>63</v>
      </c>
      <c r="K448" t="s">
        <v>29</v>
      </c>
      <c r="L448" t="str">
        <f t="array" ref="L448">_xlfn.IFS(HR_Data[[#This Row],[Experience]]&lt;2,"0-2 Years",HR_Data[[#This Row],[Experience]]&lt;5,"2-5 Years",HR_Data[[#This Row],[Experience]]&lt;10,"5-10 Years",TRUE(),"10+ Years")</f>
        <v>10+ Years</v>
      </c>
      <c r="M448" t="str">
        <f t="array" ref="M448">_xlfn.IFS(HR_Data[[#This Row],[Salary]]&lt;40000,"Low",HR_Data[[#This Row],[Salary]]&lt;70000,"Medium",HR_Data[[#This Row],[Salary]]&lt;100000,"High",TRUE(),"Very High")</f>
        <v>High</v>
      </c>
      <c r="N448" t="str">
        <f t="array" ref="N448">_xlfn.IFS(HR_Data[[#This Row],[Age]]&lt;25,"18-24",HR_Data[[#This Row],[Age]]&lt;35,"25-34",HR_Data[[#This Row],[Age]]&lt;45,"35-44",TRUE(),"45+")</f>
        <v>25-34</v>
      </c>
      <c r="O448">
        <f>YEAR(HR_Data[[#This Row],[Joining Date]])</f>
        <v>2017</v>
      </c>
      <c r="P448" t="str">
        <f>TEXT(HR_Data[[#This Row],[Joining Date]],"mmmm")</f>
        <v>April</v>
      </c>
      <c r="Q448">
        <f t="array" ref="Q448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448">
        <f>HR_Data[[#This Row],[Salary]]*HR_Data[[#This Row],[Bonus %]]</f>
        <v>14322</v>
      </c>
      <c r="S448">
        <f>HR_Data[[#This Row],[Salary]]+HR_Data[[#This Row],[Bonus Amount]]</f>
        <v>85932</v>
      </c>
      <c r="T448" t="str">
        <f>IF(HR_Data[[#This Row],[Attrition]]="Yes","Inactive","Active")</f>
        <v>Active</v>
      </c>
      <c r="U448" t="str">
        <f t="array" ref="U448">_xlfn.IFS(HR_Data[[#This Row],[Salary]]&gt;=100000,"A",HR_Data[[#This Row],[Salary]]&gt;=70000,"B",HR_Data[[#This Row],[Salary]]&gt;=50000,"C",TRUE(),"D")</f>
        <v>B</v>
      </c>
      <c r="V448" t="str">
        <f t="array" ref="V448">_xlfn.IFS(HR_Data[[#This Row],[Experience]]&gt;=15,"Expert",HR_Data[[#This Row],[Experience]]&gt;=8,"Senior",HR_Data[[#This Row],[Experience]]&gt;=3,"Mid-Level",TRUE(),"Junior")</f>
        <v>Senior</v>
      </c>
    </row>
    <row r="449" spans="1:22" ht="14.25" customHeight="1" x14ac:dyDescent="0.3">
      <c r="A449" t="s">
        <v>1098</v>
      </c>
      <c r="B449" t="s">
        <v>1099</v>
      </c>
      <c r="C449" t="s">
        <v>60</v>
      </c>
      <c r="D449" t="s">
        <v>33</v>
      </c>
      <c r="E449">
        <v>53</v>
      </c>
      <c r="F449">
        <v>126005</v>
      </c>
      <c r="G449">
        <v>33</v>
      </c>
      <c r="H449" t="s">
        <v>1100</v>
      </c>
      <c r="I449" t="s">
        <v>80</v>
      </c>
      <c r="J449" t="s">
        <v>36</v>
      </c>
      <c r="K449" t="s">
        <v>37</v>
      </c>
      <c r="L449" t="str">
        <f t="array" ref="L449">_xlfn.IFS(HR_Data[[#This Row],[Experience]]&lt;2,"0-2 Years",HR_Data[[#This Row],[Experience]]&lt;5,"2-5 Years",HR_Data[[#This Row],[Experience]]&lt;10,"5-10 Years",TRUE(),"10+ Years")</f>
        <v>10+ Years</v>
      </c>
      <c r="M449" t="str">
        <f t="array" ref="M449">_xlfn.IFS(HR_Data[[#This Row],[Salary]]&lt;40000,"Low",HR_Data[[#This Row],[Salary]]&lt;70000,"Medium",HR_Data[[#This Row],[Salary]]&lt;100000,"High",TRUE(),"Very High")</f>
        <v>Very High</v>
      </c>
      <c r="N449" t="str">
        <f t="array" ref="N449">_xlfn.IFS(HR_Data[[#This Row],[Age]]&lt;25,"18-24",HR_Data[[#This Row],[Age]]&lt;35,"25-34",HR_Data[[#This Row],[Age]]&lt;45,"35-44",TRUE(),"45+")</f>
        <v>45+</v>
      </c>
      <c r="O449">
        <f>YEAR(HR_Data[[#This Row],[Joining Date]])</f>
        <v>2020</v>
      </c>
      <c r="P449" t="str">
        <f>TEXT(HR_Data[[#This Row],[Joining Date]],"mmmm")</f>
        <v>November</v>
      </c>
      <c r="Q449">
        <f t="array" ref="Q44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49">
        <f>HR_Data[[#This Row],[Salary]]*HR_Data[[#This Row],[Bonus %]]</f>
        <v>12600.5</v>
      </c>
      <c r="S449">
        <f>HR_Data[[#This Row],[Salary]]+HR_Data[[#This Row],[Bonus Amount]]</f>
        <v>138605.5</v>
      </c>
      <c r="T449" t="str">
        <f>IF(HR_Data[[#This Row],[Attrition]]="Yes","Inactive","Active")</f>
        <v>Inactive</v>
      </c>
      <c r="U449" t="str">
        <f t="array" ref="U449">_xlfn.IFS(HR_Data[[#This Row],[Salary]]&gt;=100000,"A",HR_Data[[#This Row],[Salary]]&gt;=70000,"B",HR_Data[[#This Row],[Salary]]&gt;=50000,"C",TRUE(),"D")</f>
        <v>A</v>
      </c>
      <c r="V449" t="str">
        <f t="array" ref="V449">_xlfn.IFS(HR_Data[[#This Row],[Experience]]&gt;=15,"Expert",HR_Data[[#This Row],[Experience]]&gt;=8,"Senior",HR_Data[[#This Row],[Experience]]&gt;=3,"Mid-Level",TRUE(),"Junior")</f>
        <v>Expert</v>
      </c>
    </row>
    <row r="450" spans="1:22" ht="14.25" customHeight="1" x14ac:dyDescent="0.3">
      <c r="A450" t="s">
        <v>1101</v>
      </c>
      <c r="B450" t="s">
        <v>146</v>
      </c>
      <c r="C450" t="s">
        <v>55</v>
      </c>
      <c r="D450" t="s">
        <v>25</v>
      </c>
      <c r="E450">
        <v>57</v>
      </c>
      <c r="F450">
        <v>110742</v>
      </c>
      <c r="G450">
        <v>28</v>
      </c>
      <c r="H450" t="s">
        <v>1102</v>
      </c>
      <c r="I450" t="s">
        <v>35</v>
      </c>
      <c r="J450" t="s">
        <v>36</v>
      </c>
      <c r="K450" t="s">
        <v>29</v>
      </c>
      <c r="L450" t="str">
        <f t="array" ref="L450">_xlfn.IFS(HR_Data[[#This Row],[Experience]]&lt;2,"0-2 Years",HR_Data[[#This Row],[Experience]]&lt;5,"2-5 Years",HR_Data[[#This Row],[Experience]]&lt;10,"5-10 Years",TRUE(),"10+ Years")</f>
        <v>10+ Years</v>
      </c>
      <c r="M450" t="str">
        <f t="array" ref="M450">_xlfn.IFS(HR_Data[[#This Row],[Salary]]&lt;40000,"Low",HR_Data[[#This Row],[Salary]]&lt;70000,"Medium",HR_Data[[#This Row],[Salary]]&lt;100000,"High",TRUE(),"Very High")</f>
        <v>Very High</v>
      </c>
      <c r="N450" t="str">
        <f t="array" ref="N450">_xlfn.IFS(HR_Data[[#This Row],[Age]]&lt;25,"18-24",HR_Data[[#This Row],[Age]]&lt;35,"25-34",HR_Data[[#This Row],[Age]]&lt;45,"35-44",TRUE(),"45+")</f>
        <v>45+</v>
      </c>
      <c r="O450">
        <f>YEAR(HR_Data[[#This Row],[Joining Date]])</f>
        <v>2017</v>
      </c>
      <c r="P450" t="str">
        <f>TEXT(HR_Data[[#This Row],[Joining Date]],"mmmm")</f>
        <v>December</v>
      </c>
      <c r="Q450">
        <f t="array" ref="Q45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50">
        <f>HR_Data[[#This Row],[Salary]]*HR_Data[[#This Row],[Bonus %]]</f>
        <v>11074.2</v>
      </c>
      <c r="S450">
        <f>HR_Data[[#This Row],[Salary]]+HR_Data[[#This Row],[Bonus Amount]]</f>
        <v>121816.2</v>
      </c>
      <c r="T450" t="str">
        <f>IF(HR_Data[[#This Row],[Attrition]]="Yes","Inactive","Active")</f>
        <v>Active</v>
      </c>
      <c r="U450" t="str">
        <f t="array" ref="U450">_xlfn.IFS(HR_Data[[#This Row],[Salary]]&gt;=100000,"A",HR_Data[[#This Row],[Salary]]&gt;=70000,"B",HR_Data[[#This Row],[Salary]]&gt;=50000,"C",TRUE(),"D")</f>
        <v>A</v>
      </c>
      <c r="V450" t="str">
        <f t="array" ref="V450">_xlfn.IFS(HR_Data[[#This Row],[Experience]]&gt;=15,"Expert",HR_Data[[#This Row],[Experience]]&gt;=8,"Senior",HR_Data[[#This Row],[Experience]]&gt;=3,"Mid-Level",TRUE(),"Junior")</f>
        <v>Expert</v>
      </c>
    </row>
    <row r="451" spans="1:22" ht="14.25" customHeight="1" x14ac:dyDescent="0.3">
      <c r="A451" t="s">
        <v>1103</v>
      </c>
      <c r="B451" t="s">
        <v>239</v>
      </c>
      <c r="C451" t="s">
        <v>24</v>
      </c>
      <c r="D451" t="s">
        <v>25</v>
      </c>
      <c r="E451">
        <v>57</v>
      </c>
      <c r="F451">
        <v>143774</v>
      </c>
      <c r="G451">
        <v>34</v>
      </c>
      <c r="H451" t="s">
        <v>1104</v>
      </c>
      <c r="I451" t="s">
        <v>72</v>
      </c>
      <c r="J451" t="s">
        <v>63</v>
      </c>
      <c r="K451" t="s">
        <v>29</v>
      </c>
      <c r="L451" t="str">
        <f t="array" ref="L451">_xlfn.IFS(HR_Data[[#This Row],[Experience]]&lt;2,"0-2 Years",HR_Data[[#This Row],[Experience]]&lt;5,"2-5 Years",HR_Data[[#This Row],[Experience]]&lt;10,"5-10 Years",TRUE(),"10+ Years")</f>
        <v>10+ Years</v>
      </c>
      <c r="M451" t="str">
        <f t="array" ref="M451">_xlfn.IFS(HR_Data[[#This Row],[Salary]]&lt;40000,"Low",HR_Data[[#This Row],[Salary]]&lt;70000,"Medium",HR_Data[[#This Row],[Salary]]&lt;100000,"High",TRUE(),"Very High")</f>
        <v>Very High</v>
      </c>
      <c r="N451" t="str">
        <f t="array" ref="N451">_xlfn.IFS(HR_Data[[#This Row],[Age]]&lt;25,"18-24",HR_Data[[#This Row],[Age]]&lt;35,"25-34",HR_Data[[#This Row],[Age]]&lt;45,"35-44",TRUE(),"45+")</f>
        <v>45+</v>
      </c>
      <c r="O451">
        <f>YEAR(HR_Data[[#This Row],[Joining Date]])</f>
        <v>2024</v>
      </c>
      <c r="P451" t="str">
        <f>TEXT(HR_Data[[#This Row],[Joining Date]],"mmmm")</f>
        <v>December</v>
      </c>
      <c r="Q451">
        <f t="array" ref="Q451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451">
        <f>HR_Data[[#This Row],[Salary]]*HR_Data[[#This Row],[Bonus %]]</f>
        <v>28754.800000000003</v>
      </c>
      <c r="S451">
        <f>HR_Data[[#This Row],[Salary]]+HR_Data[[#This Row],[Bonus Amount]]</f>
        <v>172528.8</v>
      </c>
      <c r="T451" t="str">
        <f>IF(HR_Data[[#This Row],[Attrition]]="Yes","Inactive","Active")</f>
        <v>Active</v>
      </c>
      <c r="U451" t="str">
        <f t="array" ref="U451">_xlfn.IFS(HR_Data[[#This Row],[Salary]]&gt;=100000,"A",HR_Data[[#This Row],[Salary]]&gt;=70000,"B",HR_Data[[#This Row],[Salary]]&gt;=50000,"C",TRUE(),"D")</f>
        <v>A</v>
      </c>
      <c r="V451" t="str">
        <f t="array" ref="V451">_xlfn.IFS(HR_Data[[#This Row],[Experience]]&gt;=15,"Expert",HR_Data[[#This Row],[Experience]]&gt;=8,"Senior",HR_Data[[#This Row],[Experience]]&gt;=3,"Mid-Level",TRUE(),"Junior")</f>
        <v>Expert</v>
      </c>
    </row>
    <row r="452" spans="1:22" ht="14.25" customHeight="1" x14ac:dyDescent="0.3">
      <c r="A452" t="s">
        <v>1105</v>
      </c>
      <c r="B452" t="s">
        <v>216</v>
      </c>
      <c r="C452" t="s">
        <v>93</v>
      </c>
      <c r="D452" t="s">
        <v>25</v>
      </c>
      <c r="E452">
        <v>54</v>
      </c>
      <c r="F452">
        <v>120891</v>
      </c>
      <c r="G452">
        <v>27</v>
      </c>
      <c r="H452" t="s">
        <v>1106</v>
      </c>
      <c r="I452" t="s">
        <v>67</v>
      </c>
      <c r="J452" t="s">
        <v>46</v>
      </c>
      <c r="K452" t="s">
        <v>29</v>
      </c>
      <c r="L452" t="str">
        <f t="array" ref="L452">_xlfn.IFS(HR_Data[[#This Row],[Experience]]&lt;2,"0-2 Years",HR_Data[[#This Row],[Experience]]&lt;5,"2-5 Years",HR_Data[[#This Row],[Experience]]&lt;10,"5-10 Years",TRUE(),"10+ Years")</f>
        <v>10+ Years</v>
      </c>
      <c r="M452" t="str">
        <f t="array" ref="M452">_xlfn.IFS(HR_Data[[#This Row],[Salary]]&lt;40000,"Low",HR_Data[[#This Row],[Salary]]&lt;70000,"Medium",HR_Data[[#This Row],[Salary]]&lt;100000,"High",TRUE(),"Very High")</f>
        <v>Very High</v>
      </c>
      <c r="N452" t="str">
        <f t="array" ref="N452">_xlfn.IFS(HR_Data[[#This Row],[Age]]&lt;25,"18-24",HR_Data[[#This Row],[Age]]&lt;35,"25-34",HR_Data[[#This Row],[Age]]&lt;45,"35-44",TRUE(),"45+")</f>
        <v>45+</v>
      </c>
      <c r="O452">
        <f>YEAR(HR_Data[[#This Row],[Joining Date]])</f>
        <v>2021</v>
      </c>
      <c r="P452" t="str">
        <f>TEXT(HR_Data[[#This Row],[Joining Date]],"mmmm")</f>
        <v>December</v>
      </c>
      <c r="Q452">
        <f t="array" ref="Q452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452">
        <f>HR_Data[[#This Row],[Salary]]*HR_Data[[#This Row],[Bonus %]]</f>
        <v>6044.55</v>
      </c>
      <c r="S452">
        <f>HR_Data[[#This Row],[Salary]]+HR_Data[[#This Row],[Bonus Amount]]</f>
        <v>126935.55</v>
      </c>
      <c r="T452" t="str">
        <f>IF(HR_Data[[#This Row],[Attrition]]="Yes","Inactive","Active")</f>
        <v>Active</v>
      </c>
      <c r="U452" t="str">
        <f t="array" ref="U452">_xlfn.IFS(HR_Data[[#This Row],[Salary]]&gt;=100000,"A",HR_Data[[#This Row],[Salary]]&gt;=70000,"B",HR_Data[[#This Row],[Salary]]&gt;=50000,"C",TRUE(),"D")</f>
        <v>A</v>
      </c>
      <c r="V452" t="str">
        <f t="array" ref="V452">_xlfn.IFS(HR_Data[[#This Row],[Experience]]&gt;=15,"Expert",HR_Data[[#This Row],[Experience]]&gt;=8,"Senior",HR_Data[[#This Row],[Experience]]&gt;=3,"Mid-Level",TRUE(),"Junior")</f>
        <v>Expert</v>
      </c>
    </row>
    <row r="453" spans="1:22" ht="14.25" customHeight="1" x14ac:dyDescent="0.3">
      <c r="A453" t="s">
        <v>1107</v>
      </c>
      <c r="B453" t="s">
        <v>518</v>
      </c>
      <c r="C453" t="s">
        <v>134</v>
      </c>
      <c r="D453" t="s">
        <v>25</v>
      </c>
      <c r="E453">
        <v>49</v>
      </c>
      <c r="F453">
        <v>105302</v>
      </c>
      <c r="G453">
        <v>26</v>
      </c>
      <c r="H453" t="s">
        <v>1108</v>
      </c>
      <c r="I453" t="s">
        <v>45</v>
      </c>
      <c r="J453" t="s">
        <v>63</v>
      </c>
      <c r="K453" t="s">
        <v>29</v>
      </c>
      <c r="L453" t="str">
        <f t="array" ref="L453">_xlfn.IFS(HR_Data[[#This Row],[Experience]]&lt;2,"0-2 Years",HR_Data[[#This Row],[Experience]]&lt;5,"2-5 Years",HR_Data[[#This Row],[Experience]]&lt;10,"5-10 Years",TRUE(),"10+ Years")</f>
        <v>10+ Years</v>
      </c>
      <c r="M453" t="str">
        <f t="array" ref="M453">_xlfn.IFS(HR_Data[[#This Row],[Salary]]&lt;40000,"Low",HR_Data[[#This Row],[Salary]]&lt;70000,"Medium",HR_Data[[#This Row],[Salary]]&lt;100000,"High",TRUE(),"Very High")</f>
        <v>Very High</v>
      </c>
      <c r="N453" t="str">
        <f t="array" ref="N453">_xlfn.IFS(HR_Data[[#This Row],[Age]]&lt;25,"18-24",HR_Data[[#This Row],[Age]]&lt;35,"25-34",HR_Data[[#This Row],[Age]]&lt;45,"35-44",TRUE(),"45+")</f>
        <v>45+</v>
      </c>
      <c r="O453">
        <f>YEAR(HR_Data[[#This Row],[Joining Date]])</f>
        <v>2021</v>
      </c>
      <c r="P453" t="str">
        <f>TEXT(HR_Data[[#This Row],[Joining Date]],"mmmm")</f>
        <v>October</v>
      </c>
      <c r="Q453">
        <f t="array" ref="Q453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453">
        <f>HR_Data[[#This Row],[Salary]]*HR_Data[[#This Row],[Bonus %]]</f>
        <v>21060.400000000001</v>
      </c>
      <c r="S453">
        <f>HR_Data[[#This Row],[Salary]]+HR_Data[[#This Row],[Bonus Amount]]</f>
        <v>126362.4</v>
      </c>
      <c r="T453" t="str">
        <f>IF(HR_Data[[#This Row],[Attrition]]="Yes","Inactive","Active")</f>
        <v>Active</v>
      </c>
      <c r="U453" t="str">
        <f t="array" ref="U453">_xlfn.IFS(HR_Data[[#This Row],[Salary]]&gt;=100000,"A",HR_Data[[#This Row],[Salary]]&gt;=70000,"B",HR_Data[[#This Row],[Salary]]&gt;=50000,"C",TRUE(),"D")</f>
        <v>A</v>
      </c>
      <c r="V453" t="str">
        <f t="array" ref="V453">_xlfn.IFS(HR_Data[[#This Row],[Experience]]&gt;=15,"Expert",HR_Data[[#This Row],[Experience]]&gt;=8,"Senior",HR_Data[[#This Row],[Experience]]&gt;=3,"Mid-Level",TRUE(),"Junior")</f>
        <v>Expert</v>
      </c>
    </row>
    <row r="454" spans="1:22" ht="14.25" customHeight="1" x14ac:dyDescent="0.3">
      <c r="A454" t="s">
        <v>1109</v>
      </c>
      <c r="B454" t="s">
        <v>231</v>
      </c>
      <c r="C454" t="s">
        <v>60</v>
      </c>
      <c r="D454" t="s">
        <v>33</v>
      </c>
      <c r="E454">
        <v>30</v>
      </c>
      <c r="F454">
        <v>33119</v>
      </c>
      <c r="G454">
        <v>0</v>
      </c>
      <c r="H454" t="s">
        <v>1110</v>
      </c>
      <c r="I454" t="s">
        <v>45</v>
      </c>
      <c r="J454" t="s">
        <v>28</v>
      </c>
      <c r="K454" t="s">
        <v>29</v>
      </c>
      <c r="L454" t="str">
        <f t="array" ref="L454">_xlfn.IFS(HR_Data[[#This Row],[Experience]]&lt;2,"0-2 Years",HR_Data[[#This Row],[Experience]]&lt;5,"2-5 Years",HR_Data[[#This Row],[Experience]]&lt;10,"5-10 Years",TRUE(),"10+ Years")</f>
        <v>0-2 Years</v>
      </c>
      <c r="M454" t="str">
        <f t="array" ref="M454">_xlfn.IFS(HR_Data[[#This Row],[Salary]]&lt;40000,"Low",HR_Data[[#This Row],[Salary]]&lt;70000,"Medium",HR_Data[[#This Row],[Salary]]&lt;100000,"High",TRUE(),"Very High")</f>
        <v>Low</v>
      </c>
      <c r="N454" t="str">
        <f t="array" ref="N454">_xlfn.IFS(HR_Data[[#This Row],[Age]]&lt;25,"18-24",HR_Data[[#This Row],[Age]]&lt;35,"25-34",HR_Data[[#This Row],[Age]]&lt;45,"35-44",TRUE(),"45+")</f>
        <v>25-34</v>
      </c>
      <c r="O454">
        <f>YEAR(HR_Data[[#This Row],[Joining Date]])</f>
        <v>2025</v>
      </c>
      <c r="P454" t="str">
        <f>TEXT(HR_Data[[#This Row],[Joining Date]],"mmmm")</f>
        <v>September</v>
      </c>
      <c r="Q454">
        <f t="array" ref="Q454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54">
        <f>HR_Data[[#This Row],[Salary]]*HR_Data[[#This Row],[Bonus %]]</f>
        <v>4967.8499999999995</v>
      </c>
      <c r="S454">
        <f>HR_Data[[#This Row],[Salary]]+HR_Data[[#This Row],[Bonus Amount]]</f>
        <v>38086.85</v>
      </c>
      <c r="T454" t="str">
        <f>IF(HR_Data[[#This Row],[Attrition]]="Yes","Inactive","Active")</f>
        <v>Active</v>
      </c>
      <c r="U454" t="str">
        <f t="array" ref="U454">_xlfn.IFS(HR_Data[[#This Row],[Salary]]&gt;=100000,"A",HR_Data[[#This Row],[Salary]]&gt;=70000,"B",HR_Data[[#This Row],[Salary]]&gt;=50000,"C",TRUE(),"D")</f>
        <v>D</v>
      </c>
      <c r="V454" t="str">
        <f t="array" ref="V454">_xlfn.IFS(HR_Data[[#This Row],[Experience]]&gt;=15,"Expert",HR_Data[[#This Row],[Experience]]&gt;=8,"Senior",HR_Data[[#This Row],[Experience]]&gt;=3,"Mid-Level",TRUE(),"Junior")</f>
        <v>Junior</v>
      </c>
    </row>
    <row r="455" spans="1:22" ht="14.25" customHeight="1" x14ac:dyDescent="0.3">
      <c r="A455" t="s">
        <v>1111</v>
      </c>
      <c r="B455" t="s">
        <v>409</v>
      </c>
      <c r="C455" t="s">
        <v>60</v>
      </c>
      <c r="D455" t="s">
        <v>25</v>
      </c>
      <c r="E455">
        <v>45</v>
      </c>
      <c r="F455">
        <v>104091</v>
      </c>
      <c r="G455">
        <v>23</v>
      </c>
      <c r="H455" t="s">
        <v>1112</v>
      </c>
      <c r="I455" t="s">
        <v>42</v>
      </c>
      <c r="J455" t="s">
        <v>28</v>
      </c>
      <c r="K455" t="s">
        <v>29</v>
      </c>
      <c r="L455" t="str">
        <f t="array" ref="L455">_xlfn.IFS(HR_Data[[#This Row],[Experience]]&lt;2,"0-2 Years",HR_Data[[#This Row],[Experience]]&lt;5,"2-5 Years",HR_Data[[#This Row],[Experience]]&lt;10,"5-10 Years",TRUE(),"10+ Years")</f>
        <v>10+ Years</v>
      </c>
      <c r="M455" t="str">
        <f t="array" ref="M455">_xlfn.IFS(HR_Data[[#This Row],[Salary]]&lt;40000,"Low",HR_Data[[#This Row],[Salary]]&lt;70000,"Medium",HR_Data[[#This Row],[Salary]]&lt;100000,"High",TRUE(),"Very High")</f>
        <v>Very High</v>
      </c>
      <c r="N455" t="str">
        <f t="array" ref="N455">_xlfn.IFS(HR_Data[[#This Row],[Age]]&lt;25,"18-24",HR_Data[[#This Row],[Age]]&lt;35,"25-34",HR_Data[[#This Row],[Age]]&lt;45,"35-44",TRUE(),"45+")</f>
        <v>45+</v>
      </c>
      <c r="O455">
        <f>YEAR(HR_Data[[#This Row],[Joining Date]])</f>
        <v>2024</v>
      </c>
      <c r="P455" t="str">
        <f>TEXT(HR_Data[[#This Row],[Joining Date]],"mmmm")</f>
        <v>October</v>
      </c>
      <c r="Q455">
        <f t="array" ref="Q455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55">
        <f>HR_Data[[#This Row],[Salary]]*HR_Data[[#This Row],[Bonus %]]</f>
        <v>15613.65</v>
      </c>
      <c r="S455">
        <f>HR_Data[[#This Row],[Salary]]+HR_Data[[#This Row],[Bonus Amount]]</f>
        <v>119704.65</v>
      </c>
      <c r="T455" t="str">
        <f>IF(HR_Data[[#This Row],[Attrition]]="Yes","Inactive","Active")</f>
        <v>Active</v>
      </c>
      <c r="U455" t="str">
        <f t="array" ref="U455">_xlfn.IFS(HR_Data[[#This Row],[Salary]]&gt;=100000,"A",HR_Data[[#This Row],[Salary]]&gt;=70000,"B",HR_Data[[#This Row],[Salary]]&gt;=50000,"C",TRUE(),"D")</f>
        <v>A</v>
      </c>
      <c r="V455" t="str">
        <f t="array" ref="V455">_xlfn.IFS(HR_Data[[#This Row],[Experience]]&gt;=15,"Expert",HR_Data[[#This Row],[Experience]]&gt;=8,"Senior",HR_Data[[#This Row],[Experience]]&gt;=3,"Mid-Level",TRUE(),"Junior")</f>
        <v>Expert</v>
      </c>
    </row>
    <row r="456" spans="1:22" ht="14.25" customHeight="1" x14ac:dyDescent="0.3">
      <c r="A456" t="s">
        <v>1113</v>
      </c>
      <c r="B456" t="s">
        <v>205</v>
      </c>
      <c r="C456" t="s">
        <v>60</v>
      </c>
      <c r="D456" t="s">
        <v>33</v>
      </c>
      <c r="E456">
        <v>56</v>
      </c>
      <c r="F456">
        <v>111249</v>
      </c>
      <c r="G456">
        <v>27</v>
      </c>
      <c r="H456" t="s">
        <v>1114</v>
      </c>
      <c r="I456" t="s">
        <v>132</v>
      </c>
      <c r="J456" t="s">
        <v>28</v>
      </c>
      <c r="K456" t="s">
        <v>29</v>
      </c>
      <c r="L456" t="str">
        <f t="array" ref="L456">_xlfn.IFS(HR_Data[[#This Row],[Experience]]&lt;2,"0-2 Years",HR_Data[[#This Row],[Experience]]&lt;5,"2-5 Years",HR_Data[[#This Row],[Experience]]&lt;10,"5-10 Years",TRUE(),"10+ Years")</f>
        <v>10+ Years</v>
      </c>
      <c r="M456" t="str">
        <f t="array" ref="M456">_xlfn.IFS(HR_Data[[#This Row],[Salary]]&lt;40000,"Low",HR_Data[[#This Row],[Salary]]&lt;70000,"Medium",HR_Data[[#This Row],[Salary]]&lt;100000,"High",TRUE(),"Very High")</f>
        <v>Very High</v>
      </c>
      <c r="N456" t="str">
        <f t="array" ref="N456">_xlfn.IFS(HR_Data[[#This Row],[Age]]&lt;25,"18-24",HR_Data[[#This Row],[Age]]&lt;35,"25-34",HR_Data[[#This Row],[Age]]&lt;45,"35-44",TRUE(),"45+")</f>
        <v>45+</v>
      </c>
      <c r="O456">
        <f>YEAR(HR_Data[[#This Row],[Joining Date]])</f>
        <v>2021</v>
      </c>
      <c r="P456" t="str">
        <f>TEXT(HR_Data[[#This Row],[Joining Date]],"mmmm")</f>
        <v>February</v>
      </c>
      <c r="Q456">
        <f t="array" ref="Q456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56">
        <f>HR_Data[[#This Row],[Salary]]*HR_Data[[#This Row],[Bonus %]]</f>
        <v>16687.349999999999</v>
      </c>
      <c r="S456">
        <f>HR_Data[[#This Row],[Salary]]+HR_Data[[#This Row],[Bonus Amount]]</f>
        <v>127936.35</v>
      </c>
      <c r="T456" t="str">
        <f>IF(HR_Data[[#This Row],[Attrition]]="Yes","Inactive","Active")</f>
        <v>Active</v>
      </c>
      <c r="U456" t="str">
        <f t="array" ref="U456">_xlfn.IFS(HR_Data[[#This Row],[Salary]]&gt;=100000,"A",HR_Data[[#This Row],[Salary]]&gt;=70000,"B",HR_Data[[#This Row],[Salary]]&gt;=50000,"C",TRUE(),"D")</f>
        <v>A</v>
      </c>
      <c r="V456" t="str">
        <f t="array" ref="V456">_xlfn.IFS(HR_Data[[#This Row],[Experience]]&gt;=15,"Expert",HR_Data[[#This Row],[Experience]]&gt;=8,"Senior",HR_Data[[#This Row],[Experience]]&gt;=3,"Mid-Level",TRUE(),"Junior")</f>
        <v>Expert</v>
      </c>
    </row>
    <row r="457" spans="1:22" ht="14.25" customHeight="1" x14ac:dyDescent="0.3">
      <c r="A457" t="s">
        <v>1115</v>
      </c>
      <c r="B457" t="s">
        <v>390</v>
      </c>
      <c r="C457" t="s">
        <v>60</v>
      </c>
      <c r="D457" t="s">
        <v>25</v>
      </c>
      <c r="E457">
        <v>31</v>
      </c>
      <c r="F457">
        <v>46216</v>
      </c>
      <c r="G457">
        <v>8</v>
      </c>
      <c r="H457" t="s">
        <v>1116</v>
      </c>
      <c r="I457" t="s">
        <v>27</v>
      </c>
      <c r="J457" t="s">
        <v>36</v>
      </c>
      <c r="K457" t="s">
        <v>29</v>
      </c>
      <c r="L457" t="str">
        <f t="array" ref="L457">_xlfn.IFS(HR_Data[[#This Row],[Experience]]&lt;2,"0-2 Years",HR_Data[[#This Row],[Experience]]&lt;5,"2-5 Years",HR_Data[[#This Row],[Experience]]&lt;10,"5-10 Years",TRUE(),"10+ Years")</f>
        <v>5-10 Years</v>
      </c>
      <c r="M457" t="str">
        <f t="array" ref="M457">_xlfn.IFS(HR_Data[[#This Row],[Salary]]&lt;40000,"Low",HR_Data[[#This Row],[Salary]]&lt;70000,"Medium",HR_Data[[#This Row],[Salary]]&lt;100000,"High",TRUE(),"Very High")</f>
        <v>Medium</v>
      </c>
      <c r="N457" t="str">
        <f t="array" ref="N457">_xlfn.IFS(HR_Data[[#This Row],[Age]]&lt;25,"18-24",HR_Data[[#This Row],[Age]]&lt;35,"25-34",HR_Data[[#This Row],[Age]]&lt;45,"35-44",TRUE(),"45+")</f>
        <v>25-34</v>
      </c>
      <c r="O457">
        <f>YEAR(HR_Data[[#This Row],[Joining Date]])</f>
        <v>2025</v>
      </c>
      <c r="P457" t="str">
        <f>TEXT(HR_Data[[#This Row],[Joining Date]],"mmmm")</f>
        <v>March</v>
      </c>
      <c r="Q457">
        <f t="array" ref="Q457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57">
        <f>HR_Data[[#This Row],[Salary]]*HR_Data[[#This Row],[Bonus %]]</f>
        <v>4621.6000000000004</v>
      </c>
      <c r="S457">
        <f>HR_Data[[#This Row],[Salary]]+HR_Data[[#This Row],[Bonus Amount]]</f>
        <v>50837.599999999999</v>
      </c>
      <c r="T457" t="str">
        <f>IF(HR_Data[[#This Row],[Attrition]]="Yes","Inactive","Active")</f>
        <v>Active</v>
      </c>
      <c r="U457" t="str">
        <f t="array" ref="U457">_xlfn.IFS(HR_Data[[#This Row],[Salary]]&gt;=100000,"A",HR_Data[[#This Row],[Salary]]&gt;=70000,"B",HR_Data[[#This Row],[Salary]]&gt;=50000,"C",TRUE(),"D")</f>
        <v>D</v>
      </c>
      <c r="V457" t="str">
        <f t="array" ref="V457">_xlfn.IFS(HR_Data[[#This Row],[Experience]]&gt;=15,"Expert",HR_Data[[#This Row],[Experience]]&gt;=8,"Senior",HR_Data[[#This Row],[Experience]]&gt;=3,"Mid-Level",TRUE(),"Junior")</f>
        <v>Senior</v>
      </c>
    </row>
    <row r="458" spans="1:22" ht="14.25" customHeight="1" x14ac:dyDescent="0.3">
      <c r="A458" t="s">
        <v>1117</v>
      </c>
      <c r="B458" t="s">
        <v>1118</v>
      </c>
      <c r="C458" t="s">
        <v>93</v>
      </c>
      <c r="D458" t="s">
        <v>33</v>
      </c>
      <c r="E458">
        <v>28</v>
      </c>
      <c r="F458">
        <v>63329</v>
      </c>
      <c r="G458">
        <v>9</v>
      </c>
      <c r="H458" t="s">
        <v>1119</v>
      </c>
      <c r="I458" t="s">
        <v>57</v>
      </c>
      <c r="J458" t="s">
        <v>28</v>
      </c>
      <c r="K458" t="s">
        <v>37</v>
      </c>
      <c r="L458" t="str">
        <f t="array" ref="L458">_xlfn.IFS(HR_Data[[#This Row],[Experience]]&lt;2,"0-2 Years",HR_Data[[#This Row],[Experience]]&lt;5,"2-5 Years",HR_Data[[#This Row],[Experience]]&lt;10,"5-10 Years",TRUE(),"10+ Years")</f>
        <v>5-10 Years</v>
      </c>
      <c r="M458" t="str">
        <f t="array" ref="M458">_xlfn.IFS(HR_Data[[#This Row],[Salary]]&lt;40000,"Low",HR_Data[[#This Row],[Salary]]&lt;70000,"Medium",HR_Data[[#This Row],[Salary]]&lt;100000,"High",TRUE(),"Very High")</f>
        <v>Medium</v>
      </c>
      <c r="N458" t="str">
        <f t="array" ref="N458">_xlfn.IFS(HR_Data[[#This Row],[Age]]&lt;25,"18-24",HR_Data[[#This Row],[Age]]&lt;35,"25-34",HR_Data[[#This Row],[Age]]&lt;45,"35-44",TRUE(),"45+")</f>
        <v>25-34</v>
      </c>
      <c r="O458">
        <f>YEAR(HR_Data[[#This Row],[Joining Date]])</f>
        <v>2015</v>
      </c>
      <c r="P458" t="str">
        <f>TEXT(HR_Data[[#This Row],[Joining Date]],"mmmm")</f>
        <v>July</v>
      </c>
      <c r="Q458">
        <f t="array" ref="Q458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58">
        <f>HR_Data[[#This Row],[Salary]]*HR_Data[[#This Row],[Bonus %]]</f>
        <v>9499.35</v>
      </c>
      <c r="S458">
        <f>HR_Data[[#This Row],[Salary]]+HR_Data[[#This Row],[Bonus Amount]]</f>
        <v>72828.350000000006</v>
      </c>
      <c r="T458" t="str">
        <f>IF(HR_Data[[#This Row],[Attrition]]="Yes","Inactive","Active")</f>
        <v>Inactive</v>
      </c>
      <c r="U458" t="str">
        <f t="array" ref="U458">_xlfn.IFS(HR_Data[[#This Row],[Salary]]&gt;=100000,"A",HR_Data[[#This Row],[Salary]]&gt;=70000,"B",HR_Data[[#This Row],[Salary]]&gt;=50000,"C",TRUE(),"D")</f>
        <v>C</v>
      </c>
      <c r="V458" t="str">
        <f t="array" ref="V458">_xlfn.IFS(HR_Data[[#This Row],[Experience]]&gt;=15,"Expert",HR_Data[[#This Row],[Experience]]&gt;=8,"Senior",HR_Data[[#This Row],[Experience]]&gt;=3,"Mid-Level",TRUE(),"Junior")</f>
        <v>Senior</v>
      </c>
    </row>
    <row r="459" spans="1:22" ht="14.25" customHeight="1" x14ac:dyDescent="0.3">
      <c r="A459" t="s">
        <v>1120</v>
      </c>
      <c r="B459" t="s">
        <v>287</v>
      </c>
      <c r="C459" t="s">
        <v>93</v>
      </c>
      <c r="D459" t="s">
        <v>33</v>
      </c>
      <c r="E459">
        <v>26</v>
      </c>
      <c r="F459">
        <v>33482</v>
      </c>
      <c r="G459">
        <v>5</v>
      </c>
      <c r="H459" t="s">
        <v>1121</v>
      </c>
      <c r="I459" t="s">
        <v>67</v>
      </c>
      <c r="J459" t="s">
        <v>28</v>
      </c>
      <c r="K459" t="s">
        <v>29</v>
      </c>
      <c r="L459" t="str">
        <f t="array" ref="L459">_xlfn.IFS(HR_Data[[#This Row],[Experience]]&lt;2,"0-2 Years",HR_Data[[#This Row],[Experience]]&lt;5,"2-5 Years",HR_Data[[#This Row],[Experience]]&lt;10,"5-10 Years",TRUE(),"10+ Years")</f>
        <v>5-10 Years</v>
      </c>
      <c r="M459" t="str">
        <f t="array" ref="M459">_xlfn.IFS(HR_Data[[#This Row],[Salary]]&lt;40000,"Low",HR_Data[[#This Row],[Salary]]&lt;70000,"Medium",HR_Data[[#This Row],[Salary]]&lt;100000,"High",TRUE(),"Very High")</f>
        <v>Low</v>
      </c>
      <c r="N459" t="str">
        <f t="array" ref="N459">_xlfn.IFS(HR_Data[[#This Row],[Age]]&lt;25,"18-24",HR_Data[[#This Row],[Age]]&lt;35,"25-34",HR_Data[[#This Row],[Age]]&lt;45,"35-44",TRUE(),"45+")</f>
        <v>25-34</v>
      </c>
      <c r="O459">
        <f>YEAR(HR_Data[[#This Row],[Joining Date]])</f>
        <v>2026</v>
      </c>
      <c r="P459" t="str">
        <f>TEXT(HR_Data[[#This Row],[Joining Date]],"mmmm")</f>
        <v>January</v>
      </c>
      <c r="Q459">
        <f t="array" ref="Q45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59">
        <f>HR_Data[[#This Row],[Salary]]*HR_Data[[#This Row],[Bonus %]]</f>
        <v>5022.3</v>
      </c>
      <c r="S459">
        <f>HR_Data[[#This Row],[Salary]]+HR_Data[[#This Row],[Bonus Amount]]</f>
        <v>38504.300000000003</v>
      </c>
      <c r="T459" t="str">
        <f>IF(HR_Data[[#This Row],[Attrition]]="Yes","Inactive","Active")</f>
        <v>Active</v>
      </c>
      <c r="U459" t="str">
        <f t="array" ref="U459">_xlfn.IFS(HR_Data[[#This Row],[Salary]]&gt;=100000,"A",HR_Data[[#This Row],[Salary]]&gt;=70000,"B",HR_Data[[#This Row],[Salary]]&gt;=50000,"C",TRUE(),"D")</f>
        <v>D</v>
      </c>
      <c r="V459" t="str">
        <f t="array" ref="V459">_xlfn.IFS(HR_Data[[#This Row],[Experience]]&gt;=15,"Expert",HR_Data[[#This Row],[Experience]]&gt;=8,"Senior",HR_Data[[#This Row],[Experience]]&gt;=3,"Mid-Level",TRUE(),"Junior")</f>
        <v>Mid-Level</v>
      </c>
    </row>
    <row r="460" spans="1:22" ht="14.25" customHeight="1" x14ac:dyDescent="0.3">
      <c r="A460" t="s">
        <v>1122</v>
      </c>
      <c r="B460" t="s">
        <v>436</v>
      </c>
      <c r="C460" t="s">
        <v>60</v>
      </c>
      <c r="D460" t="s">
        <v>25</v>
      </c>
      <c r="E460">
        <v>26</v>
      </c>
      <c r="F460">
        <v>34836</v>
      </c>
      <c r="G460">
        <v>5</v>
      </c>
      <c r="H460" t="s">
        <v>1123</v>
      </c>
      <c r="I460" t="s">
        <v>62</v>
      </c>
      <c r="J460" t="s">
        <v>46</v>
      </c>
      <c r="K460" t="s">
        <v>37</v>
      </c>
      <c r="L460" t="str">
        <f t="array" ref="L460">_xlfn.IFS(HR_Data[[#This Row],[Experience]]&lt;2,"0-2 Years",HR_Data[[#This Row],[Experience]]&lt;5,"2-5 Years",HR_Data[[#This Row],[Experience]]&lt;10,"5-10 Years",TRUE(),"10+ Years")</f>
        <v>5-10 Years</v>
      </c>
      <c r="M460" t="str">
        <f t="array" ref="M460">_xlfn.IFS(HR_Data[[#This Row],[Salary]]&lt;40000,"Low",HR_Data[[#This Row],[Salary]]&lt;70000,"Medium",HR_Data[[#This Row],[Salary]]&lt;100000,"High",TRUE(),"Very High")</f>
        <v>Low</v>
      </c>
      <c r="N460" t="str">
        <f t="array" ref="N460">_xlfn.IFS(HR_Data[[#This Row],[Age]]&lt;25,"18-24",HR_Data[[#This Row],[Age]]&lt;35,"25-34",HR_Data[[#This Row],[Age]]&lt;45,"35-44",TRUE(),"45+")</f>
        <v>25-34</v>
      </c>
      <c r="O460">
        <f>YEAR(HR_Data[[#This Row],[Joining Date]])</f>
        <v>2020</v>
      </c>
      <c r="P460" t="str">
        <f>TEXT(HR_Data[[#This Row],[Joining Date]],"mmmm")</f>
        <v>December</v>
      </c>
      <c r="Q460">
        <f t="array" ref="Q460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460">
        <f>HR_Data[[#This Row],[Salary]]*HR_Data[[#This Row],[Bonus %]]</f>
        <v>1741.8000000000002</v>
      </c>
      <c r="S460">
        <f>HR_Data[[#This Row],[Salary]]+HR_Data[[#This Row],[Bonus Amount]]</f>
        <v>36577.800000000003</v>
      </c>
      <c r="T460" t="str">
        <f>IF(HR_Data[[#This Row],[Attrition]]="Yes","Inactive","Active")</f>
        <v>Inactive</v>
      </c>
      <c r="U460" t="str">
        <f t="array" ref="U460">_xlfn.IFS(HR_Data[[#This Row],[Salary]]&gt;=100000,"A",HR_Data[[#This Row],[Salary]]&gt;=70000,"B",HR_Data[[#This Row],[Salary]]&gt;=50000,"C",TRUE(),"D")</f>
        <v>D</v>
      </c>
      <c r="V460" t="str">
        <f t="array" ref="V460">_xlfn.IFS(HR_Data[[#This Row],[Experience]]&gt;=15,"Expert",HR_Data[[#This Row],[Experience]]&gt;=8,"Senior",HR_Data[[#This Row],[Experience]]&gt;=3,"Mid-Level",TRUE(),"Junior")</f>
        <v>Mid-Level</v>
      </c>
    </row>
    <row r="461" spans="1:22" ht="14.25" customHeight="1" x14ac:dyDescent="0.3">
      <c r="A461" t="s">
        <v>1124</v>
      </c>
      <c r="B461" t="s">
        <v>727</v>
      </c>
      <c r="C461" t="s">
        <v>93</v>
      </c>
      <c r="D461" t="s">
        <v>33</v>
      </c>
      <c r="E461">
        <v>21</v>
      </c>
      <c r="F461">
        <v>25157</v>
      </c>
      <c r="G461">
        <v>0</v>
      </c>
      <c r="H461" t="s">
        <v>1125</v>
      </c>
      <c r="I461" t="s">
        <v>45</v>
      </c>
      <c r="J461" t="s">
        <v>46</v>
      </c>
      <c r="K461" t="s">
        <v>29</v>
      </c>
      <c r="L461" t="str">
        <f t="array" ref="L461">_xlfn.IFS(HR_Data[[#This Row],[Experience]]&lt;2,"0-2 Years",HR_Data[[#This Row],[Experience]]&lt;5,"2-5 Years",HR_Data[[#This Row],[Experience]]&lt;10,"5-10 Years",TRUE(),"10+ Years")</f>
        <v>0-2 Years</v>
      </c>
      <c r="M461" t="str">
        <f t="array" ref="M461">_xlfn.IFS(HR_Data[[#This Row],[Salary]]&lt;40000,"Low",HR_Data[[#This Row],[Salary]]&lt;70000,"Medium",HR_Data[[#This Row],[Salary]]&lt;100000,"High",TRUE(),"Very High")</f>
        <v>Low</v>
      </c>
      <c r="N461" t="str">
        <f t="array" ref="N461">_xlfn.IFS(HR_Data[[#This Row],[Age]]&lt;25,"18-24",HR_Data[[#This Row],[Age]]&lt;35,"25-34",HR_Data[[#This Row],[Age]]&lt;45,"35-44",TRUE(),"45+")</f>
        <v>18-24</v>
      </c>
      <c r="O461">
        <f>YEAR(HR_Data[[#This Row],[Joining Date]])</f>
        <v>2023</v>
      </c>
      <c r="P461" t="str">
        <f>TEXT(HR_Data[[#This Row],[Joining Date]],"mmmm")</f>
        <v>August</v>
      </c>
      <c r="Q461">
        <f t="array" ref="Q461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461">
        <f>HR_Data[[#This Row],[Salary]]*HR_Data[[#This Row],[Bonus %]]</f>
        <v>1257.8500000000001</v>
      </c>
      <c r="S461">
        <f>HR_Data[[#This Row],[Salary]]+HR_Data[[#This Row],[Bonus Amount]]</f>
        <v>26414.85</v>
      </c>
      <c r="T461" t="str">
        <f>IF(HR_Data[[#This Row],[Attrition]]="Yes","Inactive","Active")</f>
        <v>Active</v>
      </c>
      <c r="U461" t="str">
        <f t="array" ref="U461">_xlfn.IFS(HR_Data[[#This Row],[Salary]]&gt;=100000,"A",HR_Data[[#This Row],[Salary]]&gt;=70000,"B",HR_Data[[#This Row],[Salary]]&gt;=50000,"C",TRUE(),"D")</f>
        <v>D</v>
      </c>
      <c r="V461" t="str">
        <f t="array" ref="V461">_xlfn.IFS(HR_Data[[#This Row],[Experience]]&gt;=15,"Expert",HR_Data[[#This Row],[Experience]]&gt;=8,"Senior",HR_Data[[#This Row],[Experience]]&gt;=3,"Mid-Level",TRUE(),"Junior")</f>
        <v>Junior</v>
      </c>
    </row>
    <row r="462" spans="1:22" ht="14.25" customHeight="1" x14ac:dyDescent="0.3">
      <c r="A462" t="s">
        <v>1126</v>
      </c>
      <c r="B462" t="s">
        <v>831</v>
      </c>
      <c r="C462" t="s">
        <v>75</v>
      </c>
      <c r="D462" t="s">
        <v>33</v>
      </c>
      <c r="E462">
        <v>39</v>
      </c>
      <c r="F462">
        <v>71350</v>
      </c>
      <c r="G462">
        <v>13</v>
      </c>
      <c r="H462" t="s">
        <v>1127</v>
      </c>
      <c r="I462" t="s">
        <v>80</v>
      </c>
      <c r="J462" t="s">
        <v>90</v>
      </c>
      <c r="K462" t="s">
        <v>29</v>
      </c>
      <c r="L462" t="str">
        <f t="array" ref="L462">_xlfn.IFS(HR_Data[[#This Row],[Experience]]&lt;2,"0-2 Years",HR_Data[[#This Row],[Experience]]&lt;5,"2-5 Years",HR_Data[[#This Row],[Experience]]&lt;10,"5-10 Years",TRUE(),"10+ Years")</f>
        <v>10+ Years</v>
      </c>
      <c r="M462" t="str">
        <f t="array" ref="M462">_xlfn.IFS(HR_Data[[#This Row],[Salary]]&lt;40000,"Low",HR_Data[[#This Row],[Salary]]&lt;70000,"Medium",HR_Data[[#This Row],[Salary]]&lt;100000,"High",TRUE(),"Very High")</f>
        <v>High</v>
      </c>
      <c r="N462" t="str">
        <f t="array" ref="N462">_xlfn.IFS(HR_Data[[#This Row],[Age]]&lt;25,"18-24",HR_Data[[#This Row],[Age]]&lt;35,"25-34",HR_Data[[#This Row],[Age]]&lt;45,"35-44",TRUE(),"45+")</f>
        <v>35-44</v>
      </c>
      <c r="O462">
        <f>YEAR(HR_Data[[#This Row],[Joining Date]])</f>
        <v>2021</v>
      </c>
      <c r="P462" t="str">
        <f>TEXT(HR_Data[[#This Row],[Joining Date]],"mmmm")</f>
        <v>December</v>
      </c>
      <c r="Q462">
        <f t="array" ref="Q462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462">
        <f>HR_Data[[#This Row],[Salary]]*HR_Data[[#This Row],[Bonus %]]</f>
        <v>0</v>
      </c>
      <c r="S462">
        <f>HR_Data[[#This Row],[Salary]]+HR_Data[[#This Row],[Bonus Amount]]</f>
        <v>71350</v>
      </c>
      <c r="T462" t="str">
        <f>IF(HR_Data[[#This Row],[Attrition]]="Yes","Inactive","Active")</f>
        <v>Active</v>
      </c>
      <c r="U462" t="str">
        <f t="array" ref="U462">_xlfn.IFS(HR_Data[[#This Row],[Salary]]&gt;=100000,"A",HR_Data[[#This Row],[Salary]]&gt;=70000,"B",HR_Data[[#This Row],[Salary]]&gt;=50000,"C",TRUE(),"D")</f>
        <v>B</v>
      </c>
      <c r="V462" t="str">
        <f t="array" ref="V462">_xlfn.IFS(HR_Data[[#This Row],[Experience]]&gt;=15,"Expert",HR_Data[[#This Row],[Experience]]&gt;=8,"Senior",HR_Data[[#This Row],[Experience]]&gt;=3,"Mid-Level",TRUE(),"Junior")</f>
        <v>Senior</v>
      </c>
    </row>
    <row r="463" spans="1:22" ht="14.25" customHeight="1" x14ac:dyDescent="0.3">
      <c r="A463" t="s">
        <v>1128</v>
      </c>
      <c r="B463" t="s">
        <v>190</v>
      </c>
      <c r="C463" t="s">
        <v>60</v>
      </c>
      <c r="D463" t="s">
        <v>25</v>
      </c>
      <c r="E463">
        <v>59</v>
      </c>
      <c r="F463">
        <v>122791</v>
      </c>
      <c r="G463">
        <v>30</v>
      </c>
      <c r="H463" t="s">
        <v>1129</v>
      </c>
      <c r="I463" t="s">
        <v>67</v>
      </c>
      <c r="J463" t="s">
        <v>28</v>
      </c>
      <c r="K463" t="s">
        <v>37</v>
      </c>
      <c r="L463" t="str">
        <f t="array" ref="L463">_xlfn.IFS(HR_Data[[#This Row],[Experience]]&lt;2,"0-2 Years",HR_Data[[#This Row],[Experience]]&lt;5,"2-5 Years",HR_Data[[#This Row],[Experience]]&lt;10,"5-10 Years",TRUE(),"10+ Years")</f>
        <v>10+ Years</v>
      </c>
      <c r="M463" t="str">
        <f t="array" ref="M463">_xlfn.IFS(HR_Data[[#This Row],[Salary]]&lt;40000,"Low",HR_Data[[#This Row],[Salary]]&lt;70000,"Medium",HR_Data[[#This Row],[Salary]]&lt;100000,"High",TRUE(),"Very High")</f>
        <v>Very High</v>
      </c>
      <c r="N463" t="str">
        <f t="array" ref="N463">_xlfn.IFS(HR_Data[[#This Row],[Age]]&lt;25,"18-24",HR_Data[[#This Row],[Age]]&lt;35,"25-34",HR_Data[[#This Row],[Age]]&lt;45,"35-44",TRUE(),"45+")</f>
        <v>45+</v>
      </c>
      <c r="O463">
        <f>YEAR(HR_Data[[#This Row],[Joining Date]])</f>
        <v>2019</v>
      </c>
      <c r="P463" t="str">
        <f>TEXT(HR_Data[[#This Row],[Joining Date]],"mmmm")</f>
        <v>June</v>
      </c>
      <c r="Q463">
        <f t="array" ref="Q46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63">
        <f>HR_Data[[#This Row],[Salary]]*HR_Data[[#This Row],[Bonus %]]</f>
        <v>18418.649999999998</v>
      </c>
      <c r="S463">
        <f>HR_Data[[#This Row],[Salary]]+HR_Data[[#This Row],[Bonus Amount]]</f>
        <v>141209.65</v>
      </c>
      <c r="T463" t="str">
        <f>IF(HR_Data[[#This Row],[Attrition]]="Yes","Inactive","Active")</f>
        <v>Inactive</v>
      </c>
      <c r="U463" t="str">
        <f t="array" ref="U463">_xlfn.IFS(HR_Data[[#This Row],[Salary]]&gt;=100000,"A",HR_Data[[#This Row],[Salary]]&gt;=70000,"B",HR_Data[[#This Row],[Salary]]&gt;=50000,"C",TRUE(),"D")</f>
        <v>A</v>
      </c>
      <c r="V463" t="str">
        <f t="array" ref="V463">_xlfn.IFS(HR_Data[[#This Row],[Experience]]&gt;=15,"Expert",HR_Data[[#This Row],[Experience]]&gt;=8,"Senior",HR_Data[[#This Row],[Experience]]&gt;=3,"Mid-Level",TRUE(),"Junior")</f>
        <v>Expert</v>
      </c>
    </row>
    <row r="464" spans="1:22" ht="14.25" customHeight="1" x14ac:dyDescent="0.3">
      <c r="A464" t="s">
        <v>1130</v>
      </c>
      <c r="B464" t="s">
        <v>864</v>
      </c>
      <c r="C464" t="s">
        <v>93</v>
      </c>
      <c r="D464" t="s">
        <v>33</v>
      </c>
      <c r="E464">
        <v>21</v>
      </c>
      <c r="F464">
        <v>26047</v>
      </c>
      <c r="G464">
        <v>0</v>
      </c>
      <c r="H464" t="s">
        <v>1131</v>
      </c>
      <c r="I464" t="s">
        <v>67</v>
      </c>
      <c r="J464" t="s">
        <v>28</v>
      </c>
      <c r="K464" t="s">
        <v>29</v>
      </c>
      <c r="L464" t="str">
        <f t="array" ref="L464">_xlfn.IFS(HR_Data[[#This Row],[Experience]]&lt;2,"0-2 Years",HR_Data[[#This Row],[Experience]]&lt;5,"2-5 Years",HR_Data[[#This Row],[Experience]]&lt;10,"5-10 Years",TRUE(),"10+ Years")</f>
        <v>0-2 Years</v>
      </c>
      <c r="M464" t="str">
        <f t="array" ref="M464">_xlfn.IFS(HR_Data[[#This Row],[Salary]]&lt;40000,"Low",HR_Data[[#This Row],[Salary]]&lt;70000,"Medium",HR_Data[[#This Row],[Salary]]&lt;100000,"High",TRUE(),"Very High")</f>
        <v>Low</v>
      </c>
      <c r="N464" t="str">
        <f t="array" ref="N464">_xlfn.IFS(HR_Data[[#This Row],[Age]]&lt;25,"18-24",HR_Data[[#This Row],[Age]]&lt;35,"25-34",HR_Data[[#This Row],[Age]]&lt;45,"35-44",TRUE(),"45+")</f>
        <v>18-24</v>
      </c>
      <c r="O464">
        <f>YEAR(HR_Data[[#This Row],[Joining Date]])</f>
        <v>2017</v>
      </c>
      <c r="P464" t="str">
        <f>TEXT(HR_Data[[#This Row],[Joining Date]],"mmmm")</f>
        <v>September</v>
      </c>
      <c r="Q464">
        <f t="array" ref="Q464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64">
        <f>HR_Data[[#This Row],[Salary]]*HR_Data[[#This Row],[Bonus %]]</f>
        <v>3907.0499999999997</v>
      </c>
      <c r="S464">
        <f>HR_Data[[#This Row],[Salary]]+HR_Data[[#This Row],[Bonus Amount]]</f>
        <v>29954.05</v>
      </c>
      <c r="T464" t="str">
        <f>IF(HR_Data[[#This Row],[Attrition]]="Yes","Inactive","Active")</f>
        <v>Active</v>
      </c>
      <c r="U464" t="str">
        <f t="array" ref="U464">_xlfn.IFS(HR_Data[[#This Row],[Salary]]&gt;=100000,"A",HR_Data[[#This Row],[Salary]]&gt;=70000,"B",HR_Data[[#This Row],[Salary]]&gt;=50000,"C",TRUE(),"D")</f>
        <v>D</v>
      </c>
      <c r="V464" t="str">
        <f t="array" ref="V464">_xlfn.IFS(HR_Data[[#This Row],[Experience]]&gt;=15,"Expert",HR_Data[[#This Row],[Experience]]&gt;=8,"Senior",HR_Data[[#This Row],[Experience]]&gt;=3,"Mid-Level",TRUE(),"Junior")</f>
        <v>Junior</v>
      </c>
    </row>
    <row r="465" spans="1:22" ht="14.25" customHeight="1" x14ac:dyDescent="0.3">
      <c r="A465" t="s">
        <v>1132</v>
      </c>
      <c r="B465" t="s">
        <v>905</v>
      </c>
      <c r="C465" t="s">
        <v>55</v>
      </c>
      <c r="D465" t="s">
        <v>33</v>
      </c>
      <c r="E465">
        <v>27</v>
      </c>
      <c r="F465">
        <v>38167</v>
      </c>
      <c r="G465">
        <v>5</v>
      </c>
      <c r="H465" t="s">
        <v>1133</v>
      </c>
      <c r="I465" t="s">
        <v>45</v>
      </c>
      <c r="J465" t="s">
        <v>63</v>
      </c>
      <c r="K465" t="s">
        <v>29</v>
      </c>
      <c r="L465" t="str">
        <f t="array" ref="L465">_xlfn.IFS(HR_Data[[#This Row],[Experience]]&lt;2,"0-2 Years",HR_Data[[#This Row],[Experience]]&lt;5,"2-5 Years",HR_Data[[#This Row],[Experience]]&lt;10,"5-10 Years",TRUE(),"10+ Years")</f>
        <v>5-10 Years</v>
      </c>
      <c r="M465" t="str">
        <f t="array" ref="M465">_xlfn.IFS(HR_Data[[#This Row],[Salary]]&lt;40000,"Low",HR_Data[[#This Row],[Salary]]&lt;70000,"Medium",HR_Data[[#This Row],[Salary]]&lt;100000,"High",TRUE(),"Very High")</f>
        <v>Low</v>
      </c>
      <c r="N465" t="str">
        <f t="array" ref="N465">_xlfn.IFS(HR_Data[[#This Row],[Age]]&lt;25,"18-24",HR_Data[[#This Row],[Age]]&lt;35,"25-34",HR_Data[[#This Row],[Age]]&lt;45,"35-44",TRUE(),"45+")</f>
        <v>25-34</v>
      </c>
      <c r="O465">
        <f>YEAR(HR_Data[[#This Row],[Joining Date]])</f>
        <v>2026</v>
      </c>
      <c r="P465" t="str">
        <f>TEXT(HR_Data[[#This Row],[Joining Date]],"mmmm")</f>
        <v>March</v>
      </c>
      <c r="Q465">
        <f t="array" ref="Q465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465">
        <f>HR_Data[[#This Row],[Salary]]*HR_Data[[#This Row],[Bonus %]]</f>
        <v>7633.4000000000005</v>
      </c>
      <c r="S465">
        <f>HR_Data[[#This Row],[Salary]]+HR_Data[[#This Row],[Bonus Amount]]</f>
        <v>45800.4</v>
      </c>
      <c r="T465" t="str">
        <f>IF(HR_Data[[#This Row],[Attrition]]="Yes","Inactive","Active")</f>
        <v>Active</v>
      </c>
      <c r="U465" t="str">
        <f t="array" ref="U465">_xlfn.IFS(HR_Data[[#This Row],[Salary]]&gt;=100000,"A",HR_Data[[#This Row],[Salary]]&gt;=70000,"B",HR_Data[[#This Row],[Salary]]&gt;=50000,"C",TRUE(),"D")</f>
        <v>D</v>
      </c>
      <c r="V465" t="str">
        <f t="array" ref="V465">_xlfn.IFS(HR_Data[[#This Row],[Experience]]&gt;=15,"Expert",HR_Data[[#This Row],[Experience]]&gt;=8,"Senior",HR_Data[[#This Row],[Experience]]&gt;=3,"Mid-Level",TRUE(),"Junior")</f>
        <v>Mid-Level</v>
      </c>
    </row>
    <row r="466" spans="1:22" ht="14.25" customHeight="1" x14ac:dyDescent="0.3">
      <c r="A466" t="s">
        <v>1134</v>
      </c>
      <c r="B466" t="s">
        <v>703</v>
      </c>
      <c r="C466" t="s">
        <v>60</v>
      </c>
      <c r="D466" t="s">
        <v>33</v>
      </c>
      <c r="E466">
        <v>27</v>
      </c>
      <c r="F466">
        <v>52185</v>
      </c>
      <c r="G466">
        <v>6</v>
      </c>
      <c r="H466" t="s">
        <v>1135</v>
      </c>
      <c r="I466" t="s">
        <v>62</v>
      </c>
      <c r="J466" t="s">
        <v>28</v>
      </c>
      <c r="K466" t="s">
        <v>29</v>
      </c>
      <c r="L466" t="str">
        <f t="array" ref="L466">_xlfn.IFS(HR_Data[[#This Row],[Experience]]&lt;2,"0-2 Years",HR_Data[[#This Row],[Experience]]&lt;5,"2-5 Years",HR_Data[[#This Row],[Experience]]&lt;10,"5-10 Years",TRUE(),"10+ Years")</f>
        <v>5-10 Years</v>
      </c>
      <c r="M466" t="str">
        <f t="array" ref="M466">_xlfn.IFS(HR_Data[[#This Row],[Salary]]&lt;40000,"Low",HR_Data[[#This Row],[Salary]]&lt;70000,"Medium",HR_Data[[#This Row],[Salary]]&lt;100000,"High",TRUE(),"Very High")</f>
        <v>Medium</v>
      </c>
      <c r="N466" t="str">
        <f t="array" ref="N466">_xlfn.IFS(HR_Data[[#This Row],[Age]]&lt;25,"18-24",HR_Data[[#This Row],[Age]]&lt;35,"25-34",HR_Data[[#This Row],[Age]]&lt;45,"35-44",TRUE(),"45+")</f>
        <v>25-34</v>
      </c>
      <c r="O466">
        <f>YEAR(HR_Data[[#This Row],[Joining Date]])</f>
        <v>2020</v>
      </c>
      <c r="P466" t="str">
        <f>TEXT(HR_Data[[#This Row],[Joining Date]],"mmmm")</f>
        <v>March</v>
      </c>
      <c r="Q466">
        <f t="array" ref="Q466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66">
        <f>HR_Data[[#This Row],[Salary]]*HR_Data[[#This Row],[Bonus %]]</f>
        <v>7827.75</v>
      </c>
      <c r="S466">
        <f>HR_Data[[#This Row],[Salary]]+HR_Data[[#This Row],[Bonus Amount]]</f>
        <v>60012.75</v>
      </c>
      <c r="T466" t="str">
        <f>IF(HR_Data[[#This Row],[Attrition]]="Yes","Inactive","Active")</f>
        <v>Active</v>
      </c>
      <c r="U466" t="str">
        <f t="array" ref="U466">_xlfn.IFS(HR_Data[[#This Row],[Salary]]&gt;=100000,"A",HR_Data[[#This Row],[Salary]]&gt;=70000,"B",HR_Data[[#This Row],[Salary]]&gt;=50000,"C",TRUE(),"D")</f>
        <v>C</v>
      </c>
      <c r="V466" t="str">
        <f t="array" ref="V466">_xlfn.IFS(HR_Data[[#This Row],[Experience]]&gt;=15,"Expert",HR_Data[[#This Row],[Experience]]&gt;=8,"Senior",HR_Data[[#This Row],[Experience]]&gt;=3,"Mid-Level",TRUE(),"Junior")</f>
        <v>Mid-Level</v>
      </c>
    </row>
    <row r="467" spans="1:22" ht="14.25" customHeight="1" x14ac:dyDescent="0.3">
      <c r="A467" t="s">
        <v>1136</v>
      </c>
      <c r="B467" t="s">
        <v>92</v>
      </c>
      <c r="C467" t="s">
        <v>134</v>
      </c>
      <c r="D467" t="s">
        <v>25</v>
      </c>
      <c r="E467">
        <v>52</v>
      </c>
      <c r="F467">
        <v>91814</v>
      </c>
      <c r="G467">
        <v>22</v>
      </c>
      <c r="H467" t="s">
        <v>1137</v>
      </c>
      <c r="I467" t="s">
        <v>57</v>
      </c>
      <c r="J467" t="s">
        <v>46</v>
      </c>
      <c r="K467" t="s">
        <v>29</v>
      </c>
      <c r="L467" t="str">
        <f t="array" ref="L467">_xlfn.IFS(HR_Data[[#This Row],[Experience]]&lt;2,"0-2 Years",HR_Data[[#This Row],[Experience]]&lt;5,"2-5 Years",HR_Data[[#This Row],[Experience]]&lt;10,"5-10 Years",TRUE(),"10+ Years")</f>
        <v>10+ Years</v>
      </c>
      <c r="M467" t="str">
        <f t="array" ref="M467">_xlfn.IFS(HR_Data[[#This Row],[Salary]]&lt;40000,"Low",HR_Data[[#This Row],[Salary]]&lt;70000,"Medium",HR_Data[[#This Row],[Salary]]&lt;100000,"High",TRUE(),"Very High")</f>
        <v>High</v>
      </c>
      <c r="N467" t="str">
        <f t="array" ref="N467">_xlfn.IFS(HR_Data[[#This Row],[Age]]&lt;25,"18-24",HR_Data[[#This Row],[Age]]&lt;35,"25-34",HR_Data[[#This Row],[Age]]&lt;45,"35-44",TRUE(),"45+")</f>
        <v>45+</v>
      </c>
      <c r="O467">
        <f>YEAR(HR_Data[[#This Row],[Joining Date]])</f>
        <v>2020</v>
      </c>
      <c r="P467" t="str">
        <f>TEXT(HR_Data[[#This Row],[Joining Date]],"mmmm")</f>
        <v>August</v>
      </c>
      <c r="Q467">
        <f t="array" ref="Q467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467">
        <f>HR_Data[[#This Row],[Salary]]*HR_Data[[#This Row],[Bonus %]]</f>
        <v>4590.7</v>
      </c>
      <c r="S467">
        <f>HR_Data[[#This Row],[Salary]]+HR_Data[[#This Row],[Bonus Amount]]</f>
        <v>96404.7</v>
      </c>
      <c r="T467" t="str">
        <f>IF(HR_Data[[#This Row],[Attrition]]="Yes","Inactive","Active")</f>
        <v>Active</v>
      </c>
      <c r="U467" t="str">
        <f t="array" ref="U467">_xlfn.IFS(HR_Data[[#This Row],[Salary]]&gt;=100000,"A",HR_Data[[#This Row],[Salary]]&gt;=70000,"B",HR_Data[[#This Row],[Salary]]&gt;=50000,"C",TRUE(),"D")</f>
        <v>B</v>
      </c>
      <c r="V467" t="str">
        <f t="array" ref="V467">_xlfn.IFS(HR_Data[[#This Row],[Experience]]&gt;=15,"Expert",HR_Data[[#This Row],[Experience]]&gt;=8,"Senior",HR_Data[[#This Row],[Experience]]&gt;=3,"Mid-Level",TRUE(),"Junior")</f>
        <v>Expert</v>
      </c>
    </row>
    <row r="468" spans="1:22" ht="14.25" customHeight="1" x14ac:dyDescent="0.3">
      <c r="A468" t="s">
        <v>1138</v>
      </c>
      <c r="B468" t="s">
        <v>439</v>
      </c>
      <c r="C468" t="s">
        <v>70</v>
      </c>
      <c r="D468" t="s">
        <v>33</v>
      </c>
      <c r="E468">
        <v>38</v>
      </c>
      <c r="F468">
        <v>63592</v>
      </c>
      <c r="G468">
        <v>11</v>
      </c>
      <c r="H468" t="s">
        <v>1139</v>
      </c>
      <c r="I468" t="s">
        <v>45</v>
      </c>
      <c r="J468" t="s">
        <v>36</v>
      </c>
      <c r="K468" t="s">
        <v>29</v>
      </c>
      <c r="L468" t="str">
        <f t="array" ref="L468">_xlfn.IFS(HR_Data[[#This Row],[Experience]]&lt;2,"0-2 Years",HR_Data[[#This Row],[Experience]]&lt;5,"2-5 Years",HR_Data[[#This Row],[Experience]]&lt;10,"5-10 Years",TRUE(),"10+ Years")</f>
        <v>10+ Years</v>
      </c>
      <c r="M468" t="str">
        <f t="array" ref="M468">_xlfn.IFS(HR_Data[[#This Row],[Salary]]&lt;40000,"Low",HR_Data[[#This Row],[Salary]]&lt;70000,"Medium",HR_Data[[#This Row],[Salary]]&lt;100000,"High",TRUE(),"Very High")</f>
        <v>Medium</v>
      </c>
      <c r="N468" t="str">
        <f t="array" ref="N468">_xlfn.IFS(HR_Data[[#This Row],[Age]]&lt;25,"18-24",HR_Data[[#This Row],[Age]]&lt;35,"25-34",HR_Data[[#This Row],[Age]]&lt;45,"35-44",TRUE(),"45+")</f>
        <v>35-44</v>
      </c>
      <c r="O468">
        <f>YEAR(HR_Data[[#This Row],[Joining Date]])</f>
        <v>2022</v>
      </c>
      <c r="P468" t="str">
        <f>TEXT(HR_Data[[#This Row],[Joining Date]],"mmmm")</f>
        <v>April</v>
      </c>
      <c r="Q468">
        <f t="array" ref="Q46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68">
        <f>HR_Data[[#This Row],[Salary]]*HR_Data[[#This Row],[Bonus %]]</f>
        <v>6359.2000000000007</v>
      </c>
      <c r="S468">
        <f>HR_Data[[#This Row],[Salary]]+HR_Data[[#This Row],[Bonus Amount]]</f>
        <v>69951.199999999997</v>
      </c>
      <c r="T468" t="str">
        <f>IF(HR_Data[[#This Row],[Attrition]]="Yes","Inactive","Active")</f>
        <v>Active</v>
      </c>
      <c r="U468" t="str">
        <f t="array" ref="U468">_xlfn.IFS(HR_Data[[#This Row],[Salary]]&gt;=100000,"A",HR_Data[[#This Row],[Salary]]&gt;=70000,"B",HR_Data[[#This Row],[Salary]]&gt;=50000,"C",TRUE(),"D")</f>
        <v>C</v>
      </c>
      <c r="V468" t="str">
        <f t="array" ref="V468">_xlfn.IFS(HR_Data[[#This Row],[Experience]]&gt;=15,"Expert",HR_Data[[#This Row],[Experience]]&gt;=8,"Senior",HR_Data[[#This Row],[Experience]]&gt;=3,"Mid-Level",TRUE(),"Junior")</f>
        <v>Senior</v>
      </c>
    </row>
    <row r="469" spans="1:22" ht="14.25" customHeight="1" x14ac:dyDescent="0.3">
      <c r="A469" t="s">
        <v>1140</v>
      </c>
      <c r="B469" t="s">
        <v>1141</v>
      </c>
      <c r="C469" t="s">
        <v>70</v>
      </c>
      <c r="D469" t="s">
        <v>33</v>
      </c>
      <c r="E469">
        <v>35</v>
      </c>
      <c r="F469">
        <v>55488</v>
      </c>
      <c r="G469">
        <v>9</v>
      </c>
      <c r="H469" t="s">
        <v>1142</v>
      </c>
      <c r="I469" t="s">
        <v>72</v>
      </c>
      <c r="J469" t="s">
        <v>36</v>
      </c>
      <c r="K469" t="s">
        <v>29</v>
      </c>
      <c r="L469" t="str">
        <f t="array" ref="L469">_xlfn.IFS(HR_Data[[#This Row],[Experience]]&lt;2,"0-2 Years",HR_Data[[#This Row],[Experience]]&lt;5,"2-5 Years",HR_Data[[#This Row],[Experience]]&lt;10,"5-10 Years",TRUE(),"10+ Years")</f>
        <v>5-10 Years</v>
      </c>
      <c r="M469" t="str">
        <f t="array" ref="M469">_xlfn.IFS(HR_Data[[#This Row],[Salary]]&lt;40000,"Low",HR_Data[[#This Row],[Salary]]&lt;70000,"Medium",HR_Data[[#This Row],[Salary]]&lt;100000,"High",TRUE(),"Very High")</f>
        <v>Medium</v>
      </c>
      <c r="N469" t="str">
        <f t="array" ref="N469">_xlfn.IFS(HR_Data[[#This Row],[Age]]&lt;25,"18-24",HR_Data[[#This Row],[Age]]&lt;35,"25-34",HR_Data[[#This Row],[Age]]&lt;45,"35-44",TRUE(),"45+")</f>
        <v>35-44</v>
      </c>
      <c r="O469">
        <f>YEAR(HR_Data[[#This Row],[Joining Date]])</f>
        <v>2020</v>
      </c>
      <c r="P469" t="str">
        <f>TEXT(HR_Data[[#This Row],[Joining Date]],"mmmm")</f>
        <v>November</v>
      </c>
      <c r="Q469">
        <f t="array" ref="Q46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69">
        <f>HR_Data[[#This Row],[Salary]]*HR_Data[[#This Row],[Bonus %]]</f>
        <v>5548.8</v>
      </c>
      <c r="S469">
        <f>HR_Data[[#This Row],[Salary]]+HR_Data[[#This Row],[Bonus Amount]]</f>
        <v>61036.800000000003</v>
      </c>
      <c r="T469" t="str">
        <f>IF(HR_Data[[#This Row],[Attrition]]="Yes","Inactive","Active")</f>
        <v>Active</v>
      </c>
      <c r="U469" t="str">
        <f t="array" ref="U469">_xlfn.IFS(HR_Data[[#This Row],[Salary]]&gt;=100000,"A",HR_Data[[#This Row],[Salary]]&gt;=70000,"B",HR_Data[[#This Row],[Salary]]&gt;=50000,"C",TRUE(),"D")</f>
        <v>C</v>
      </c>
      <c r="V469" t="str">
        <f t="array" ref="V469">_xlfn.IFS(HR_Data[[#This Row],[Experience]]&gt;=15,"Expert",HR_Data[[#This Row],[Experience]]&gt;=8,"Senior",HR_Data[[#This Row],[Experience]]&gt;=3,"Mid-Level",TRUE(),"Junior")</f>
        <v>Senior</v>
      </c>
    </row>
    <row r="470" spans="1:22" ht="14.25" customHeight="1" x14ac:dyDescent="0.3">
      <c r="A470" t="s">
        <v>1143</v>
      </c>
      <c r="B470" t="s">
        <v>823</v>
      </c>
      <c r="C470" t="s">
        <v>60</v>
      </c>
      <c r="D470" t="s">
        <v>25</v>
      </c>
      <c r="E470">
        <v>51</v>
      </c>
      <c r="F470">
        <v>98424</v>
      </c>
      <c r="G470">
        <v>23</v>
      </c>
      <c r="H470" t="s">
        <v>1144</v>
      </c>
      <c r="I470" t="s">
        <v>45</v>
      </c>
      <c r="J470" t="s">
        <v>36</v>
      </c>
      <c r="K470" t="s">
        <v>29</v>
      </c>
      <c r="L470" t="str">
        <f t="array" ref="L470">_xlfn.IFS(HR_Data[[#This Row],[Experience]]&lt;2,"0-2 Years",HR_Data[[#This Row],[Experience]]&lt;5,"2-5 Years",HR_Data[[#This Row],[Experience]]&lt;10,"5-10 Years",TRUE(),"10+ Years")</f>
        <v>10+ Years</v>
      </c>
      <c r="M470" t="str">
        <f t="array" ref="M470">_xlfn.IFS(HR_Data[[#This Row],[Salary]]&lt;40000,"Low",HR_Data[[#This Row],[Salary]]&lt;70000,"Medium",HR_Data[[#This Row],[Salary]]&lt;100000,"High",TRUE(),"Very High")</f>
        <v>High</v>
      </c>
      <c r="N470" t="str">
        <f t="array" ref="N470">_xlfn.IFS(HR_Data[[#This Row],[Age]]&lt;25,"18-24",HR_Data[[#This Row],[Age]]&lt;35,"25-34",HR_Data[[#This Row],[Age]]&lt;45,"35-44",TRUE(),"45+")</f>
        <v>45+</v>
      </c>
      <c r="O470">
        <f>YEAR(HR_Data[[#This Row],[Joining Date]])</f>
        <v>2022</v>
      </c>
      <c r="P470" t="str">
        <f>TEXT(HR_Data[[#This Row],[Joining Date]],"mmmm")</f>
        <v>March</v>
      </c>
      <c r="Q470">
        <f t="array" ref="Q47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70">
        <f>HR_Data[[#This Row],[Salary]]*HR_Data[[#This Row],[Bonus %]]</f>
        <v>9842.4000000000015</v>
      </c>
      <c r="S470">
        <f>HR_Data[[#This Row],[Salary]]+HR_Data[[#This Row],[Bonus Amount]]</f>
        <v>108266.4</v>
      </c>
      <c r="T470" t="str">
        <f>IF(HR_Data[[#This Row],[Attrition]]="Yes","Inactive","Active")</f>
        <v>Active</v>
      </c>
      <c r="U470" t="str">
        <f t="array" ref="U470">_xlfn.IFS(HR_Data[[#This Row],[Salary]]&gt;=100000,"A",HR_Data[[#This Row],[Salary]]&gt;=70000,"B",HR_Data[[#This Row],[Salary]]&gt;=50000,"C",TRUE(),"D")</f>
        <v>B</v>
      </c>
      <c r="V470" t="str">
        <f t="array" ref="V470">_xlfn.IFS(HR_Data[[#This Row],[Experience]]&gt;=15,"Expert",HR_Data[[#This Row],[Experience]]&gt;=8,"Senior",HR_Data[[#This Row],[Experience]]&gt;=3,"Mid-Level",TRUE(),"Junior")</f>
        <v>Expert</v>
      </c>
    </row>
    <row r="471" spans="1:22" ht="14.25" customHeight="1" x14ac:dyDescent="0.3">
      <c r="A471" t="s">
        <v>1145</v>
      </c>
      <c r="B471" t="s">
        <v>761</v>
      </c>
      <c r="C471" t="s">
        <v>40</v>
      </c>
      <c r="D471" t="s">
        <v>33</v>
      </c>
      <c r="E471">
        <v>37</v>
      </c>
      <c r="F471">
        <v>55077</v>
      </c>
      <c r="G471">
        <v>9</v>
      </c>
      <c r="H471" t="s">
        <v>799</v>
      </c>
      <c r="I471" t="s">
        <v>132</v>
      </c>
      <c r="J471" t="s">
        <v>36</v>
      </c>
      <c r="K471" t="s">
        <v>29</v>
      </c>
      <c r="L471" t="str">
        <f t="array" ref="L471">_xlfn.IFS(HR_Data[[#This Row],[Experience]]&lt;2,"0-2 Years",HR_Data[[#This Row],[Experience]]&lt;5,"2-5 Years",HR_Data[[#This Row],[Experience]]&lt;10,"5-10 Years",TRUE(),"10+ Years")</f>
        <v>5-10 Years</v>
      </c>
      <c r="M471" t="str">
        <f t="array" ref="M471">_xlfn.IFS(HR_Data[[#This Row],[Salary]]&lt;40000,"Low",HR_Data[[#This Row],[Salary]]&lt;70000,"Medium",HR_Data[[#This Row],[Salary]]&lt;100000,"High",TRUE(),"Very High")</f>
        <v>Medium</v>
      </c>
      <c r="N471" t="str">
        <f t="array" ref="N471">_xlfn.IFS(HR_Data[[#This Row],[Age]]&lt;25,"18-24",HR_Data[[#This Row],[Age]]&lt;35,"25-34",HR_Data[[#This Row],[Age]]&lt;45,"35-44",TRUE(),"45+")</f>
        <v>35-44</v>
      </c>
      <c r="O471">
        <f>YEAR(HR_Data[[#This Row],[Joining Date]])</f>
        <v>2022</v>
      </c>
      <c r="P471" t="str">
        <f>TEXT(HR_Data[[#This Row],[Joining Date]],"mmmm")</f>
        <v>March</v>
      </c>
      <c r="Q471">
        <f t="array" ref="Q47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71">
        <f>HR_Data[[#This Row],[Salary]]*HR_Data[[#This Row],[Bonus %]]</f>
        <v>5507.7000000000007</v>
      </c>
      <c r="S471">
        <f>HR_Data[[#This Row],[Salary]]+HR_Data[[#This Row],[Bonus Amount]]</f>
        <v>60584.7</v>
      </c>
      <c r="T471" t="str">
        <f>IF(HR_Data[[#This Row],[Attrition]]="Yes","Inactive","Active")</f>
        <v>Active</v>
      </c>
      <c r="U471" t="str">
        <f t="array" ref="U471">_xlfn.IFS(HR_Data[[#This Row],[Salary]]&gt;=100000,"A",HR_Data[[#This Row],[Salary]]&gt;=70000,"B",HR_Data[[#This Row],[Salary]]&gt;=50000,"C",TRUE(),"D")</f>
        <v>C</v>
      </c>
      <c r="V471" t="str">
        <f t="array" ref="V471">_xlfn.IFS(HR_Data[[#This Row],[Experience]]&gt;=15,"Expert",HR_Data[[#This Row],[Experience]]&gt;=8,"Senior",HR_Data[[#This Row],[Experience]]&gt;=3,"Mid-Level",TRUE(),"Junior")</f>
        <v>Senior</v>
      </c>
    </row>
    <row r="472" spans="1:22" ht="14.25" customHeight="1" x14ac:dyDescent="0.3">
      <c r="A472" t="s">
        <v>1146</v>
      </c>
      <c r="B472" t="s">
        <v>264</v>
      </c>
      <c r="C472" t="s">
        <v>93</v>
      </c>
      <c r="D472" t="s">
        <v>25</v>
      </c>
      <c r="E472">
        <v>30</v>
      </c>
      <c r="F472">
        <v>58821</v>
      </c>
      <c r="G472">
        <v>11</v>
      </c>
      <c r="H472" t="s">
        <v>1147</v>
      </c>
      <c r="I472" t="s">
        <v>27</v>
      </c>
      <c r="J472" t="s">
        <v>36</v>
      </c>
      <c r="K472" t="s">
        <v>37</v>
      </c>
      <c r="L472" t="str">
        <f t="array" ref="L472">_xlfn.IFS(HR_Data[[#This Row],[Experience]]&lt;2,"0-2 Years",HR_Data[[#This Row],[Experience]]&lt;5,"2-5 Years",HR_Data[[#This Row],[Experience]]&lt;10,"5-10 Years",TRUE(),"10+ Years")</f>
        <v>10+ Years</v>
      </c>
      <c r="M472" t="str">
        <f t="array" ref="M472">_xlfn.IFS(HR_Data[[#This Row],[Salary]]&lt;40000,"Low",HR_Data[[#This Row],[Salary]]&lt;70000,"Medium",HR_Data[[#This Row],[Salary]]&lt;100000,"High",TRUE(),"Very High")</f>
        <v>Medium</v>
      </c>
      <c r="N472" t="str">
        <f t="array" ref="N472">_xlfn.IFS(HR_Data[[#This Row],[Age]]&lt;25,"18-24",HR_Data[[#This Row],[Age]]&lt;35,"25-34",HR_Data[[#This Row],[Age]]&lt;45,"35-44",TRUE(),"45+")</f>
        <v>25-34</v>
      </c>
      <c r="O472">
        <f>YEAR(HR_Data[[#This Row],[Joining Date]])</f>
        <v>2017</v>
      </c>
      <c r="P472" t="str">
        <f>TEXT(HR_Data[[#This Row],[Joining Date]],"mmmm")</f>
        <v>May</v>
      </c>
      <c r="Q472">
        <f t="array" ref="Q47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72">
        <f>HR_Data[[#This Row],[Salary]]*HR_Data[[#This Row],[Bonus %]]</f>
        <v>5882.1</v>
      </c>
      <c r="S472">
        <f>HR_Data[[#This Row],[Salary]]+HR_Data[[#This Row],[Bonus Amount]]</f>
        <v>64703.1</v>
      </c>
      <c r="T472" t="str">
        <f>IF(HR_Data[[#This Row],[Attrition]]="Yes","Inactive","Active")</f>
        <v>Inactive</v>
      </c>
      <c r="U472" t="str">
        <f t="array" ref="U472">_xlfn.IFS(HR_Data[[#This Row],[Salary]]&gt;=100000,"A",HR_Data[[#This Row],[Salary]]&gt;=70000,"B",HR_Data[[#This Row],[Salary]]&gt;=50000,"C",TRUE(),"D")</f>
        <v>C</v>
      </c>
      <c r="V472" t="str">
        <f t="array" ref="V472">_xlfn.IFS(HR_Data[[#This Row],[Experience]]&gt;=15,"Expert",HR_Data[[#This Row],[Experience]]&gt;=8,"Senior",HR_Data[[#This Row],[Experience]]&gt;=3,"Mid-Level",TRUE(),"Junior")</f>
        <v>Senior</v>
      </c>
    </row>
    <row r="473" spans="1:22" ht="14.25" customHeight="1" x14ac:dyDescent="0.3">
      <c r="A473" t="s">
        <v>1148</v>
      </c>
      <c r="B473" t="s">
        <v>245</v>
      </c>
      <c r="C473" t="s">
        <v>93</v>
      </c>
      <c r="D473" t="s">
        <v>33</v>
      </c>
      <c r="E473">
        <v>45</v>
      </c>
      <c r="F473">
        <v>110455</v>
      </c>
      <c r="G473">
        <v>23</v>
      </c>
      <c r="H473" t="s">
        <v>100</v>
      </c>
      <c r="I473" t="s">
        <v>67</v>
      </c>
      <c r="J473" t="s">
        <v>63</v>
      </c>
      <c r="K473" t="s">
        <v>29</v>
      </c>
      <c r="L473" t="str">
        <f t="array" ref="L473">_xlfn.IFS(HR_Data[[#This Row],[Experience]]&lt;2,"0-2 Years",HR_Data[[#This Row],[Experience]]&lt;5,"2-5 Years",HR_Data[[#This Row],[Experience]]&lt;10,"5-10 Years",TRUE(),"10+ Years")</f>
        <v>10+ Years</v>
      </c>
      <c r="M473" t="str">
        <f t="array" ref="M473">_xlfn.IFS(HR_Data[[#This Row],[Salary]]&lt;40000,"Low",HR_Data[[#This Row],[Salary]]&lt;70000,"Medium",HR_Data[[#This Row],[Salary]]&lt;100000,"High",TRUE(),"Very High")</f>
        <v>Very High</v>
      </c>
      <c r="N473" t="str">
        <f t="array" ref="N473">_xlfn.IFS(HR_Data[[#This Row],[Age]]&lt;25,"18-24",HR_Data[[#This Row],[Age]]&lt;35,"25-34",HR_Data[[#This Row],[Age]]&lt;45,"35-44",TRUE(),"45+")</f>
        <v>45+</v>
      </c>
      <c r="O473">
        <f>YEAR(HR_Data[[#This Row],[Joining Date]])</f>
        <v>2016</v>
      </c>
      <c r="P473" t="str">
        <f>TEXT(HR_Data[[#This Row],[Joining Date]],"mmmm")</f>
        <v>August</v>
      </c>
      <c r="Q473">
        <f t="array" ref="Q473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473">
        <f>HR_Data[[#This Row],[Salary]]*HR_Data[[#This Row],[Bonus %]]</f>
        <v>22091</v>
      </c>
      <c r="S473">
        <f>HR_Data[[#This Row],[Salary]]+HR_Data[[#This Row],[Bonus Amount]]</f>
        <v>132546</v>
      </c>
      <c r="T473" t="str">
        <f>IF(HR_Data[[#This Row],[Attrition]]="Yes","Inactive","Active")</f>
        <v>Active</v>
      </c>
      <c r="U473" t="str">
        <f t="array" ref="U473">_xlfn.IFS(HR_Data[[#This Row],[Salary]]&gt;=100000,"A",HR_Data[[#This Row],[Salary]]&gt;=70000,"B",HR_Data[[#This Row],[Salary]]&gt;=50000,"C",TRUE(),"D")</f>
        <v>A</v>
      </c>
      <c r="V473" t="str">
        <f t="array" ref="V473">_xlfn.IFS(HR_Data[[#This Row],[Experience]]&gt;=15,"Expert",HR_Data[[#This Row],[Experience]]&gt;=8,"Senior",HR_Data[[#This Row],[Experience]]&gt;=3,"Mid-Level",TRUE(),"Junior")</f>
        <v>Expert</v>
      </c>
    </row>
    <row r="474" spans="1:22" ht="14.25" customHeight="1" x14ac:dyDescent="0.3">
      <c r="A474" t="s">
        <v>1149</v>
      </c>
      <c r="B474" t="s">
        <v>994</v>
      </c>
      <c r="C474" t="s">
        <v>75</v>
      </c>
      <c r="D474" t="s">
        <v>33</v>
      </c>
      <c r="E474">
        <v>60</v>
      </c>
      <c r="F474">
        <v>142629</v>
      </c>
      <c r="G474">
        <v>35</v>
      </c>
      <c r="H474" t="s">
        <v>1150</v>
      </c>
      <c r="I474" t="s">
        <v>42</v>
      </c>
      <c r="J474" t="s">
        <v>46</v>
      </c>
      <c r="K474" t="s">
        <v>37</v>
      </c>
      <c r="L474" t="str">
        <f t="array" ref="L474">_xlfn.IFS(HR_Data[[#This Row],[Experience]]&lt;2,"0-2 Years",HR_Data[[#This Row],[Experience]]&lt;5,"2-5 Years",HR_Data[[#This Row],[Experience]]&lt;10,"5-10 Years",TRUE(),"10+ Years")</f>
        <v>10+ Years</v>
      </c>
      <c r="M474" t="str">
        <f t="array" ref="M474">_xlfn.IFS(HR_Data[[#This Row],[Salary]]&lt;40000,"Low",HR_Data[[#This Row],[Salary]]&lt;70000,"Medium",HR_Data[[#This Row],[Salary]]&lt;100000,"High",TRUE(),"Very High")</f>
        <v>Very High</v>
      </c>
      <c r="N474" t="str">
        <f t="array" ref="N474">_xlfn.IFS(HR_Data[[#This Row],[Age]]&lt;25,"18-24",HR_Data[[#This Row],[Age]]&lt;35,"25-34",HR_Data[[#This Row],[Age]]&lt;45,"35-44",TRUE(),"45+")</f>
        <v>45+</v>
      </c>
      <c r="O474">
        <f>YEAR(HR_Data[[#This Row],[Joining Date]])</f>
        <v>2023</v>
      </c>
      <c r="P474" t="str">
        <f>TEXT(HR_Data[[#This Row],[Joining Date]],"mmmm")</f>
        <v>April</v>
      </c>
      <c r="Q474">
        <f t="array" ref="Q474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474">
        <f>HR_Data[[#This Row],[Salary]]*HR_Data[[#This Row],[Bonus %]]</f>
        <v>7131.4500000000007</v>
      </c>
      <c r="S474">
        <f>HR_Data[[#This Row],[Salary]]+HR_Data[[#This Row],[Bonus Amount]]</f>
        <v>149760.45000000001</v>
      </c>
      <c r="T474" t="str">
        <f>IF(HR_Data[[#This Row],[Attrition]]="Yes","Inactive","Active")</f>
        <v>Inactive</v>
      </c>
      <c r="U474" t="str">
        <f t="array" ref="U474">_xlfn.IFS(HR_Data[[#This Row],[Salary]]&gt;=100000,"A",HR_Data[[#This Row],[Salary]]&gt;=70000,"B",HR_Data[[#This Row],[Salary]]&gt;=50000,"C",TRUE(),"D")</f>
        <v>A</v>
      </c>
      <c r="V474" t="str">
        <f t="array" ref="V474">_xlfn.IFS(HR_Data[[#This Row],[Experience]]&gt;=15,"Expert",HR_Data[[#This Row],[Experience]]&gt;=8,"Senior",HR_Data[[#This Row],[Experience]]&gt;=3,"Mid-Level",TRUE(),"Junior")</f>
        <v>Expert</v>
      </c>
    </row>
    <row r="475" spans="1:22" ht="14.25" customHeight="1" x14ac:dyDescent="0.3">
      <c r="A475" t="s">
        <v>1151</v>
      </c>
      <c r="B475" t="s">
        <v>600</v>
      </c>
      <c r="C475" t="s">
        <v>60</v>
      </c>
      <c r="D475" t="s">
        <v>33</v>
      </c>
      <c r="E475">
        <v>39</v>
      </c>
      <c r="F475">
        <v>84874</v>
      </c>
      <c r="G475">
        <v>19</v>
      </c>
      <c r="H475" t="s">
        <v>1152</v>
      </c>
      <c r="I475" t="s">
        <v>72</v>
      </c>
      <c r="J475" t="s">
        <v>63</v>
      </c>
      <c r="K475" t="s">
        <v>29</v>
      </c>
      <c r="L475" t="str">
        <f t="array" ref="L475">_xlfn.IFS(HR_Data[[#This Row],[Experience]]&lt;2,"0-2 Years",HR_Data[[#This Row],[Experience]]&lt;5,"2-5 Years",HR_Data[[#This Row],[Experience]]&lt;10,"5-10 Years",TRUE(),"10+ Years")</f>
        <v>10+ Years</v>
      </c>
      <c r="M475" t="str">
        <f t="array" ref="M475">_xlfn.IFS(HR_Data[[#This Row],[Salary]]&lt;40000,"Low",HR_Data[[#This Row],[Salary]]&lt;70000,"Medium",HR_Data[[#This Row],[Salary]]&lt;100000,"High",TRUE(),"Very High")</f>
        <v>High</v>
      </c>
      <c r="N475" t="str">
        <f t="array" ref="N475">_xlfn.IFS(HR_Data[[#This Row],[Age]]&lt;25,"18-24",HR_Data[[#This Row],[Age]]&lt;35,"25-34",HR_Data[[#This Row],[Age]]&lt;45,"35-44",TRUE(),"45+")</f>
        <v>35-44</v>
      </c>
      <c r="O475">
        <f>YEAR(HR_Data[[#This Row],[Joining Date]])</f>
        <v>2017</v>
      </c>
      <c r="P475" t="str">
        <f>TEXT(HR_Data[[#This Row],[Joining Date]],"mmmm")</f>
        <v>March</v>
      </c>
      <c r="Q475">
        <f t="array" ref="Q475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475">
        <f>HR_Data[[#This Row],[Salary]]*HR_Data[[#This Row],[Bonus %]]</f>
        <v>16974.8</v>
      </c>
      <c r="S475">
        <f>HR_Data[[#This Row],[Salary]]+HR_Data[[#This Row],[Bonus Amount]]</f>
        <v>101848.8</v>
      </c>
      <c r="T475" t="str">
        <f>IF(HR_Data[[#This Row],[Attrition]]="Yes","Inactive","Active")</f>
        <v>Active</v>
      </c>
      <c r="U475" t="str">
        <f t="array" ref="U475">_xlfn.IFS(HR_Data[[#This Row],[Salary]]&gt;=100000,"A",HR_Data[[#This Row],[Salary]]&gt;=70000,"B",HR_Data[[#This Row],[Salary]]&gt;=50000,"C",TRUE(),"D")</f>
        <v>B</v>
      </c>
      <c r="V475" t="str">
        <f t="array" ref="V475">_xlfn.IFS(HR_Data[[#This Row],[Experience]]&gt;=15,"Expert",HR_Data[[#This Row],[Experience]]&gt;=8,"Senior",HR_Data[[#This Row],[Experience]]&gt;=3,"Mid-Level",TRUE(),"Junior")</f>
        <v>Expert</v>
      </c>
    </row>
    <row r="476" spans="1:22" ht="14.25" customHeight="1" x14ac:dyDescent="0.3">
      <c r="A476" t="s">
        <v>1153</v>
      </c>
      <c r="B476" t="s">
        <v>59</v>
      </c>
      <c r="C476" t="s">
        <v>93</v>
      </c>
      <c r="D476" t="s">
        <v>25</v>
      </c>
      <c r="E476">
        <v>38</v>
      </c>
      <c r="F476">
        <v>70489</v>
      </c>
      <c r="G476">
        <v>11</v>
      </c>
      <c r="H476" t="s">
        <v>1154</v>
      </c>
      <c r="I476" t="s">
        <v>42</v>
      </c>
      <c r="J476" t="s">
        <v>36</v>
      </c>
      <c r="K476" t="s">
        <v>29</v>
      </c>
      <c r="L476" t="str">
        <f t="array" ref="L476">_xlfn.IFS(HR_Data[[#This Row],[Experience]]&lt;2,"0-2 Years",HR_Data[[#This Row],[Experience]]&lt;5,"2-5 Years",HR_Data[[#This Row],[Experience]]&lt;10,"5-10 Years",TRUE(),"10+ Years")</f>
        <v>10+ Years</v>
      </c>
      <c r="M476" t="str">
        <f t="array" ref="M476">_xlfn.IFS(HR_Data[[#This Row],[Salary]]&lt;40000,"Low",HR_Data[[#This Row],[Salary]]&lt;70000,"Medium",HR_Data[[#This Row],[Salary]]&lt;100000,"High",TRUE(),"Very High")</f>
        <v>High</v>
      </c>
      <c r="N476" t="str">
        <f t="array" ref="N476">_xlfn.IFS(HR_Data[[#This Row],[Age]]&lt;25,"18-24",HR_Data[[#This Row],[Age]]&lt;35,"25-34",HR_Data[[#This Row],[Age]]&lt;45,"35-44",TRUE(),"45+")</f>
        <v>35-44</v>
      </c>
      <c r="O476">
        <f>YEAR(HR_Data[[#This Row],[Joining Date]])</f>
        <v>2024</v>
      </c>
      <c r="P476" t="str">
        <f>TEXT(HR_Data[[#This Row],[Joining Date]],"mmmm")</f>
        <v>April</v>
      </c>
      <c r="Q476">
        <f t="array" ref="Q47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76">
        <f>HR_Data[[#This Row],[Salary]]*HR_Data[[#This Row],[Bonus %]]</f>
        <v>7048.9000000000005</v>
      </c>
      <c r="S476">
        <f>HR_Data[[#This Row],[Salary]]+HR_Data[[#This Row],[Bonus Amount]]</f>
        <v>77537.899999999994</v>
      </c>
      <c r="T476" t="str">
        <f>IF(HR_Data[[#This Row],[Attrition]]="Yes","Inactive","Active")</f>
        <v>Active</v>
      </c>
      <c r="U476" t="str">
        <f t="array" ref="U476">_xlfn.IFS(HR_Data[[#This Row],[Salary]]&gt;=100000,"A",HR_Data[[#This Row],[Salary]]&gt;=70000,"B",HR_Data[[#This Row],[Salary]]&gt;=50000,"C",TRUE(),"D")</f>
        <v>B</v>
      </c>
      <c r="V476" t="str">
        <f t="array" ref="V476">_xlfn.IFS(HR_Data[[#This Row],[Experience]]&gt;=15,"Expert",HR_Data[[#This Row],[Experience]]&gt;=8,"Senior",HR_Data[[#This Row],[Experience]]&gt;=3,"Mid-Level",TRUE(),"Junior")</f>
        <v>Senior</v>
      </c>
    </row>
    <row r="477" spans="1:22" ht="14.25" customHeight="1" x14ac:dyDescent="0.3">
      <c r="A477" t="s">
        <v>1155</v>
      </c>
      <c r="B477" t="s">
        <v>489</v>
      </c>
      <c r="C477" t="s">
        <v>93</v>
      </c>
      <c r="D477" t="s">
        <v>25</v>
      </c>
      <c r="E477">
        <v>31</v>
      </c>
      <c r="F477">
        <v>67021</v>
      </c>
      <c r="G477">
        <v>10</v>
      </c>
      <c r="H477" t="s">
        <v>1156</v>
      </c>
      <c r="I477" t="s">
        <v>67</v>
      </c>
      <c r="J477" t="s">
        <v>36</v>
      </c>
      <c r="K477" t="s">
        <v>29</v>
      </c>
      <c r="L477" t="str">
        <f t="array" ref="L477">_xlfn.IFS(HR_Data[[#This Row],[Experience]]&lt;2,"0-2 Years",HR_Data[[#This Row],[Experience]]&lt;5,"2-5 Years",HR_Data[[#This Row],[Experience]]&lt;10,"5-10 Years",TRUE(),"10+ Years")</f>
        <v>10+ Years</v>
      </c>
      <c r="M477" t="str">
        <f t="array" ref="M477">_xlfn.IFS(HR_Data[[#This Row],[Salary]]&lt;40000,"Low",HR_Data[[#This Row],[Salary]]&lt;70000,"Medium",HR_Data[[#This Row],[Salary]]&lt;100000,"High",TRUE(),"Very High")</f>
        <v>Medium</v>
      </c>
      <c r="N477" t="str">
        <f t="array" ref="N477">_xlfn.IFS(HR_Data[[#This Row],[Age]]&lt;25,"18-24",HR_Data[[#This Row],[Age]]&lt;35,"25-34",HR_Data[[#This Row],[Age]]&lt;45,"35-44",TRUE(),"45+")</f>
        <v>25-34</v>
      </c>
      <c r="O477">
        <f>YEAR(HR_Data[[#This Row],[Joining Date]])</f>
        <v>2024</v>
      </c>
      <c r="P477" t="str">
        <f>TEXT(HR_Data[[#This Row],[Joining Date]],"mmmm")</f>
        <v>January</v>
      </c>
      <c r="Q477">
        <f t="array" ref="Q477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77">
        <f>HR_Data[[#This Row],[Salary]]*HR_Data[[#This Row],[Bonus %]]</f>
        <v>6702.1</v>
      </c>
      <c r="S477">
        <f>HR_Data[[#This Row],[Salary]]+HR_Data[[#This Row],[Bonus Amount]]</f>
        <v>73723.100000000006</v>
      </c>
      <c r="T477" t="str">
        <f>IF(HR_Data[[#This Row],[Attrition]]="Yes","Inactive","Active")</f>
        <v>Active</v>
      </c>
      <c r="U477" t="str">
        <f t="array" ref="U477">_xlfn.IFS(HR_Data[[#This Row],[Salary]]&gt;=100000,"A",HR_Data[[#This Row],[Salary]]&gt;=70000,"B",HR_Data[[#This Row],[Salary]]&gt;=50000,"C",TRUE(),"D")</f>
        <v>C</v>
      </c>
      <c r="V477" t="str">
        <f t="array" ref="V477">_xlfn.IFS(HR_Data[[#This Row],[Experience]]&gt;=15,"Expert",HR_Data[[#This Row],[Experience]]&gt;=8,"Senior",HR_Data[[#This Row],[Experience]]&gt;=3,"Mid-Level",TRUE(),"Junior")</f>
        <v>Senior</v>
      </c>
    </row>
    <row r="478" spans="1:22" ht="14.25" customHeight="1" x14ac:dyDescent="0.3">
      <c r="A478" t="s">
        <v>1157</v>
      </c>
      <c r="B478" t="s">
        <v>294</v>
      </c>
      <c r="C478" t="s">
        <v>60</v>
      </c>
      <c r="D478" t="s">
        <v>33</v>
      </c>
      <c r="E478">
        <v>59</v>
      </c>
      <c r="F478">
        <v>141180</v>
      </c>
      <c r="G478">
        <v>35</v>
      </c>
      <c r="H478" t="s">
        <v>1158</v>
      </c>
      <c r="I478" t="s">
        <v>62</v>
      </c>
      <c r="J478" t="s">
        <v>46</v>
      </c>
      <c r="K478" t="s">
        <v>29</v>
      </c>
      <c r="L478" t="str">
        <f t="array" ref="L478">_xlfn.IFS(HR_Data[[#This Row],[Experience]]&lt;2,"0-2 Years",HR_Data[[#This Row],[Experience]]&lt;5,"2-5 Years",HR_Data[[#This Row],[Experience]]&lt;10,"5-10 Years",TRUE(),"10+ Years")</f>
        <v>10+ Years</v>
      </c>
      <c r="M478" t="str">
        <f t="array" ref="M478">_xlfn.IFS(HR_Data[[#This Row],[Salary]]&lt;40000,"Low",HR_Data[[#This Row],[Salary]]&lt;70000,"Medium",HR_Data[[#This Row],[Salary]]&lt;100000,"High",TRUE(),"Very High")</f>
        <v>Very High</v>
      </c>
      <c r="N478" t="str">
        <f t="array" ref="N478">_xlfn.IFS(HR_Data[[#This Row],[Age]]&lt;25,"18-24",HR_Data[[#This Row],[Age]]&lt;35,"25-34",HR_Data[[#This Row],[Age]]&lt;45,"35-44",TRUE(),"45+")</f>
        <v>45+</v>
      </c>
      <c r="O478">
        <f>YEAR(HR_Data[[#This Row],[Joining Date]])</f>
        <v>2024</v>
      </c>
      <c r="P478" t="str">
        <f>TEXT(HR_Data[[#This Row],[Joining Date]],"mmmm")</f>
        <v>March</v>
      </c>
      <c r="Q478">
        <f t="array" ref="Q478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478">
        <f>HR_Data[[#This Row],[Salary]]*HR_Data[[#This Row],[Bonus %]]</f>
        <v>7059</v>
      </c>
      <c r="S478">
        <f>HR_Data[[#This Row],[Salary]]+HR_Data[[#This Row],[Bonus Amount]]</f>
        <v>148239</v>
      </c>
      <c r="T478" t="str">
        <f>IF(HR_Data[[#This Row],[Attrition]]="Yes","Inactive","Active")</f>
        <v>Active</v>
      </c>
      <c r="U478" t="str">
        <f t="array" ref="U478">_xlfn.IFS(HR_Data[[#This Row],[Salary]]&gt;=100000,"A",HR_Data[[#This Row],[Salary]]&gt;=70000,"B",HR_Data[[#This Row],[Salary]]&gt;=50000,"C",TRUE(),"D")</f>
        <v>A</v>
      </c>
      <c r="V478" t="str">
        <f t="array" ref="V478">_xlfn.IFS(HR_Data[[#This Row],[Experience]]&gt;=15,"Expert",HR_Data[[#This Row],[Experience]]&gt;=8,"Senior",HR_Data[[#This Row],[Experience]]&gt;=3,"Mid-Level",TRUE(),"Junior")</f>
        <v>Expert</v>
      </c>
    </row>
    <row r="479" spans="1:22" ht="14.25" customHeight="1" x14ac:dyDescent="0.3">
      <c r="A479" t="s">
        <v>1159</v>
      </c>
      <c r="B479" t="s">
        <v>152</v>
      </c>
      <c r="C479" t="s">
        <v>112</v>
      </c>
      <c r="D479" t="s">
        <v>25</v>
      </c>
      <c r="E479">
        <v>60</v>
      </c>
      <c r="F479">
        <v>137325</v>
      </c>
      <c r="G479">
        <v>35</v>
      </c>
      <c r="H479" t="s">
        <v>1160</v>
      </c>
      <c r="I479" t="s">
        <v>72</v>
      </c>
      <c r="J479" t="s">
        <v>90</v>
      </c>
      <c r="K479" t="s">
        <v>29</v>
      </c>
      <c r="L479" t="str">
        <f t="array" ref="L479">_xlfn.IFS(HR_Data[[#This Row],[Experience]]&lt;2,"0-2 Years",HR_Data[[#This Row],[Experience]]&lt;5,"2-5 Years",HR_Data[[#This Row],[Experience]]&lt;10,"5-10 Years",TRUE(),"10+ Years")</f>
        <v>10+ Years</v>
      </c>
      <c r="M479" t="str">
        <f t="array" ref="M479">_xlfn.IFS(HR_Data[[#This Row],[Salary]]&lt;40000,"Low",HR_Data[[#This Row],[Salary]]&lt;70000,"Medium",HR_Data[[#This Row],[Salary]]&lt;100000,"High",TRUE(),"Very High")</f>
        <v>Very High</v>
      </c>
      <c r="N479" t="str">
        <f t="array" ref="N479">_xlfn.IFS(HR_Data[[#This Row],[Age]]&lt;25,"18-24",HR_Data[[#This Row],[Age]]&lt;35,"25-34",HR_Data[[#This Row],[Age]]&lt;45,"35-44",TRUE(),"45+")</f>
        <v>45+</v>
      </c>
      <c r="O479">
        <f>YEAR(HR_Data[[#This Row],[Joining Date]])</f>
        <v>2023</v>
      </c>
      <c r="P479" t="str">
        <f>TEXT(HR_Data[[#This Row],[Joining Date]],"mmmm")</f>
        <v>January</v>
      </c>
      <c r="Q479">
        <f t="array" ref="Q479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479">
        <f>HR_Data[[#This Row],[Salary]]*HR_Data[[#This Row],[Bonus %]]</f>
        <v>0</v>
      </c>
      <c r="S479">
        <f>HR_Data[[#This Row],[Salary]]+HR_Data[[#This Row],[Bonus Amount]]</f>
        <v>137325</v>
      </c>
      <c r="T479" t="str">
        <f>IF(HR_Data[[#This Row],[Attrition]]="Yes","Inactive","Active")</f>
        <v>Active</v>
      </c>
      <c r="U479" t="str">
        <f t="array" ref="U479">_xlfn.IFS(HR_Data[[#This Row],[Salary]]&gt;=100000,"A",HR_Data[[#This Row],[Salary]]&gt;=70000,"B",HR_Data[[#This Row],[Salary]]&gt;=50000,"C",TRUE(),"D")</f>
        <v>A</v>
      </c>
      <c r="V479" t="str">
        <f t="array" ref="V479">_xlfn.IFS(HR_Data[[#This Row],[Experience]]&gt;=15,"Expert",HR_Data[[#This Row],[Experience]]&gt;=8,"Senior",HR_Data[[#This Row],[Experience]]&gt;=3,"Mid-Level",TRUE(),"Junior")</f>
        <v>Expert</v>
      </c>
    </row>
    <row r="480" spans="1:22" ht="14.25" customHeight="1" x14ac:dyDescent="0.3">
      <c r="A480" t="s">
        <v>1161</v>
      </c>
      <c r="B480" t="s">
        <v>226</v>
      </c>
      <c r="C480" t="s">
        <v>112</v>
      </c>
      <c r="D480" t="s">
        <v>25</v>
      </c>
      <c r="E480">
        <v>28</v>
      </c>
      <c r="F480">
        <v>25000</v>
      </c>
      <c r="G480">
        <v>1</v>
      </c>
      <c r="H480" t="s">
        <v>712</v>
      </c>
      <c r="I480" t="s">
        <v>45</v>
      </c>
      <c r="J480" t="s">
        <v>63</v>
      </c>
      <c r="K480" t="s">
        <v>29</v>
      </c>
      <c r="L480" t="str">
        <f t="array" ref="L480">_xlfn.IFS(HR_Data[[#This Row],[Experience]]&lt;2,"0-2 Years",HR_Data[[#This Row],[Experience]]&lt;5,"2-5 Years",HR_Data[[#This Row],[Experience]]&lt;10,"5-10 Years",TRUE(),"10+ Years")</f>
        <v>0-2 Years</v>
      </c>
      <c r="M480" t="str">
        <f t="array" ref="M480">_xlfn.IFS(HR_Data[[#This Row],[Salary]]&lt;40000,"Low",HR_Data[[#This Row],[Salary]]&lt;70000,"Medium",HR_Data[[#This Row],[Salary]]&lt;100000,"High",TRUE(),"Very High")</f>
        <v>Low</v>
      </c>
      <c r="N480" t="str">
        <f t="array" ref="N480">_xlfn.IFS(HR_Data[[#This Row],[Age]]&lt;25,"18-24",HR_Data[[#This Row],[Age]]&lt;35,"25-34",HR_Data[[#This Row],[Age]]&lt;45,"35-44",TRUE(),"45+")</f>
        <v>25-34</v>
      </c>
      <c r="O480">
        <f>YEAR(HR_Data[[#This Row],[Joining Date]])</f>
        <v>2021</v>
      </c>
      <c r="P480" t="str">
        <f>TEXT(HR_Data[[#This Row],[Joining Date]],"mmmm")</f>
        <v>October</v>
      </c>
      <c r="Q480">
        <f t="array" ref="Q480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480">
        <f>HR_Data[[#This Row],[Salary]]*HR_Data[[#This Row],[Bonus %]]</f>
        <v>5000</v>
      </c>
      <c r="S480">
        <f>HR_Data[[#This Row],[Salary]]+HR_Data[[#This Row],[Bonus Amount]]</f>
        <v>30000</v>
      </c>
      <c r="T480" t="str">
        <f>IF(HR_Data[[#This Row],[Attrition]]="Yes","Inactive","Active")</f>
        <v>Active</v>
      </c>
      <c r="U480" t="str">
        <f t="array" ref="U480">_xlfn.IFS(HR_Data[[#This Row],[Salary]]&gt;=100000,"A",HR_Data[[#This Row],[Salary]]&gt;=70000,"B",HR_Data[[#This Row],[Salary]]&gt;=50000,"C",TRUE(),"D")</f>
        <v>D</v>
      </c>
      <c r="V480" t="str">
        <f t="array" ref="V480">_xlfn.IFS(HR_Data[[#This Row],[Experience]]&gt;=15,"Expert",HR_Data[[#This Row],[Experience]]&gt;=8,"Senior",HR_Data[[#This Row],[Experience]]&gt;=3,"Mid-Level",TRUE(),"Junior")</f>
        <v>Junior</v>
      </c>
    </row>
    <row r="481" spans="1:22" ht="14.25" customHeight="1" x14ac:dyDescent="0.3">
      <c r="A481" t="s">
        <v>1162</v>
      </c>
      <c r="B481" t="s">
        <v>1090</v>
      </c>
      <c r="C481" t="s">
        <v>134</v>
      </c>
      <c r="D481" t="s">
        <v>25</v>
      </c>
      <c r="E481">
        <v>59</v>
      </c>
      <c r="F481">
        <v>138099</v>
      </c>
      <c r="G481">
        <v>32</v>
      </c>
      <c r="H481" t="s">
        <v>1163</v>
      </c>
      <c r="I481" t="s">
        <v>72</v>
      </c>
      <c r="J481" t="s">
        <v>63</v>
      </c>
      <c r="K481" t="s">
        <v>29</v>
      </c>
      <c r="L481" t="str">
        <f t="array" ref="L481">_xlfn.IFS(HR_Data[[#This Row],[Experience]]&lt;2,"0-2 Years",HR_Data[[#This Row],[Experience]]&lt;5,"2-5 Years",HR_Data[[#This Row],[Experience]]&lt;10,"5-10 Years",TRUE(),"10+ Years")</f>
        <v>10+ Years</v>
      </c>
      <c r="M481" t="str">
        <f t="array" ref="M481">_xlfn.IFS(HR_Data[[#This Row],[Salary]]&lt;40000,"Low",HR_Data[[#This Row],[Salary]]&lt;70000,"Medium",HR_Data[[#This Row],[Salary]]&lt;100000,"High",TRUE(),"Very High")</f>
        <v>Very High</v>
      </c>
      <c r="N481" t="str">
        <f t="array" ref="N481">_xlfn.IFS(HR_Data[[#This Row],[Age]]&lt;25,"18-24",HR_Data[[#This Row],[Age]]&lt;35,"25-34",HR_Data[[#This Row],[Age]]&lt;45,"35-44",TRUE(),"45+")</f>
        <v>45+</v>
      </c>
      <c r="O481">
        <f>YEAR(HR_Data[[#This Row],[Joining Date]])</f>
        <v>2018</v>
      </c>
      <c r="P481" t="str">
        <f>TEXT(HR_Data[[#This Row],[Joining Date]],"mmmm")</f>
        <v>June</v>
      </c>
      <c r="Q481">
        <f t="array" ref="Q481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481">
        <f>HR_Data[[#This Row],[Salary]]*HR_Data[[#This Row],[Bonus %]]</f>
        <v>27619.800000000003</v>
      </c>
      <c r="S481">
        <f>HR_Data[[#This Row],[Salary]]+HR_Data[[#This Row],[Bonus Amount]]</f>
        <v>165718.79999999999</v>
      </c>
      <c r="T481" t="str">
        <f>IF(HR_Data[[#This Row],[Attrition]]="Yes","Inactive","Active")</f>
        <v>Active</v>
      </c>
      <c r="U481" t="str">
        <f t="array" ref="U481">_xlfn.IFS(HR_Data[[#This Row],[Salary]]&gt;=100000,"A",HR_Data[[#This Row],[Salary]]&gt;=70000,"B",HR_Data[[#This Row],[Salary]]&gt;=50000,"C",TRUE(),"D")</f>
        <v>A</v>
      </c>
      <c r="V481" t="str">
        <f t="array" ref="V481">_xlfn.IFS(HR_Data[[#This Row],[Experience]]&gt;=15,"Expert",HR_Data[[#This Row],[Experience]]&gt;=8,"Senior",HR_Data[[#This Row],[Experience]]&gt;=3,"Mid-Level",TRUE(),"Junior")</f>
        <v>Expert</v>
      </c>
    </row>
    <row r="482" spans="1:22" ht="14.25" customHeight="1" x14ac:dyDescent="0.3">
      <c r="A482" t="s">
        <v>1164</v>
      </c>
      <c r="B482" t="s">
        <v>190</v>
      </c>
      <c r="C482" t="s">
        <v>55</v>
      </c>
      <c r="D482" t="s">
        <v>25</v>
      </c>
      <c r="E482">
        <v>37</v>
      </c>
      <c r="F482">
        <v>73396</v>
      </c>
      <c r="G482">
        <v>15</v>
      </c>
      <c r="H482" t="s">
        <v>1165</v>
      </c>
      <c r="I482" t="s">
        <v>132</v>
      </c>
      <c r="J482" t="s">
        <v>63</v>
      </c>
      <c r="K482" t="s">
        <v>29</v>
      </c>
      <c r="L482" t="str">
        <f t="array" ref="L482">_xlfn.IFS(HR_Data[[#This Row],[Experience]]&lt;2,"0-2 Years",HR_Data[[#This Row],[Experience]]&lt;5,"2-5 Years",HR_Data[[#This Row],[Experience]]&lt;10,"5-10 Years",TRUE(),"10+ Years")</f>
        <v>10+ Years</v>
      </c>
      <c r="M482" t="str">
        <f t="array" ref="M482">_xlfn.IFS(HR_Data[[#This Row],[Salary]]&lt;40000,"Low",HR_Data[[#This Row],[Salary]]&lt;70000,"Medium",HR_Data[[#This Row],[Salary]]&lt;100000,"High",TRUE(),"Very High")</f>
        <v>High</v>
      </c>
      <c r="N482" t="str">
        <f t="array" ref="N482">_xlfn.IFS(HR_Data[[#This Row],[Age]]&lt;25,"18-24",HR_Data[[#This Row],[Age]]&lt;35,"25-34",HR_Data[[#This Row],[Age]]&lt;45,"35-44",TRUE(),"45+")</f>
        <v>35-44</v>
      </c>
      <c r="O482">
        <f>YEAR(HR_Data[[#This Row],[Joining Date]])</f>
        <v>2021</v>
      </c>
      <c r="P482" t="str">
        <f>TEXT(HR_Data[[#This Row],[Joining Date]],"mmmm")</f>
        <v>September</v>
      </c>
      <c r="Q482">
        <f t="array" ref="Q482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482">
        <f>HR_Data[[#This Row],[Salary]]*HR_Data[[#This Row],[Bonus %]]</f>
        <v>14679.2</v>
      </c>
      <c r="S482">
        <f>HR_Data[[#This Row],[Salary]]+HR_Data[[#This Row],[Bonus Amount]]</f>
        <v>88075.199999999997</v>
      </c>
      <c r="T482" t="str">
        <f>IF(HR_Data[[#This Row],[Attrition]]="Yes","Inactive","Active")</f>
        <v>Active</v>
      </c>
      <c r="U482" t="str">
        <f t="array" ref="U482">_xlfn.IFS(HR_Data[[#This Row],[Salary]]&gt;=100000,"A",HR_Data[[#This Row],[Salary]]&gt;=70000,"B",HR_Data[[#This Row],[Salary]]&gt;=50000,"C",TRUE(),"D")</f>
        <v>B</v>
      </c>
      <c r="V482" t="str">
        <f t="array" ref="V482">_xlfn.IFS(HR_Data[[#This Row],[Experience]]&gt;=15,"Expert",HR_Data[[#This Row],[Experience]]&gt;=8,"Senior",HR_Data[[#This Row],[Experience]]&gt;=3,"Mid-Level",TRUE(),"Junior")</f>
        <v>Expert</v>
      </c>
    </row>
    <row r="483" spans="1:22" ht="14.25" customHeight="1" x14ac:dyDescent="0.3">
      <c r="A483" t="s">
        <v>1166</v>
      </c>
      <c r="B483" t="s">
        <v>264</v>
      </c>
      <c r="C483" t="s">
        <v>40</v>
      </c>
      <c r="D483" t="s">
        <v>33</v>
      </c>
      <c r="E483">
        <v>60</v>
      </c>
      <c r="F483">
        <v>135081</v>
      </c>
      <c r="G483">
        <v>31</v>
      </c>
      <c r="H483" t="s">
        <v>1167</v>
      </c>
      <c r="I483" t="s">
        <v>67</v>
      </c>
      <c r="J483" t="s">
        <v>36</v>
      </c>
      <c r="K483" t="s">
        <v>29</v>
      </c>
      <c r="L483" t="str">
        <f t="array" ref="L483">_xlfn.IFS(HR_Data[[#This Row],[Experience]]&lt;2,"0-2 Years",HR_Data[[#This Row],[Experience]]&lt;5,"2-5 Years",HR_Data[[#This Row],[Experience]]&lt;10,"5-10 Years",TRUE(),"10+ Years")</f>
        <v>10+ Years</v>
      </c>
      <c r="M483" t="str">
        <f t="array" ref="M483">_xlfn.IFS(HR_Data[[#This Row],[Salary]]&lt;40000,"Low",HR_Data[[#This Row],[Salary]]&lt;70000,"Medium",HR_Data[[#This Row],[Salary]]&lt;100000,"High",TRUE(),"Very High")</f>
        <v>Very High</v>
      </c>
      <c r="N483" t="str">
        <f t="array" ref="N483">_xlfn.IFS(HR_Data[[#This Row],[Age]]&lt;25,"18-24",HR_Data[[#This Row],[Age]]&lt;35,"25-34",HR_Data[[#This Row],[Age]]&lt;45,"35-44",TRUE(),"45+")</f>
        <v>45+</v>
      </c>
      <c r="O483">
        <f>YEAR(HR_Data[[#This Row],[Joining Date]])</f>
        <v>2017</v>
      </c>
      <c r="P483" t="str">
        <f>TEXT(HR_Data[[#This Row],[Joining Date]],"mmmm")</f>
        <v>February</v>
      </c>
      <c r="Q483">
        <f t="array" ref="Q483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83">
        <f>HR_Data[[#This Row],[Salary]]*HR_Data[[#This Row],[Bonus %]]</f>
        <v>13508.1</v>
      </c>
      <c r="S483">
        <f>HR_Data[[#This Row],[Salary]]+HR_Data[[#This Row],[Bonus Amount]]</f>
        <v>148589.1</v>
      </c>
      <c r="T483" t="str">
        <f>IF(HR_Data[[#This Row],[Attrition]]="Yes","Inactive","Active")</f>
        <v>Active</v>
      </c>
      <c r="U483" t="str">
        <f t="array" ref="U483">_xlfn.IFS(HR_Data[[#This Row],[Salary]]&gt;=100000,"A",HR_Data[[#This Row],[Salary]]&gt;=70000,"B",HR_Data[[#This Row],[Salary]]&gt;=50000,"C",TRUE(),"D")</f>
        <v>A</v>
      </c>
      <c r="V483" t="str">
        <f t="array" ref="V483">_xlfn.IFS(HR_Data[[#This Row],[Experience]]&gt;=15,"Expert",HR_Data[[#This Row],[Experience]]&gt;=8,"Senior",HR_Data[[#This Row],[Experience]]&gt;=3,"Mid-Level",TRUE(),"Junior")</f>
        <v>Expert</v>
      </c>
    </row>
    <row r="484" spans="1:22" ht="14.25" customHeight="1" x14ac:dyDescent="0.3">
      <c r="A484" t="s">
        <v>1168</v>
      </c>
      <c r="B484" t="s">
        <v>582</v>
      </c>
      <c r="C484" t="s">
        <v>32</v>
      </c>
      <c r="D484" t="s">
        <v>33</v>
      </c>
      <c r="E484">
        <v>47</v>
      </c>
      <c r="F484">
        <v>101048</v>
      </c>
      <c r="G484">
        <v>22</v>
      </c>
      <c r="H484" t="s">
        <v>1169</v>
      </c>
      <c r="I484" t="s">
        <v>80</v>
      </c>
      <c r="J484" t="s">
        <v>46</v>
      </c>
      <c r="K484" t="s">
        <v>29</v>
      </c>
      <c r="L484" t="str">
        <f t="array" ref="L484">_xlfn.IFS(HR_Data[[#This Row],[Experience]]&lt;2,"0-2 Years",HR_Data[[#This Row],[Experience]]&lt;5,"2-5 Years",HR_Data[[#This Row],[Experience]]&lt;10,"5-10 Years",TRUE(),"10+ Years")</f>
        <v>10+ Years</v>
      </c>
      <c r="M484" t="str">
        <f t="array" ref="M484">_xlfn.IFS(HR_Data[[#This Row],[Salary]]&lt;40000,"Low",HR_Data[[#This Row],[Salary]]&lt;70000,"Medium",HR_Data[[#This Row],[Salary]]&lt;100000,"High",TRUE(),"Very High")</f>
        <v>Very High</v>
      </c>
      <c r="N484" t="str">
        <f t="array" ref="N484">_xlfn.IFS(HR_Data[[#This Row],[Age]]&lt;25,"18-24",HR_Data[[#This Row],[Age]]&lt;35,"25-34",HR_Data[[#This Row],[Age]]&lt;45,"35-44",TRUE(),"45+")</f>
        <v>45+</v>
      </c>
      <c r="O484">
        <f>YEAR(HR_Data[[#This Row],[Joining Date]])</f>
        <v>2017</v>
      </c>
      <c r="P484" t="str">
        <f>TEXT(HR_Data[[#This Row],[Joining Date]],"mmmm")</f>
        <v>September</v>
      </c>
      <c r="Q484">
        <f t="array" ref="Q484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484">
        <f>HR_Data[[#This Row],[Salary]]*HR_Data[[#This Row],[Bonus %]]</f>
        <v>5052.4000000000005</v>
      </c>
      <c r="S484">
        <f>HR_Data[[#This Row],[Salary]]+HR_Data[[#This Row],[Bonus Amount]]</f>
        <v>106100.4</v>
      </c>
      <c r="T484" t="str">
        <f>IF(HR_Data[[#This Row],[Attrition]]="Yes","Inactive","Active")</f>
        <v>Active</v>
      </c>
      <c r="U484" t="str">
        <f t="array" ref="U484">_xlfn.IFS(HR_Data[[#This Row],[Salary]]&gt;=100000,"A",HR_Data[[#This Row],[Salary]]&gt;=70000,"B",HR_Data[[#This Row],[Salary]]&gt;=50000,"C",TRUE(),"D")</f>
        <v>A</v>
      </c>
      <c r="V484" t="str">
        <f t="array" ref="V484">_xlfn.IFS(HR_Data[[#This Row],[Experience]]&gt;=15,"Expert",HR_Data[[#This Row],[Experience]]&gt;=8,"Senior",HR_Data[[#This Row],[Experience]]&gt;=3,"Mid-Level",TRUE(),"Junior")</f>
        <v>Expert</v>
      </c>
    </row>
    <row r="485" spans="1:22" ht="14.25" customHeight="1" x14ac:dyDescent="0.3">
      <c r="A485" t="s">
        <v>1170</v>
      </c>
      <c r="B485" t="s">
        <v>605</v>
      </c>
      <c r="C485" t="s">
        <v>32</v>
      </c>
      <c r="D485" t="s">
        <v>25</v>
      </c>
      <c r="E485">
        <v>52</v>
      </c>
      <c r="F485">
        <v>133063</v>
      </c>
      <c r="G485">
        <v>33</v>
      </c>
      <c r="H485" t="s">
        <v>1171</v>
      </c>
      <c r="I485" t="s">
        <v>72</v>
      </c>
      <c r="J485" t="s">
        <v>28</v>
      </c>
      <c r="K485" t="s">
        <v>29</v>
      </c>
      <c r="L485" t="str">
        <f t="array" ref="L485">_xlfn.IFS(HR_Data[[#This Row],[Experience]]&lt;2,"0-2 Years",HR_Data[[#This Row],[Experience]]&lt;5,"2-5 Years",HR_Data[[#This Row],[Experience]]&lt;10,"5-10 Years",TRUE(),"10+ Years")</f>
        <v>10+ Years</v>
      </c>
      <c r="M485" t="str">
        <f t="array" ref="M485">_xlfn.IFS(HR_Data[[#This Row],[Salary]]&lt;40000,"Low",HR_Data[[#This Row],[Salary]]&lt;70000,"Medium",HR_Data[[#This Row],[Salary]]&lt;100000,"High",TRUE(),"Very High")</f>
        <v>Very High</v>
      </c>
      <c r="N485" t="str">
        <f t="array" ref="N485">_xlfn.IFS(HR_Data[[#This Row],[Age]]&lt;25,"18-24",HR_Data[[#This Row],[Age]]&lt;35,"25-34",HR_Data[[#This Row],[Age]]&lt;45,"35-44",TRUE(),"45+")</f>
        <v>45+</v>
      </c>
      <c r="O485">
        <f>YEAR(HR_Data[[#This Row],[Joining Date]])</f>
        <v>2018</v>
      </c>
      <c r="P485" t="str">
        <f>TEXT(HR_Data[[#This Row],[Joining Date]],"mmmm")</f>
        <v>May</v>
      </c>
      <c r="Q485">
        <f t="array" ref="Q485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85">
        <f>HR_Data[[#This Row],[Salary]]*HR_Data[[#This Row],[Bonus %]]</f>
        <v>19959.45</v>
      </c>
      <c r="S485">
        <f>HR_Data[[#This Row],[Salary]]+HR_Data[[#This Row],[Bonus Amount]]</f>
        <v>153022.45000000001</v>
      </c>
      <c r="T485" t="str">
        <f>IF(HR_Data[[#This Row],[Attrition]]="Yes","Inactive","Active")</f>
        <v>Active</v>
      </c>
      <c r="U485" t="str">
        <f t="array" ref="U485">_xlfn.IFS(HR_Data[[#This Row],[Salary]]&gt;=100000,"A",HR_Data[[#This Row],[Salary]]&gt;=70000,"B",HR_Data[[#This Row],[Salary]]&gt;=50000,"C",TRUE(),"D")</f>
        <v>A</v>
      </c>
      <c r="V485" t="str">
        <f t="array" ref="V485">_xlfn.IFS(HR_Data[[#This Row],[Experience]]&gt;=15,"Expert",HR_Data[[#This Row],[Experience]]&gt;=8,"Senior",HR_Data[[#This Row],[Experience]]&gt;=3,"Mid-Level",TRUE(),"Junior")</f>
        <v>Expert</v>
      </c>
    </row>
    <row r="486" spans="1:22" ht="14.25" customHeight="1" x14ac:dyDescent="0.3">
      <c r="A486" t="s">
        <v>1172</v>
      </c>
      <c r="B486" t="s">
        <v>518</v>
      </c>
      <c r="C486" t="s">
        <v>40</v>
      </c>
      <c r="D486" t="s">
        <v>25</v>
      </c>
      <c r="E486">
        <v>52</v>
      </c>
      <c r="F486">
        <v>126677</v>
      </c>
      <c r="G486">
        <v>32</v>
      </c>
      <c r="H486" t="s">
        <v>1173</v>
      </c>
      <c r="I486" t="s">
        <v>72</v>
      </c>
      <c r="J486" t="s">
        <v>28</v>
      </c>
      <c r="K486" t="s">
        <v>29</v>
      </c>
      <c r="L486" t="str">
        <f t="array" ref="L486">_xlfn.IFS(HR_Data[[#This Row],[Experience]]&lt;2,"0-2 Years",HR_Data[[#This Row],[Experience]]&lt;5,"2-5 Years",HR_Data[[#This Row],[Experience]]&lt;10,"5-10 Years",TRUE(),"10+ Years")</f>
        <v>10+ Years</v>
      </c>
      <c r="M486" t="str">
        <f t="array" ref="M486">_xlfn.IFS(HR_Data[[#This Row],[Salary]]&lt;40000,"Low",HR_Data[[#This Row],[Salary]]&lt;70000,"Medium",HR_Data[[#This Row],[Salary]]&lt;100000,"High",TRUE(),"Very High")</f>
        <v>Very High</v>
      </c>
      <c r="N486" t="str">
        <f t="array" ref="N486">_xlfn.IFS(HR_Data[[#This Row],[Age]]&lt;25,"18-24",HR_Data[[#This Row],[Age]]&lt;35,"25-34",HR_Data[[#This Row],[Age]]&lt;45,"35-44",TRUE(),"45+")</f>
        <v>45+</v>
      </c>
      <c r="O486">
        <f>YEAR(HR_Data[[#This Row],[Joining Date]])</f>
        <v>2024</v>
      </c>
      <c r="P486" t="str">
        <f>TEXT(HR_Data[[#This Row],[Joining Date]],"mmmm")</f>
        <v>September</v>
      </c>
      <c r="Q486">
        <f t="array" ref="Q486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86">
        <f>HR_Data[[#This Row],[Salary]]*HR_Data[[#This Row],[Bonus %]]</f>
        <v>19001.55</v>
      </c>
      <c r="S486">
        <f>HR_Data[[#This Row],[Salary]]+HR_Data[[#This Row],[Bonus Amount]]</f>
        <v>145678.54999999999</v>
      </c>
      <c r="T486" t="str">
        <f>IF(HR_Data[[#This Row],[Attrition]]="Yes","Inactive","Active")</f>
        <v>Active</v>
      </c>
      <c r="U486" t="str">
        <f t="array" ref="U486">_xlfn.IFS(HR_Data[[#This Row],[Salary]]&gt;=100000,"A",HR_Data[[#This Row],[Salary]]&gt;=70000,"B",HR_Data[[#This Row],[Salary]]&gt;=50000,"C",TRUE(),"D")</f>
        <v>A</v>
      </c>
      <c r="V486" t="str">
        <f t="array" ref="V486">_xlfn.IFS(HR_Data[[#This Row],[Experience]]&gt;=15,"Expert",HR_Data[[#This Row],[Experience]]&gt;=8,"Senior",HR_Data[[#This Row],[Experience]]&gt;=3,"Mid-Level",TRUE(),"Junior")</f>
        <v>Expert</v>
      </c>
    </row>
    <row r="487" spans="1:22" ht="14.25" customHeight="1" x14ac:dyDescent="0.3">
      <c r="A487" t="s">
        <v>1174</v>
      </c>
      <c r="B487" t="s">
        <v>1090</v>
      </c>
      <c r="C487" t="s">
        <v>93</v>
      </c>
      <c r="D487" t="s">
        <v>33</v>
      </c>
      <c r="E487">
        <v>30</v>
      </c>
      <c r="F487">
        <v>39680</v>
      </c>
      <c r="G487">
        <v>3</v>
      </c>
      <c r="H487" t="s">
        <v>1100</v>
      </c>
      <c r="I487" t="s">
        <v>35</v>
      </c>
      <c r="J487" t="s">
        <v>63</v>
      </c>
      <c r="K487" t="s">
        <v>29</v>
      </c>
      <c r="L487" t="str">
        <f t="array" ref="L487">_xlfn.IFS(HR_Data[[#This Row],[Experience]]&lt;2,"0-2 Years",HR_Data[[#This Row],[Experience]]&lt;5,"2-5 Years",HR_Data[[#This Row],[Experience]]&lt;10,"5-10 Years",TRUE(),"10+ Years")</f>
        <v>2-5 Years</v>
      </c>
      <c r="M487" t="str">
        <f t="array" ref="M487">_xlfn.IFS(HR_Data[[#This Row],[Salary]]&lt;40000,"Low",HR_Data[[#This Row],[Salary]]&lt;70000,"Medium",HR_Data[[#This Row],[Salary]]&lt;100000,"High",TRUE(),"Very High")</f>
        <v>Low</v>
      </c>
      <c r="N487" t="str">
        <f t="array" ref="N487">_xlfn.IFS(HR_Data[[#This Row],[Age]]&lt;25,"18-24",HR_Data[[#This Row],[Age]]&lt;35,"25-34",HR_Data[[#This Row],[Age]]&lt;45,"35-44",TRUE(),"45+")</f>
        <v>25-34</v>
      </c>
      <c r="O487">
        <f>YEAR(HR_Data[[#This Row],[Joining Date]])</f>
        <v>2020</v>
      </c>
      <c r="P487" t="str">
        <f>TEXT(HR_Data[[#This Row],[Joining Date]],"mmmm")</f>
        <v>November</v>
      </c>
      <c r="Q487">
        <f t="array" ref="Q487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487">
        <f>HR_Data[[#This Row],[Salary]]*HR_Data[[#This Row],[Bonus %]]</f>
        <v>7936</v>
      </c>
      <c r="S487">
        <f>HR_Data[[#This Row],[Salary]]+HR_Data[[#This Row],[Bonus Amount]]</f>
        <v>47616</v>
      </c>
      <c r="T487" t="str">
        <f>IF(HR_Data[[#This Row],[Attrition]]="Yes","Inactive","Active")</f>
        <v>Active</v>
      </c>
      <c r="U487" t="str">
        <f t="array" ref="U487">_xlfn.IFS(HR_Data[[#This Row],[Salary]]&gt;=100000,"A",HR_Data[[#This Row],[Salary]]&gt;=70000,"B",HR_Data[[#This Row],[Salary]]&gt;=50000,"C",TRUE(),"D")</f>
        <v>D</v>
      </c>
      <c r="V487" t="str">
        <f t="array" ref="V487">_xlfn.IFS(HR_Data[[#This Row],[Experience]]&gt;=15,"Expert",HR_Data[[#This Row],[Experience]]&gt;=8,"Senior",HR_Data[[#This Row],[Experience]]&gt;=3,"Mid-Level",TRUE(),"Junior")</f>
        <v>Mid-Level</v>
      </c>
    </row>
    <row r="488" spans="1:22" ht="14.25" customHeight="1" x14ac:dyDescent="0.3">
      <c r="A488" t="s">
        <v>1175</v>
      </c>
      <c r="B488" t="s">
        <v>538</v>
      </c>
      <c r="C488" t="s">
        <v>60</v>
      </c>
      <c r="D488" t="s">
        <v>33</v>
      </c>
      <c r="E488">
        <v>54</v>
      </c>
      <c r="F488">
        <v>115721</v>
      </c>
      <c r="G488">
        <v>25</v>
      </c>
      <c r="H488" t="s">
        <v>1176</v>
      </c>
      <c r="I488" t="s">
        <v>80</v>
      </c>
      <c r="J488" t="s">
        <v>36</v>
      </c>
      <c r="K488" t="s">
        <v>29</v>
      </c>
      <c r="L488" t="str">
        <f t="array" ref="L488">_xlfn.IFS(HR_Data[[#This Row],[Experience]]&lt;2,"0-2 Years",HR_Data[[#This Row],[Experience]]&lt;5,"2-5 Years",HR_Data[[#This Row],[Experience]]&lt;10,"5-10 Years",TRUE(),"10+ Years")</f>
        <v>10+ Years</v>
      </c>
      <c r="M488" t="str">
        <f t="array" ref="M488">_xlfn.IFS(HR_Data[[#This Row],[Salary]]&lt;40000,"Low",HR_Data[[#This Row],[Salary]]&lt;70000,"Medium",HR_Data[[#This Row],[Salary]]&lt;100000,"High",TRUE(),"Very High")</f>
        <v>Very High</v>
      </c>
      <c r="N488" t="str">
        <f t="array" ref="N488">_xlfn.IFS(HR_Data[[#This Row],[Age]]&lt;25,"18-24",HR_Data[[#This Row],[Age]]&lt;35,"25-34",HR_Data[[#This Row],[Age]]&lt;45,"35-44",TRUE(),"45+")</f>
        <v>45+</v>
      </c>
      <c r="O488">
        <f>YEAR(HR_Data[[#This Row],[Joining Date]])</f>
        <v>2019</v>
      </c>
      <c r="P488" t="str">
        <f>TEXT(HR_Data[[#This Row],[Joining Date]],"mmmm")</f>
        <v>May</v>
      </c>
      <c r="Q488">
        <f t="array" ref="Q48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88">
        <f>HR_Data[[#This Row],[Salary]]*HR_Data[[#This Row],[Bonus %]]</f>
        <v>11572.1</v>
      </c>
      <c r="S488">
        <f>HR_Data[[#This Row],[Salary]]+HR_Data[[#This Row],[Bonus Amount]]</f>
        <v>127293.1</v>
      </c>
      <c r="T488" t="str">
        <f>IF(HR_Data[[#This Row],[Attrition]]="Yes","Inactive","Active")</f>
        <v>Active</v>
      </c>
      <c r="U488" t="str">
        <f t="array" ref="U488">_xlfn.IFS(HR_Data[[#This Row],[Salary]]&gt;=100000,"A",HR_Data[[#This Row],[Salary]]&gt;=70000,"B",HR_Data[[#This Row],[Salary]]&gt;=50000,"C",TRUE(),"D")</f>
        <v>A</v>
      </c>
      <c r="V488" t="str">
        <f t="array" ref="V488">_xlfn.IFS(HR_Data[[#This Row],[Experience]]&gt;=15,"Expert",HR_Data[[#This Row],[Experience]]&gt;=8,"Senior",HR_Data[[#This Row],[Experience]]&gt;=3,"Mid-Level",TRUE(),"Junior")</f>
        <v>Expert</v>
      </c>
    </row>
    <row r="489" spans="1:22" ht="14.25" customHeight="1" x14ac:dyDescent="0.3">
      <c r="A489" t="s">
        <v>1177</v>
      </c>
      <c r="B489" t="s">
        <v>468</v>
      </c>
      <c r="C489" t="s">
        <v>60</v>
      </c>
      <c r="D489" t="s">
        <v>25</v>
      </c>
      <c r="E489">
        <v>51</v>
      </c>
      <c r="F489">
        <v>122274</v>
      </c>
      <c r="G489">
        <v>27</v>
      </c>
      <c r="H489" t="s">
        <v>1178</v>
      </c>
      <c r="I489" t="s">
        <v>67</v>
      </c>
      <c r="J489" t="s">
        <v>63</v>
      </c>
      <c r="K489" t="s">
        <v>29</v>
      </c>
      <c r="L489" t="str">
        <f t="array" ref="L489">_xlfn.IFS(HR_Data[[#This Row],[Experience]]&lt;2,"0-2 Years",HR_Data[[#This Row],[Experience]]&lt;5,"2-5 Years",HR_Data[[#This Row],[Experience]]&lt;10,"5-10 Years",TRUE(),"10+ Years")</f>
        <v>10+ Years</v>
      </c>
      <c r="M489" t="str">
        <f t="array" ref="M489">_xlfn.IFS(HR_Data[[#This Row],[Salary]]&lt;40000,"Low",HR_Data[[#This Row],[Salary]]&lt;70000,"Medium",HR_Data[[#This Row],[Salary]]&lt;100000,"High",TRUE(),"Very High")</f>
        <v>Very High</v>
      </c>
      <c r="N489" t="str">
        <f t="array" ref="N489">_xlfn.IFS(HR_Data[[#This Row],[Age]]&lt;25,"18-24",HR_Data[[#This Row],[Age]]&lt;35,"25-34",HR_Data[[#This Row],[Age]]&lt;45,"35-44",TRUE(),"45+")</f>
        <v>45+</v>
      </c>
      <c r="O489">
        <f>YEAR(HR_Data[[#This Row],[Joining Date]])</f>
        <v>2017</v>
      </c>
      <c r="P489" t="str">
        <f>TEXT(HR_Data[[#This Row],[Joining Date]],"mmmm")</f>
        <v>January</v>
      </c>
      <c r="Q489">
        <f t="array" ref="Q489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489">
        <f>HR_Data[[#This Row],[Salary]]*HR_Data[[#This Row],[Bonus %]]</f>
        <v>24454.800000000003</v>
      </c>
      <c r="S489">
        <f>HR_Data[[#This Row],[Salary]]+HR_Data[[#This Row],[Bonus Amount]]</f>
        <v>146728.79999999999</v>
      </c>
      <c r="T489" t="str">
        <f>IF(HR_Data[[#This Row],[Attrition]]="Yes","Inactive","Active")</f>
        <v>Active</v>
      </c>
      <c r="U489" t="str">
        <f t="array" ref="U489">_xlfn.IFS(HR_Data[[#This Row],[Salary]]&gt;=100000,"A",HR_Data[[#This Row],[Salary]]&gt;=70000,"B",HR_Data[[#This Row],[Salary]]&gt;=50000,"C",TRUE(),"D")</f>
        <v>A</v>
      </c>
      <c r="V489" t="str">
        <f t="array" ref="V489">_xlfn.IFS(HR_Data[[#This Row],[Experience]]&gt;=15,"Expert",HR_Data[[#This Row],[Experience]]&gt;=8,"Senior",HR_Data[[#This Row],[Experience]]&gt;=3,"Mid-Level",TRUE(),"Junior")</f>
        <v>Expert</v>
      </c>
    </row>
    <row r="490" spans="1:22" ht="14.25" customHeight="1" x14ac:dyDescent="0.3">
      <c r="A490" t="s">
        <v>1179</v>
      </c>
      <c r="B490" t="s">
        <v>561</v>
      </c>
      <c r="C490" t="s">
        <v>70</v>
      </c>
      <c r="D490" t="s">
        <v>25</v>
      </c>
      <c r="E490">
        <v>24</v>
      </c>
      <c r="F490">
        <v>25746</v>
      </c>
      <c r="G490">
        <v>1</v>
      </c>
      <c r="H490" t="s">
        <v>1180</v>
      </c>
      <c r="I490" t="s">
        <v>27</v>
      </c>
      <c r="J490" t="s">
        <v>36</v>
      </c>
      <c r="K490" t="s">
        <v>29</v>
      </c>
      <c r="L490" t="str">
        <f t="array" ref="L490">_xlfn.IFS(HR_Data[[#This Row],[Experience]]&lt;2,"0-2 Years",HR_Data[[#This Row],[Experience]]&lt;5,"2-5 Years",HR_Data[[#This Row],[Experience]]&lt;10,"5-10 Years",TRUE(),"10+ Years")</f>
        <v>0-2 Years</v>
      </c>
      <c r="M490" t="str">
        <f t="array" ref="M490">_xlfn.IFS(HR_Data[[#This Row],[Salary]]&lt;40000,"Low",HR_Data[[#This Row],[Salary]]&lt;70000,"Medium",HR_Data[[#This Row],[Salary]]&lt;100000,"High",TRUE(),"Very High")</f>
        <v>Low</v>
      </c>
      <c r="N490" t="str">
        <f t="array" ref="N490">_xlfn.IFS(HR_Data[[#This Row],[Age]]&lt;25,"18-24",HR_Data[[#This Row],[Age]]&lt;35,"25-34",HR_Data[[#This Row],[Age]]&lt;45,"35-44",TRUE(),"45+")</f>
        <v>18-24</v>
      </c>
      <c r="O490">
        <f>YEAR(HR_Data[[#This Row],[Joining Date]])</f>
        <v>2022</v>
      </c>
      <c r="P490" t="str">
        <f>TEXT(HR_Data[[#This Row],[Joining Date]],"mmmm")</f>
        <v>November</v>
      </c>
      <c r="Q490">
        <f t="array" ref="Q49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90">
        <f>HR_Data[[#This Row],[Salary]]*HR_Data[[#This Row],[Bonus %]]</f>
        <v>2574.6000000000004</v>
      </c>
      <c r="S490">
        <f>HR_Data[[#This Row],[Salary]]+HR_Data[[#This Row],[Bonus Amount]]</f>
        <v>28320.6</v>
      </c>
      <c r="T490" t="str">
        <f>IF(HR_Data[[#This Row],[Attrition]]="Yes","Inactive","Active")</f>
        <v>Active</v>
      </c>
      <c r="U490" t="str">
        <f t="array" ref="U490">_xlfn.IFS(HR_Data[[#This Row],[Salary]]&gt;=100000,"A",HR_Data[[#This Row],[Salary]]&gt;=70000,"B",HR_Data[[#This Row],[Salary]]&gt;=50000,"C",TRUE(),"D")</f>
        <v>D</v>
      </c>
      <c r="V490" t="str">
        <f t="array" ref="V490">_xlfn.IFS(HR_Data[[#This Row],[Experience]]&gt;=15,"Expert",HR_Data[[#This Row],[Experience]]&gt;=8,"Senior",HR_Data[[#This Row],[Experience]]&gt;=3,"Mid-Level",TRUE(),"Junior")</f>
        <v>Junior</v>
      </c>
    </row>
    <row r="491" spans="1:22" ht="14.25" customHeight="1" x14ac:dyDescent="0.3">
      <c r="A491" t="s">
        <v>1181</v>
      </c>
      <c r="B491" t="s">
        <v>670</v>
      </c>
      <c r="C491" t="s">
        <v>60</v>
      </c>
      <c r="D491" t="s">
        <v>33</v>
      </c>
      <c r="E491">
        <v>36</v>
      </c>
      <c r="F491">
        <v>74049</v>
      </c>
      <c r="G491">
        <v>14</v>
      </c>
      <c r="H491" t="s">
        <v>1182</v>
      </c>
      <c r="I491" t="s">
        <v>80</v>
      </c>
      <c r="J491" t="s">
        <v>46</v>
      </c>
      <c r="K491" t="s">
        <v>29</v>
      </c>
      <c r="L491" t="str">
        <f t="array" ref="L491">_xlfn.IFS(HR_Data[[#This Row],[Experience]]&lt;2,"0-2 Years",HR_Data[[#This Row],[Experience]]&lt;5,"2-5 Years",HR_Data[[#This Row],[Experience]]&lt;10,"5-10 Years",TRUE(),"10+ Years")</f>
        <v>10+ Years</v>
      </c>
      <c r="M491" t="str">
        <f t="array" ref="M491">_xlfn.IFS(HR_Data[[#This Row],[Salary]]&lt;40000,"Low",HR_Data[[#This Row],[Salary]]&lt;70000,"Medium",HR_Data[[#This Row],[Salary]]&lt;100000,"High",TRUE(),"Very High")</f>
        <v>High</v>
      </c>
      <c r="N491" t="str">
        <f t="array" ref="N491">_xlfn.IFS(HR_Data[[#This Row],[Age]]&lt;25,"18-24",HR_Data[[#This Row],[Age]]&lt;35,"25-34",HR_Data[[#This Row],[Age]]&lt;45,"35-44",TRUE(),"45+")</f>
        <v>35-44</v>
      </c>
      <c r="O491">
        <f>YEAR(HR_Data[[#This Row],[Joining Date]])</f>
        <v>2018</v>
      </c>
      <c r="P491" t="str">
        <f>TEXT(HR_Data[[#This Row],[Joining Date]],"mmmm")</f>
        <v>July</v>
      </c>
      <c r="Q491">
        <f t="array" ref="Q491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491">
        <f>HR_Data[[#This Row],[Salary]]*HR_Data[[#This Row],[Bonus %]]</f>
        <v>3702.4500000000003</v>
      </c>
      <c r="S491">
        <f>HR_Data[[#This Row],[Salary]]+HR_Data[[#This Row],[Bonus Amount]]</f>
        <v>77751.45</v>
      </c>
      <c r="T491" t="str">
        <f>IF(HR_Data[[#This Row],[Attrition]]="Yes","Inactive","Active")</f>
        <v>Active</v>
      </c>
      <c r="U491" t="str">
        <f t="array" ref="U491">_xlfn.IFS(HR_Data[[#This Row],[Salary]]&gt;=100000,"A",HR_Data[[#This Row],[Salary]]&gt;=70000,"B",HR_Data[[#This Row],[Salary]]&gt;=50000,"C",TRUE(),"D")</f>
        <v>B</v>
      </c>
      <c r="V491" t="str">
        <f t="array" ref="V491">_xlfn.IFS(HR_Data[[#This Row],[Experience]]&gt;=15,"Expert",HR_Data[[#This Row],[Experience]]&gt;=8,"Senior",HR_Data[[#This Row],[Experience]]&gt;=3,"Mid-Level",TRUE(),"Junior")</f>
        <v>Senior</v>
      </c>
    </row>
    <row r="492" spans="1:22" ht="14.25" customHeight="1" x14ac:dyDescent="0.3">
      <c r="A492" t="s">
        <v>1183</v>
      </c>
      <c r="B492" t="s">
        <v>31</v>
      </c>
      <c r="C492" t="s">
        <v>60</v>
      </c>
      <c r="D492" t="s">
        <v>33</v>
      </c>
      <c r="E492">
        <v>24</v>
      </c>
      <c r="F492">
        <v>25000</v>
      </c>
      <c r="G492">
        <v>0</v>
      </c>
      <c r="H492" t="s">
        <v>1184</v>
      </c>
      <c r="I492" t="s">
        <v>45</v>
      </c>
      <c r="J492" t="s">
        <v>36</v>
      </c>
      <c r="K492" t="s">
        <v>37</v>
      </c>
      <c r="L492" t="str">
        <f t="array" ref="L492">_xlfn.IFS(HR_Data[[#This Row],[Experience]]&lt;2,"0-2 Years",HR_Data[[#This Row],[Experience]]&lt;5,"2-5 Years",HR_Data[[#This Row],[Experience]]&lt;10,"5-10 Years",TRUE(),"10+ Years")</f>
        <v>0-2 Years</v>
      </c>
      <c r="M492" t="str">
        <f t="array" ref="M492">_xlfn.IFS(HR_Data[[#This Row],[Salary]]&lt;40000,"Low",HR_Data[[#This Row],[Salary]]&lt;70000,"Medium",HR_Data[[#This Row],[Salary]]&lt;100000,"High",TRUE(),"Very High")</f>
        <v>Low</v>
      </c>
      <c r="N492" t="str">
        <f t="array" ref="N492">_xlfn.IFS(HR_Data[[#This Row],[Age]]&lt;25,"18-24",HR_Data[[#This Row],[Age]]&lt;35,"25-34",HR_Data[[#This Row],[Age]]&lt;45,"35-44",TRUE(),"45+")</f>
        <v>18-24</v>
      </c>
      <c r="O492">
        <f>YEAR(HR_Data[[#This Row],[Joining Date]])</f>
        <v>2021</v>
      </c>
      <c r="P492" t="str">
        <f>TEXT(HR_Data[[#This Row],[Joining Date]],"mmmm")</f>
        <v>November</v>
      </c>
      <c r="Q492">
        <f t="array" ref="Q49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92">
        <f>HR_Data[[#This Row],[Salary]]*HR_Data[[#This Row],[Bonus %]]</f>
        <v>2500</v>
      </c>
      <c r="S492">
        <f>HR_Data[[#This Row],[Salary]]+HR_Data[[#This Row],[Bonus Amount]]</f>
        <v>27500</v>
      </c>
      <c r="T492" t="str">
        <f>IF(HR_Data[[#This Row],[Attrition]]="Yes","Inactive","Active")</f>
        <v>Inactive</v>
      </c>
      <c r="U492" t="str">
        <f t="array" ref="U492">_xlfn.IFS(HR_Data[[#This Row],[Salary]]&gt;=100000,"A",HR_Data[[#This Row],[Salary]]&gt;=70000,"B",HR_Data[[#This Row],[Salary]]&gt;=50000,"C",TRUE(),"D")</f>
        <v>D</v>
      </c>
      <c r="V492" t="str">
        <f t="array" ref="V492">_xlfn.IFS(HR_Data[[#This Row],[Experience]]&gt;=15,"Expert",HR_Data[[#This Row],[Experience]]&gt;=8,"Senior",HR_Data[[#This Row],[Experience]]&gt;=3,"Mid-Level",TRUE(),"Junior")</f>
        <v>Junior</v>
      </c>
    </row>
    <row r="493" spans="1:22" ht="14.25" customHeight="1" x14ac:dyDescent="0.3">
      <c r="A493" t="s">
        <v>1185</v>
      </c>
      <c r="B493" t="s">
        <v>1186</v>
      </c>
      <c r="C493" t="s">
        <v>24</v>
      </c>
      <c r="D493" t="s">
        <v>33</v>
      </c>
      <c r="E493">
        <v>56</v>
      </c>
      <c r="F493">
        <v>140583</v>
      </c>
      <c r="G493">
        <v>33</v>
      </c>
      <c r="H493" t="s">
        <v>1187</v>
      </c>
      <c r="I493" t="s">
        <v>80</v>
      </c>
      <c r="J493" t="s">
        <v>36</v>
      </c>
      <c r="K493" t="s">
        <v>29</v>
      </c>
      <c r="L493" t="str">
        <f t="array" ref="L493">_xlfn.IFS(HR_Data[[#This Row],[Experience]]&lt;2,"0-2 Years",HR_Data[[#This Row],[Experience]]&lt;5,"2-5 Years",HR_Data[[#This Row],[Experience]]&lt;10,"5-10 Years",TRUE(),"10+ Years")</f>
        <v>10+ Years</v>
      </c>
      <c r="M493" t="str">
        <f t="array" ref="M493">_xlfn.IFS(HR_Data[[#This Row],[Salary]]&lt;40000,"Low",HR_Data[[#This Row],[Salary]]&lt;70000,"Medium",HR_Data[[#This Row],[Salary]]&lt;100000,"High",TRUE(),"Very High")</f>
        <v>Very High</v>
      </c>
      <c r="N493" t="str">
        <f t="array" ref="N493">_xlfn.IFS(HR_Data[[#This Row],[Age]]&lt;25,"18-24",HR_Data[[#This Row],[Age]]&lt;35,"25-34",HR_Data[[#This Row],[Age]]&lt;45,"35-44",TRUE(),"45+")</f>
        <v>45+</v>
      </c>
      <c r="O493">
        <f>YEAR(HR_Data[[#This Row],[Joining Date]])</f>
        <v>2025</v>
      </c>
      <c r="P493" t="str">
        <f>TEXT(HR_Data[[#This Row],[Joining Date]],"mmmm")</f>
        <v>October</v>
      </c>
      <c r="Q493">
        <f t="array" ref="Q493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93">
        <f>HR_Data[[#This Row],[Salary]]*HR_Data[[#This Row],[Bonus %]]</f>
        <v>14058.300000000001</v>
      </c>
      <c r="S493">
        <f>HR_Data[[#This Row],[Salary]]+HR_Data[[#This Row],[Bonus Amount]]</f>
        <v>154641.29999999999</v>
      </c>
      <c r="T493" t="str">
        <f>IF(HR_Data[[#This Row],[Attrition]]="Yes","Inactive","Active")</f>
        <v>Active</v>
      </c>
      <c r="U493" t="str">
        <f t="array" ref="U493">_xlfn.IFS(HR_Data[[#This Row],[Salary]]&gt;=100000,"A",HR_Data[[#This Row],[Salary]]&gt;=70000,"B",HR_Data[[#This Row],[Salary]]&gt;=50000,"C",TRUE(),"D")</f>
        <v>A</v>
      </c>
      <c r="V493" t="str">
        <f t="array" ref="V493">_xlfn.IFS(HR_Data[[#This Row],[Experience]]&gt;=15,"Expert",HR_Data[[#This Row],[Experience]]&gt;=8,"Senior",HR_Data[[#This Row],[Experience]]&gt;=3,"Mid-Level",TRUE(),"Junior")</f>
        <v>Expert</v>
      </c>
    </row>
    <row r="494" spans="1:22" ht="14.25" customHeight="1" x14ac:dyDescent="0.3">
      <c r="A494" t="s">
        <v>1188</v>
      </c>
      <c r="B494" t="s">
        <v>352</v>
      </c>
      <c r="C494" t="s">
        <v>112</v>
      </c>
      <c r="D494" t="s">
        <v>33</v>
      </c>
      <c r="E494">
        <v>29</v>
      </c>
      <c r="F494">
        <v>58306</v>
      </c>
      <c r="G494">
        <v>10</v>
      </c>
      <c r="H494" t="s">
        <v>1189</v>
      </c>
      <c r="I494" t="s">
        <v>62</v>
      </c>
      <c r="J494" t="s">
        <v>46</v>
      </c>
      <c r="K494" t="s">
        <v>29</v>
      </c>
      <c r="L494" t="str">
        <f t="array" ref="L494">_xlfn.IFS(HR_Data[[#This Row],[Experience]]&lt;2,"0-2 Years",HR_Data[[#This Row],[Experience]]&lt;5,"2-5 Years",HR_Data[[#This Row],[Experience]]&lt;10,"5-10 Years",TRUE(),"10+ Years")</f>
        <v>10+ Years</v>
      </c>
      <c r="M494" t="str">
        <f t="array" ref="M494">_xlfn.IFS(HR_Data[[#This Row],[Salary]]&lt;40000,"Low",HR_Data[[#This Row],[Salary]]&lt;70000,"Medium",HR_Data[[#This Row],[Salary]]&lt;100000,"High",TRUE(),"Very High")</f>
        <v>Medium</v>
      </c>
      <c r="N494" t="str">
        <f t="array" ref="N494">_xlfn.IFS(HR_Data[[#This Row],[Age]]&lt;25,"18-24",HR_Data[[#This Row],[Age]]&lt;35,"25-34",HR_Data[[#This Row],[Age]]&lt;45,"35-44",TRUE(),"45+")</f>
        <v>25-34</v>
      </c>
      <c r="O494">
        <f>YEAR(HR_Data[[#This Row],[Joining Date]])</f>
        <v>2019</v>
      </c>
      <c r="P494" t="str">
        <f>TEXT(HR_Data[[#This Row],[Joining Date]],"mmmm")</f>
        <v>July</v>
      </c>
      <c r="Q494">
        <f t="array" ref="Q494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494">
        <f>HR_Data[[#This Row],[Salary]]*HR_Data[[#This Row],[Bonus %]]</f>
        <v>2915.3</v>
      </c>
      <c r="S494">
        <f>HR_Data[[#This Row],[Salary]]+HR_Data[[#This Row],[Bonus Amount]]</f>
        <v>61221.3</v>
      </c>
      <c r="T494" t="str">
        <f>IF(HR_Data[[#This Row],[Attrition]]="Yes","Inactive","Active")</f>
        <v>Active</v>
      </c>
      <c r="U494" t="str">
        <f t="array" ref="U494">_xlfn.IFS(HR_Data[[#This Row],[Salary]]&gt;=100000,"A",HR_Data[[#This Row],[Salary]]&gt;=70000,"B",HR_Data[[#This Row],[Salary]]&gt;=50000,"C",TRUE(),"D")</f>
        <v>C</v>
      </c>
      <c r="V494" t="str">
        <f t="array" ref="V494">_xlfn.IFS(HR_Data[[#This Row],[Experience]]&gt;=15,"Expert",HR_Data[[#This Row],[Experience]]&gt;=8,"Senior",HR_Data[[#This Row],[Experience]]&gt;=3,"Mid-Level",TRUE(),"Junior")</f>
        <v>Senior</v>
      </c>
    </row>
    <row r="495" spans="1:22" ht="14.25" customHeight="1" x14ac:dyDescent="0.3">
      <c r="A495" t="s">
        <v>1190</v>
      </c>
      <c r="B495" t="s">
        <v>600</v>
      </c>
      <c r="C495" t="s">
        <v>32</v>
      </c>
      <c r="D495" t="s">
        <v>33</v>
      </c>
      <c r="E495">
        <v>46</v>
      </c>
      <c r="F495">
        <v>83203</v>
      </c>
      <c r="G495">
        <v>17</v>
      </c>
      <c r="H495" t="s">
        <v>1191</v>
      </c>
      <c r="I495" t="s">
        <v>67</v>
      </c>
      <c r="J495" t="s">
        <v>63</v>
      </c>
      <c r="K495" t="s">
        <v>29</v>
      </c>
      <c r="L495" t="str">
        <f t="array" ref="L495">_xlfn.IFS(HR_Data[[#This Row],[Experience]]&lt;2,"0-2 Years",HR_Data[[#This Row],[Experience]]&lt;5,"2-5 Years",HR_Data[[#This Row],[Experience]]&lt;10,"5-10 Years",TRUE(),"10+ Years")</f>
        <v>10+ Years</v>
      </c>
      <c r="M495" t="str">
        <f t="array" ref="M495">_xlfn.IFS(HR_Data[[#This Row],[Salary]]&lt;40000,"Low",HR_Data[[#This Row],[Salary]]&lt;70000,"Medium",HR_Data[[#This Row],[Salary]]&lt;100000,"High",TRUE(),"Very High")</f>
        <v>High</v>
      </c>
      <c r="N495" t="str">
        <f t="array" ref="N495">_xlfn.IFS(HR_Data[[#This Row],[Age]]&lt;25,"18-24",HR_Data[[#This Row],[Age]]&lt;35,"25-34",HR_Data[[#This Row],[Age]]&lt;45,"35-44",TRUE(),"45+")</f>
        <v>45+</v>
      </c>
      <c r="O495">
        <f>YEAR(HR_Data[[#This Row],[Joining Date]])</f>
        <v>2017</v>
      </c>
      <c r="P495" t="str">
        <f>TEXT(HR_Data[[#This Row],[Joining Date]],"mmmm")</f>
        <v>June</v>
      </c>
      <c r="Q495">
        <f t="array" ref="Q495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495">
        <f>HR_Data[[#This Row],[Salary]]*HR_Data[[#This Row],[Bonus %]]</f>
        <v>16640.600000000002</v>
      </c>
      <c r="S495">
        <f>HR_Data[[#This Row],[Salary]]+HR_Data[[#This Row],[Bonus Amount]]</f>
        <v>99843.6</v>
      </c>
      <c r="T495" t="str">
        <f>IF(HR_Data[[#This Row],[Attrition]]="Yes","Inactive","Active")</f>
        <v>Active</v>
      </c>
      <c r="U495" t="str">
        <f t="array" ref="U495">_xlfn.IFS(HR_Data[[#This Row],[Salary]]&gt;=100000,"A",HR_Data[[#This Row],[Salary]]&gt;=70000,"B",HR_Data[[#This Row],[Salary]]&gt;=50000,"C",TRUE(),"D")</f>
        <v>B</v>
      </c>
      <c r="V495" t="str">
        <f t="array" ref="V495">_xlfn.IFS(HR_Data[[#This Row],[Experience]]&gt;=15,"Expert",HR_Data[[#This Row],[Experience]]&gt;=8,"Senior",HR_Data[[#This Row],[Experience]]&gt;=3,"Mid-Level",TRUE(),"Junior")</f>
        <v>Expert</v>
      </c>
    </row>
    <row r="496" spans="1:22" ht="14.25" customHeight="1" x14ac:dyDescent="0.3">
      <c r="A496" t="s">
        <v>1192</v>
      </c>
      <c r="B496" t="s">
        <v>92</v>
      </c>
      <c r="C496" t="s">
        <v>112</v>
      </c>
      <c r="D496" t="s">
        <v>33</v>
      </c>
      <c r="E496">
        <v>59</v>
      </c>
      <c r="F496">
        <v>133618</v>
      </c>
      <c r="G496">
        <v>31</v>
      </c>
      <c r="H496" t="s">
        <v>271</v>
      </c>
      <c r="I496" t="s">
        <v>57</v>
      </c>
      <c r="J496" t="s">
        <v>28</v>
      </c>
      <c r="K496" t="s">
        <v>29</v>
      </c>
      <c r="L496" t="str">
        <f t="array" ref="L496">_xlfn.IFS(HR_Data[[#This Row],[Experience]]&lt;2,"0-2 Years",HR_Data[[#This Row],[Experience]]&lt;5,"2-5 Years",HR_Data[[#This Row],[Experience]]&lt;10,"5-10 Years",TRUE(),"10+ Years")</f>
        <v>10+ Years</v>
      </c>
      <c r="M496" t="str">
        <f t="array" ref="M496">_xlfn.IFS(HR_Data[[#This Row],[Salary]]&lt;40000,"Low",HR_Data[[#This Row],[Salary]]&lt;70000,"Medium",HR_Data[[#This Row],[Salary]]&lt;100000,"High",TRUE(),"Very High")</f>
        <v>Very High</v>
      </c>
      <c r="N496" t="str">
        <f t="array" ref="N496">_xlfn.IFS(HR_Data[[#This Row],[Age]]&lt;25,"18-24",HR_Data[[#This Row],[Age]]&lt;35,"25-34",HR_Data[[#This Row],[Age]]&lt;45,"35-44",TRUE(),"45+")</f>
        <v>45+</v>
      </c>
      <c r="O496">
        <f>YEAR(HR_Data[[#This Row],[Joining Date]])</f>
        <v>2016</v>
      </c>
      <c r="P496" t="str">
        <f>TEXT(HR_Data[[#This Row],[Joining Date]],"mmmm")</f>
        <v>December</v>
      </c>
      <c r="Q496">
        <f t="array" ref="Q496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96">
        <f>HR_Data[[#This Row],[Salary]]*HR_Data[[#This Row],[Bonus %]]</f>
        <v>20042.7</v>
      </c>
      <c r="S496">
        <f>HR_Data[[#This Row],[Salary]]+HR_Data[[#This Row],[Bonus Amount]]</f>
        <v>153660.70000000001</v>
      </c>
      <c r="T496" t="str">
        <f>IF(HR_Data[[#This Row],[Attrition]]="Yes","Inactive","Active")</f>
        <v>Active</v>
      </c>
      <c r="U496" t="str">
        <f t="array" ref="U496">_xlfn.IFS(HR_Data[[#This Row],[Salary]]&gt;=100000,"A",HR_Data[[#This Row],[Salary]]&gt;=70000,"B",HR_Data[[#This Row],[Salary]]&gt;=50000,"C",TRUE(),"D")</f>
        <v>A</v>
      </c>
      <c r="V496" t="str">
        <f t="array" ref="V496">_xlfn.IFS(HR_Data[[#This Row],[Experience]]&gt;=15,"Expert",HR_Data[[#This Row],[Experience]]&gt;=8,"Senior",HR_Data[[#This Row],[Experience]]&gt;=3,"Mid-Level",TRUE(),"Junior")</f>
        <v>Expert</v>
      </c>
    </row>
    <row r="497" spans="1:22" ht="14.25" customHeight="1" x14ac:dyDescent="0.3">
      <c r="A497" t="s">
        <v>1193</v>
      </c>
      <c r="B497" t="s">
        <v>468</v>
      </c>
      <c r="C497" t="s">
        <v>55</v>
      </c>
      <c r="D497" t="s">
        <v>25</v>
      </c>
      <c r="E497">
        <v>56</v>
      </c>
      <c r="F497">
        <v>133530</v>
      </c>
      <c r="G497">
        <v>33</v>
      </c>
      <c r="H497" t="s">
        <v>1194</v>
      </c>
      <c r="I497" t="s">
        <v>57</v>
      </c>
      <c r="J497" t="s">
        <v>28</v>
      </c>
      <c r="K497" t="s">
        <v>29</v>
      </c>
      <c r="L497" t="str">
        <f t="array" ref="L497">_xlfn.IFS(HR_Data[[#This Row],[Experience]]&lt;2,"0-2 Years",HR_Data[[#This Row],[Experience]]&lt;5,"2-5 Years",HR_Data[[#This Row],[Experience]]&lt;10,"5-10 Years",TRUE(),"10+ Years")</f>
        <v>10+ Years</v>
      </c>
      <c r="M497" t="str">
        <f t="array" ref="M497">_xlfn.IFS(HR_Data[[#This Row],[Salary]]&lt;40000,"Low",HR_Data[[#This Row],[Salary]]&lt;70000,"Medium",HR_Data[[#This Row],[Salary]]&lt;100000,"High",TRUE(),"Very High")</f>
        <v>Very High</v>
      </c>
      <c r="N497" t="str">
        <f t="array" ref="N497">_xlfn.IFS(HR_Data[[#This Row],[Age]]&lt;25,"18-24",HR_Data[[#This Row],[Age]]&lt;35,"25-34",HR_Data[[#This Row],[Age]]&lt;45,"35-44",TRUE(),"45+")</f>
        <v>45+</v>
      </c>
      <c r="O497">
        <f>YEAR(HR_Data[[#This Row],[Joining Date]])</f>
        <v>2025</v>
      </c>
      <c r="P497" t="str">
        <f>TEXT(HR_Data[[#This Row],[Joining Date]],"mmmm")</f>
        <v>December</v>
      </c>
      <c r="Q497">
        <f t="array" ref="Q49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497">
        <f>HR_Data[[#This Row],[Salary]]*HR_Data[[#This Row],[Bonus %]]</f>
        <v>20029.5</v>
      </c>
      <c r="S497">
        <f>HR_Data[[#This Row],[Salary]]+HR_Data[[#This Row],[Bonus Amount]]</f>
        <v>153559.5</v>
      </c>
      <c r="T497" t="str">
        <f>IF(HR_Data[[#This Row],[Attrition]]="Yes","Inactive","Active")</f>
        <v>Active</v>
      </c>
      <c r="U497" t="str">
        <f t="array" ref="U497">_xlfn.IFS(HR_Data[[#This Row],[Salary]]&gt;=100000,"A",HR_Data[[#This Row],[Salary]]&gt;=70000,"B",HR_Data[[#This Row],[Salary]]&gt;=50000,"C",TRUE(),"D")</f>
        <v>A</v>
      </c>
      <c r="V497" t="str">
        <f t="array" ref="V497">_xlfn.IFS(HR_Data[[#This Row],[Experience]]&gt;=15,"Expert",HR_Data[[#This Row],[Experience]]&gt;=8,"Senior",HR_Data[[#This Row],[Experience]]&gt;=3,"Mid-Level",TRUE(),"Junior")</f>
        <v>Expert</v>
      </c>
    </row>
    <row r="498" spans="1:22" ht="14.25" customHeight="1" x14ac:dyDescent="0.3">
      <c r="A498" t="s">
        <v>1195</v>
      </c>
      <c r="B498" t="s">
        <v>946</v>
      </c>
      <c r="C498" t="s">
        <v>134</v>
      </c>
      <c r="D498" t="s">
        <v>33</v>
      </c>
      <c r="E498">
        <v>55</v>
      </c>
      <c r="F498">
        <v>121431</v>
      </c>
      <c r="G498">
        <v>32</v>
      </c>
      <c r="H498" t="s">
        <v>1196</v>
      </c>
      <c r="I498" t="s">
        <v>132</v>
      </c>
      <c r="J498" t="s">
        <v>46</v>
      </c>
      <c r="K498" t="s">
        <v>29</v>
      </c>
      <c r="L498" t="str">
        <f t="array" ref="L498">_xlfn.IFS(HR_Data[[#This Row],[Experience]]&lt;2,"0-2 Years",HR_Data[[#This Row],[Experience]]&lt;5,"2-5 Years",HR_Data[[#This Row],[Experience]]&lt;10,"5-10 Years",TRUE(),"10+ Years")</f>
        <v>10+ Years</v>
      </c>
      <c r="M498" t="str">
        <f t="array" ref="M498">_xlfn.IFS(HR_Data[[#This Row],[Salary]]&lt;40000,"Low",HR_Data[[#This Row],[Salary]]&lt;70000,"Medium",HR_Data[[#This Row],[Salary]]&lt;100000,"High",TRUE(),"Very High")</f>
        <v>Very High</v>
      </c>
      <c r="N498" t="str">
        <f t="array" ref="N498">_xlfn.IFS(HR_Data[[#This Row],[Age]]&lt;25,"18-24",HR_Data[[#This Row],[Age]]&lt;35,"25-34",HR_Data[[#This Row],[Age]]&lt;45,"35-44",TRUE(),"45+")</f>
        <v>45+</v>
      </c>
      <c r="O498">
        <f>YEAR(HR_Data[[#This Row],[Joining Date]])</f>
        <v>2020</v>
      </c>
      <c r="P498" t="str">
        <f>TEXT(HR_Data[[#This Row],[Joining Date]],"mmmm")</f>
        <v>October</v>
      </c>
      <c r="Q498">
        <f t="array" ref="Q498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498">
        <f>HR_Data[[#This Row],[Salary]]*HR_Data[[#This Row],[Bonus %]]</f>
        <v>6071.55</v>
      </c>
      <c r="S498">
        <f>HR_Data[[#This Row],[Salary]]+HR_Data[[#This Row],[Bonus Amount]]</f>
        <v>127502.55</v>
      </c>
      <c r="T498" t="str">
        <f>IF(HR_Data[[#This Row],[Attrition]]="Yes","Inactive","Active")</f>
        <v>Active</v>
      </c>
      <c r="U498" t="str">
        <f t="array" ref="U498">_xlfn.IFS(HR_Data[[#This Row],[Salary]]&gt;=100000,"A",HR_Data[[#This Row],[Salary]]&gt;=70000,"B",HR_Data[[#This Row],[Salary]]&gt;=50000,"C",TRUE(),"D")</f>
        <v>A</v>
      </c>
      <c r="V498" t="str">
        <f t="array" ref="V498">_xlfn.IFS(HR_Data[[#This Row],[Experience]]&gt;=15,"Expert",HR_Data[[#This Row],[Experience]]&gt;=8,"Senior",HR_Data[[#This Row],[Experience]]&gt;=3,"Mid-Level",TRUE(),"Junior")</f>
        <v>Expert</v>
      </c>
    </row>
    <row r="499" spans="1:22" ht="14.25" customHeight="1" x14ac:dyDescent="0.3">
      <c r="A499" t="s">
        <v>1197</v>
      </c>
      <c r="B499" t="s">
        <v>276</v>
      </c>
      <c r="C499" t="s">
        <v>32</v>
      </c>
      <c r="D499" t="s">
        <v>33</v>
      </c>
      <c r="E499">
        <v>46</v>
      </c>
      <c r="F499">
        <v>88697</v>
      </c>
      <c r="G499">
        <v>21</v>
      </c>
      <c r="H499" t="s">
        <v>479</v>
      </c>
      <c r="I499" t="s">
        <v>72</v>
      </c>
      <c r="J499" t="s">
        <v>36</v>
      </c>
      <c r="K499" t="s">
        <v>29</v>
      </c>
      <c r="L499" t="str">
        <f t="array" ref="L499">_xlfn.IFS(HR_Data[[#This Row],[Experience]]&lt;2,"0-2 Years",HR_Data[[#This Row],[Experience]]&lt;5,"2-5 Years",HR_Data[[#This Row],[Experience]]&lt;10,"5-10 Years",TRUE(),"10+ Years")</f>
        <v>10+ Years</v>
      </c>
      <c r="M499" t="str">
        <f t="array" ref="M499">_xlfn.IFS(HR_Data[[#This Row],[Salary]]&lt;40000,"Low",HR_Data[[#This Row],[Salary]]&lt;70000,"Medium",HR_Data[[#This Row],[Salary]]&lt;100000,"High",TRUE(),"Very High")</f>
        <v>High</v>
      </c>
      <c r="N499" t="str">
        <f t="array" ref="N499">_xlfn.IFS(HR_Data[[#This Row],[Age]]&lt;25,"18-24",HR_Data[[#This Row],[Age]]&lt;35,"25-34",HR_Data[[#This Row],[Age]]&lt;45,"35-44",TRUE(),"45+")</f>
        <v>45+</v>
      </c>
      <c r="O499">
        <f>YEAR(HR_Data[[#This Row],[Joining Date]])</f>
        <v>2016</v>
      </c>
      <c r="P499" t="str">
        <f>TEXT(HR_Data[[#This Row],[Joining Date]],"mmmm")</f>
        <v>December</v>
      </c>
      <c r="Q499">
        <f t="array" ref="Q49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499">
        <f>HR_Data[[#This Row],[Salary]]*HR_Data[[#This Row],[Bonus %]]</f>
        <v>8869.7000000000007</v>
      </c>
      <c r="S499">
        <f>HR_Data[[#This Row],[Salary]]+HR_Data[[#This Row],[Bonus Amount]]</f>
        <v>97566.7</v>
      </c>
      <c r="T499" t="str">
        <f>IF(HR_Data[[#This Row],[Attrition]]="Yes","Inactive","Active")</f>
        <v>Active</v>
      </c>
      <c r="U499" t="str">
        <f t="array" ref="U499">_xlfn.IFS(HR_Data[[#This Row],[Salary]]&gt;=100000,"A",HR_Data[[#This Row],[Salary]]&gt;=70000,"B",HR_Data[[#This Row],[Salary]]&gt;=50000,"C",TRUE(),"D")</f>
        <v>B</v>
      </c>
      <c r="V499" t="str">
        <f t="array" ref="V499">_xlfn.IFS(HR_Data[[#This Row],[Experience]]&gt;=15,"Expert",HR_Data[[#This Row],[Experience]]&gt;=8,"Senior",HR_Data[[#This Row],[Experience]]&gt;=3,"Mid-Level",TRUE(),"Junior")</f>
        <v>Expert</v>
      </c>
    </row>
    <row r="500" spans="1:22" ht="14.25" customHeight="1" x14ac:dyDescent="0.3">
      <c r="A500" t="s">
        <v>1198</v>
      </c>
      <c r="B500" t="s">
        <v>483</v>
      </c>
      <c r="C500" t="s">
        <v>75</v>
      </c>
      <c r="D500" t="s">
        <v>33</v>
      </c>
      <c r="E500">
        <v>34</v>
      </c>
      <c r="F500">
        <v>56036</v>
      </c>
      <c r="G500">
        <v>9</v>
      </c>
      <c r="H500" t="s">
        <v>1199</v>
      </c>
      <c r="I500" t="s">
        <v>132</v>
      </c>
      <c r="J500" t="s">
        <v>36</v>
      </c>
      <c r="K500" t="s">
        <v>29</v>
      </c>
      <c r="L500" t="str">
        <f t="array" ref="L500">_xlfn.IFS(HR_Data[[#This Row],[Experience]]&lt;2,"0-2 Years",HR_Data[[#This Row],[Experience]]&lt;5,"2-5 Years",HR_Data[[#This Row],[Experience]]&lt;10,"5-10 Years",TRUE(),"10+ Years")</f>
        <v>5-10 Years</v>
      </c>
      <c r="M500" t="str">
        <f t="array" ref="M500">_xlfn.IFS(HR_Data[[#This Row],[Salary]]&lt;40000,"Low",HR_Data[[#This Row],[Salary]]&lt;70000,"Medium",HR_Data[[#This Row],[Salary]]&lt;100000,"High",TRUE(),"Very High")</f>
        <v>Medium</v>
      </c>
      <c r="N500" t="str">
        <f t="array" ref="N500">_xlfn.IFS(HR_Data[[#This Row],[Age]]&lt;25,"18-24",HR_Data[[#This Row],[Age]]&lt;35,"25-34",HR_Data[[#This Row],[Age]]&lt;45,"35-44",TRUE(),"45+")</f>
        <v>25-34</v>
      </c>
      <c r="O500">
        <f>YEAR(HR_Data[[#This Row],[Joining Date]])</f>
        <v>2022</v>
      </c>
      <c r="P500" t="str">
        <f>TEXT(HR_Data[[#This Row],[Joining Date]],"mmmm")</f>
        <v>May</v>
      </c>
      <c r="Q500">
        <f t="array" ref="Q50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00">
        <f>HR_Data[[#This Row],[Salary]]*HR_Data[[#This Row],[Bonus %]]</f>
        <v>5603.6</v>
      </c>
      <c r="S500">
        <f>HR_Data[[#This Row],[Salary]]+HR_Data[[#This Row],[Bonus Amount]]</f>
        <v>61639.6</v>
      </c>
      <c r="T500" t="str">
        <f>IF(HR_Data[[#This Row],[Attrition]]="Yes","Inactive","Active")</f>
        <v>Active</v>
      </c>
      <c r="U500" t="str">
        <f t="array" ref="U500">_xlfn.IFS(HR_Data[[#This Row],[Salary]]&gt;=100000,"A",HR_Data[[#This Row],[Salary]]&gt;=70000,"B",HR_Data[[#This Row],[Salary]]&gt;=50000,"C",TRUE(),"D")</f>
        <v>C</v>
      </c>
      <c r="V500" t="str">
        <f t="array" ref="V500">_xlfn.IFS(HR_Data[[#This Row],[Experience]]&gt;=15,"Expert",HR_Data[[#This Row],[Experience]]&gt;=8,"Senior",HR_Data[[#This Row],[Experience]]&gt;=3,"Mid-Level",TRUE(),"Junior")</f>
        <v>Senior</v>
      </c>
    </row>
    <row r="501" spans="1:22" ht="14.25" customHeight="1" x14ac:dyDescent="0.3">
      <c r="A501" t="s">
        <v>1200</v>
      </c>
      <c r="B501" t="s">
        <v>483</v>
      </c>
      <c r="C501" t="s">
        <v>70</v>
      </c>
      <c r="D501" t="s">
        <v>25</v>
      </c>
      <c r="E501">
        <v>49</v>
      </c>
      <c r="F501">
        <v>94964</v>
      </c>
      <c r="G501">
        <v>19</v>
      </c>
      <c r="H501" t="s">
        <v>1201</v>
      </c>
      <c r="I501" t="s">
        <v>42</v>
      </c>
      <c r="J501" t="s">
        <v>36</v>
      </c>
      <c r="K501" t="s">
        <v>29</v>
      </c>
      <c r="L501" t="str">
        <f t="array" ref="L501">_xlfn.IFS(HR_Data[[#This Row],[Experience]]&lt;2,"0-2 Years",HR_Data[[#This Row],[Experience]]&lt;5,"2-5 Years",HR_Data[[#This Row],[Experience]]&lt;10,"5-10 Years",TRUE(),"10+ Years")</f>
        <v>10+ Years</v>
      </c>
      <c r="M501" t="str">
        <f t="array" ref="M501">_xlfn.IFS(HR_Data[[#This Row],[Salary]]&lt;40000,"Low",HR_Data[[#This Row],[Salary]]&lt;70000,"Medium",HR_Data[[#This Row],[Salary]]&lt;100000,"High",TRUE(),"Very High")</f>
        <v>High</v>
      </c>
      <c r="N501" t="str">
        <f t="array" ref="N501">_xlfn.IFS(HR_Data[[#This Row],[Age]]&lt;25,"18-24",HR_Data[[#This Row],[Age]]&lt;35,"25-34",HR_Data[[#This Row],[Age]]&lt;45,"35-44",TRUE(),"45+")</f>
        <v>45+</v>
      </c>
      <c r="O501">
        <f>YEAR(HR_Data[[#This Row],[Joining Date]])</f>
        <v>2018</v>
      </c>
      <c r="P501" t="str">
        <f>TEXT(HR_Data[[#This Row],[Joining Date]],"mmmm")</f>
        <v>January</v>
      </c>
      <c r="Q501">
        <f t="array" ref="Q50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01">
        <f>HR_Data[[#This Row],[Salary]]*HR_Data[[#This Row],[Bonus %]]</f>
        <v>9496.4</v>
      </c>
      <c r="S501">
        <f>HR_Data[[#This Row],[Salary]]+HR_Data[[#This Row],[Bonus Amount]]</f>
        <v>104460.4</v>
      </c>
      <c r="T501" t="str">
        <f>IF(HR_Data[[#This Row],[Attrition]]="Yes","Inactive","Active")</f>
        <v>Active</v>
      </c>
      <c r="U501" t="str">
        <f t="array" ref="U501">_xlfn.IFS(HR_Data[[#This Row],[Salary]]&gt;=100000,"A",HR_Data[[#This Row],[Salary]]&gt;=70000,"B",HR_Data[[#This Row],[Salary]]&gt;=50000,"C",TRUE(),"D")</f>
        <v>B</v>
      </c>
      <c r="V501" t="str">
        <f t="array" ref="V501">_xlfn.IFS(HR_Data[[#This Row],[Experience]]&gt;=15,"Expert",HR_Data[[#This Row],[Experience]]&gt;=8,"Senior",HR_Data[[#This Row],[Experience]]&gt;=3,"Mid-Level",TRUE(),"Junior")</f>
        <v>Expert</v>
      </c>
    </row>
    <row r="502" spans="1:22" ht="14.25" customHeight="1" x14ac:dyDescent="0.3">
      <c r="A502" t="s">
        <v>1202</v>
      </c>
      <c r="B502" t="s">
        <v>753</v>
      </c>
      <c r="C502" t="s">
        <v>32</v>
      </c>
      <c r="D502" t="s">
        <v>25</v>
      </c>
      <c r="E502">
        <v>60</v>
      </c>
      <c r="F502">
        <v>132879</v>
      </c>
      <c r="G502">
        <v>35</v>
      </c>
      <c r="H502" t="s">
        <v>1203</v>
      </c>
      <c r="I502" t="s">
        <v>80</v>
      </c>
      <c r="J502" t="s">
        <v>28</v>
      </c>
      <c r="K502" t="s">
        <v>29</v>
      </c>
      <c r="L502" t="str">
        <f t="array" ref="L502">_xlfn.IFS(HR_Data[[#This Row],[Experience]]&lt;2,"0-2 Years",HR_Data[[#This Row],[Experience]]&lt;5,"2-5 Years",HR_Data[[#This Row],[Experience]]&lt;10,"5-10 Years",TRUE(),"10+ Years")</f>
        <v>10+ Years</v>
      </c>
      <c r="M502" t="str">
        <f t="array" ref="M502">_xlfn.IFS(HR_Data[[#This Row],[Salary]]&lt;40000,"Low",HR_Data[[#This Row],[Salary]]&lt;70000,"Medium",HR_Data[[#This Row],[Salary]]&lt;100000,"High",TRUE(),"Very High")</f>
        <v>Very High</v>
      </c>
      <c r="N502" t="str">
        <f t="array" ref="N502">_xlfn.IFS(HR_Data[[#This Row],[Age]]&lt;25,"18-24",HR_Data[[#This Row],[Age]]&lt;35,"25-34",HR_Data[[#This Row],[Age]]&lt;45,"35-44",TRUE(),"45+")</f>
        <v>45+</v>
      </c>
      <c r="O502">
        <f>YEAR(HR_Data[[#This Row],[Joining Date]])</f>
        <v>2019</v>
      </c>
      <c r="P502" t="str">
        <f>TEXT(HR_Data[[#This Row],[Joining Date]],"mmmm")</f>
        <v>February</v>
      </c>
      <c r="Q502">
        <f t="array" ref="Q502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02">
        <f>HR_Data[[#This Row],[Salary]]*HR_Data[[#This Row],[Bonus %]]</f>
        <v>19931.849999999999</v>
      </c>
      <c r="S502">
        <f>HR_Data[[#This Row],[Salary]]+HR_Data[[#This Row],[Bonus Amount]]</f>
        <v>152810.85</v>
      </c>
      <c r="T502" t="str">
        <f>IF(HR_Data[[#This Row],[Attrition]]="Yes","Inactive","Active")</f>
        <v>Active</v>
      </c>
      <c r="U502" t="str">
        <f t="array" ref="U502">_xlfn.IFS(HR_Data[[#This Row],[Salary]]&gt;=100000,"A",HR_Data[[#This Row],[Salary]]&gt;=70000,"B",HR_Data[[#This Row],[Salary]]&gt;=50000,"C",TRUE(),"D")</f>
        <v>A</v>
      </c>
      <c r="V502" t="str">
        <f t="array" ref="V502">_xlfn.IFS(HR_Data[[#This Row],[Experience]]&gt;=15,"Expert",HR_Data[[#This Row],[Experience]]&gt;=8,"Senior",HR_Data[[#This Row],[Experience]]&gt;=3,"Mid-Level",TRUE(),"Junior")</f>
        <v>Expert</v>
      </c>
    </row>
    <row r="503" spans="1:22" ht="14.25" customHeight="1" x14ac:dyDescent="0.3">
      <c r="A503" t="s">
        <v>1204</v>
      </c>
      <c r="B503" t="s">
        <v>551</v>
      </c>
      <c r="C503" t="s">
        <v>24</v>
      </c>
      <c r="D503" t="s">
        <v>25</v>
      </c>
      <c r="E503">
        <v>58</v>
      </c>
      <c r="F503">
        <v>115571</v>
      </c>
      <c r="G503">
        <v>28</v>
      </c>
      <c r="H503" t="s">
        <v>1205</v>
      </c>
      <c r="I503" t="s">
        <v>72</v>
      </c>
      <c r="J503" t="s">
        <v>46</v>
      </c>
      <c r="K503" t="s">
        <v>37</v>
      </c>
      <c r="L503" t="str">
        <f t="array" ref="L503">_xlfn.IFS(HR_Data[[#This Row],[Experience]]&lt;2,"0-2 Years",HR_Data[[#This Row],[Experience]]&lt;5,"2-5 Years",HR_Data[[#This Row],[Experience]]&lt;10,"5-10 Years",TRUE(),"10+ Years")</f>
        <v>10+ Years</v>
      </c>
      <c r="M503" t="str">
        <f t="array" ref="M503">_xlfn.IFS(HR_Data[[#This Row],[Salary]]&lt;40000,"Low",HR_Data[[#This Row],[Salary]]&lt;70000,"Medium",HR_Data[[#This Row],[Salary]]&lt;100000,"High",TRUE(),"Very High")</f>
        <v>Very High</v>
      </c>
      <c r="N503" t="str">
        <f t="array" ref="N503">_xlfn.IFS(HR_Data[[#This Row],[Age]]&lt;25,"18-24",HR_Data[[#This Row],[Age]]&lt;35,"25-34",HR_Data[[#This Row],[Age]]&lt;45,"35-44",TRUE(),"45+")</f>
        <v>45+</v>
      </c>
      <c r="O503">
        <f>YEAR(HR_Data[[#This Row],[Joining Date]])</f>
        <v>2018</v>
      </c>
      <c r="P503" t="str">
        <f>TEXT(HR_Data[[#This Row],[Joining Date]],"mmmm")</f>
        <v>May</v>
      </c>
      <c r="Q503">
        <f t="array" ref="Q503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503">
        <f>HR_Data[[#This Row],[Salary]]*HR_Data[[#This Row],[Bonus %]]</f>
        <v>5778.55</v>
      </c>
      <c r="S503">
        <f>HR_Data[[#This Row],[Salary]]+HR_Data[[#This Row],[Bonus Amount]]</f>
        <v>121349.55</v>
      </c>
      <c r="T503" t="str">
        <f>IF(HR_Data[[#This Row],[Attrition]]="Yes","Inactive","Active")</f>
        <v>Inactive</v>
      </c>
      <c r="U503" t="str">
        <f t="array" ref="U503">_xlfn.IFS(HR_Data[[#This Row],[Salary]]&gt;=100000,"A",HR_Data[[#This Row],[Salary]]&gt;=70000,"B",HR_Data[[#This Row],[Salary]]&gt;=50000,"C",TRUE(),"D")</f>
        <v>A</v>
      </c>
      <c r="V503" t="str">
        <f t="array" ref="V503">_xlfn.IFS(HR_Data[[#This Row],[Experience]]&gt;=15,"Expert",HR_Data[[#This Row],[Experience]]&gt;=8,"Senior",HR_Data[[#This Row],[Experience]]&gt;=3,"Mid-Level",TRUE(),"Junior")</f>
        <v>Expert</v>
      </c>
    </row>
    <row r="504" spans="1:22" ht="14.25" customHeight="1" x14ac:dyDescent="0.3">
      <c r="A504" t="s">
        <v>1206</v>
      </c>
      <c r="B504" t="s">
        <v>436</v>
      </c>
      <c r="C504" t="s">
        <v>75</v>
      </c>
      <c r="D504" t="s">
        <v>25</v>
      </c>
      <c r="E504">
        <v>42</v>
      </c>
      <c r="F504">
        <v>69408</v>
      </c>
      <c r="G504">
        <v>14</v>
      </c>
      <c r="H504" t="s">
        <v>1207</v>
      </c>
      <c r="I504" t="s">
        <v>67</v>
      </c>
      <c r="J504" t="s">
        <v>36</v>
      </c>
      <c r="K504" t="s">
        <v>29</v>
      </c>
      <c r="L504" t="str">
        <f t="array" ref="L504">_xlfn.IFS(HR_Data[[#This Row],[Experience]]&lt;2,"0-2 Years",HR_Data[[#This Row],[Experience]]&lt;5,"2-5 Years",HR_Data[[#This Row],[Experience]]&lt;10,"5-10 Years",TRUE(),"10+ Years")</f>
        <v>10+ Years</v>
      </c>
      <c r="M504" t="str">
        <f t="array" ref="M504">_xlfn.IFS(HR_Data[[#This Row],[Salary]]&lt;40000,"Low",HR_Data[[#This Row],[Salary]]&lt;70000,"Medium",HR_Data[[#This Row],[Salary]]&lt;100000,"High",TRUE(),"Very High")</f>
        <v>Medium</v>
      </c>
      <c r="N504" t="str">
        <f t="array" ref="N504">_xlfn.IFS(HR_Data[[#This Row],[Age]]&lt;25,"18-24",HR_Data[[#This Row],[Age]]&lt;35,"25-34",HR_Data[[#This Row],[Age]]&lt;45,"35-44",TRUE(),"45+")</f>
        <v>35-44</v>
      </c>
      <c r="O504">
        <f>YEAR(HR_Data[[#This Row],[Joining Date]])</f>
        <v>2020</v>
      </c>
      <c r="P504" t="str">
        <f>TEXT(HR_Data[[#This Row],[Joining Date]],"mmmm")</f>
        <v>March</v>
      </c>
      <c r="Q504">
        <f t="array" ref="Q504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04">
        <f>HR_Data[[#This Row],[Salary]]*HR_Data[[#This Row],[Bonus %]]</f>
        <v>6940.8</v>
      </c>
      <c r="S504">
        <f>HR_Data[[#This Row],[Salary]]+HR_Data[[#This Row],[Bonus Amount]]</f>
        <v>76348.800000000003</v>
      </c>
      <c r="T504" t="str">
        <f>IF(HR_Data[[#This Row],[Attrition]]="Yes","Inactive","Active")</f>
        <v>Active</v>
      </c>
      <c r="U504" t="str">
        <f t="array" ref="U504">_xlfn.IFS(HR_Data[[#This Row],[Salary]]&gt;=100000,"A",HR_Data[[#This Row],[Salary]]&gt;=70000,"B",HR_Data[[#This Row],[Salary]]&gt;=50000,"C",TRUE(),"D")</f>
        <v>C</v>
      </c>
      <c r="V504" t="str">
        <f t="array" ref="V504">_xlfn.IFS(HR_Data[[#This Row],[Experience]]&gt;=15,"Expert",HR_Data[[#This Row],[Experience]]&gt;=8,"Senior",HR_Data[[#This Row],[Experience]]&gt;=3,"Mid-Level",TRUE(),"Junior")</f>
        <v>Senior</v>
      </c>
    </row>
    <row r="505" spans="1:22" ht="14.25" customHeight="1" x14ac:dyDescent="0.3">
      <c r="A505" t="s">
        <v>1208</v>
      </c>
      <c r="B505" t="s">
        <v>891</v>
      </c>
      <c r="C505" t="s">
        <v>112</v>
      </c>
      <c r="D505" t="s">
        <v>25</v>
      </c>
      <c r="E505">
        <v>36</v>
      </c>
      <c r="F505">
        <v>68303</v>
      </c>
      <c r="G505">
        <v>11</v>
      </c>
      <c r="H505" t="s">
        <v>1209</v>
      </c>
      <c r="I505" t="s">
        <v>62</v>
      </c>
      <c r="J505" t="s">
        <v>63</v>
      </c>
      <c r="K505" t="s">
        <v>29</v>
      </c>
      <c r="L505" t="str">
        <f t="array" ref="L505">_xlfn.IFS(HR_Data[[#This Row],[Experience]]&lt;2,"0-2 Years",HR_Data[[#This Row],[Experience]]&lt;5,"2-5 Years",HR_Data[[#This Row],[Experience]]&lt;10,"5-10 Years",TRUE(),"10+ Years")</f>
        <v>10+ Years</v>
      </c>
      <c r="M505" t="str">
        <f t="array" ref="M505">_xlfn.IFS(HR_Data[[#This Row],[Salary]]&lt;40000,"Low",HR_Data[[#This Row],[Salary]]&lt;70000,"Medium",HR_Data[[#This Row],[Salary]]&lt;100000,"High",TRUE(),"Very High")</f>
        <v>Medium</v>
      </c>
      <c r="N505" t="str">
        <f t="array" ref="N505">_xlfn.IFS(HR_Data[[#This Row],[Age]]&lt;25,"18-24",HR_Data[[#This Row],[Age]]&lt;35,"25-34",HR_Data[[#This Row],[Age]]&lt;45,"35-44",TRUE(),"45+")</f>
        <v>35-44</v>
      </c>
      <c r="O505">
        <f>YEAR(HR_Data[[#This Row],[Joining Date]])</f>
        <v>2025</v>
      </c>
      <c r="P505" t="str">
        <f>TEXT(HR_Data[[#This Row],[Joining Date]],"mmmm")</f>
        <v>August</v>
      </c>
      <c r="Q505">
        <f t="array" ref="Q505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505">
        <f>HR_Data[[#This Row],[Salary]]*HR_Data[[#This Row],[Bonus %]]</f>
        <v>13660.6</v>
      </c>
      <c r="S505">
        <f>HR_Data[[#This Row],[Salary]]+HR_Data[[#This Row],[Bonus Amount]]</f>
        <v>81963.600000000006</v>
      </c>
      <c r="T505" t="str">
        <f>IF(HR_Data[[#This Row],[Attrition]]="Yes","Inactive","Active")</f>
        <v>Active</v>
      </c>
      <c r="U505" t="str">
        <f t="array" ref="U505">_xlfn.IFS(HR_Data[[#This Row],[Salary]]&gt;=100000,"A",HR_Data[[#This Row],[Salary]]&gt;=70000,"B",HR_Data[[#This Row],[Salary]]&gt;=50000,"C",TRUE(),"D")</f>
        <v>C</v>
      </c>
      <c r="V505" t="str">
        <f t="array" ref="V505">_xlfn.IFS(HR_Data[[#This Row],[Experience]]&gt;=15,"Expert",HR_Data[[#This Row],[Experience]]&gt;=8,"Senior",HR_Data[[#This Row],[Experience]]&gt;=3,"Mid-Level",TRUE(),"Junior")</f>
        <v>Senior</v>
      </c>
    </row>
    <row r="506" spans="1:22" ht="14.25" customHeight="1" x14ac:dyDescent="0.3">
      <c r="A506" t="s">
        <v>1210</v>
      </c>
      <c r="B506" t="s">
        <v>561</v>
      </c>
      <c r="C506" t="s">
        <v>93</v>
      </c>
      <c r="D506" t="s">
        <v>25</v>
      </c>
      <c r="E506">
        <v>44</v>
      </c>
      <c r="F506">
        <v>68446</v>
      </c>
      <c r="G506">
        <v>14</v>
      </c>
      <c r="H506" t="s">
        <v>1211</v>
      </c>
      <c r="I506" t="s">
        <v>35</v>
      </c>
      <c r="J506" t="s">
        <v>63</v>
      </c>
      <c r="K506" t="s">
        <v>29</v>
      </c>
      <c r="L506" t="str">
        <f t="array" ref="L506">_xlfn.IFS(HR_Data[[#This Row],[Experience]]&lt;2,"0-2 Years",HR_Data[[#This Row],[Experience]]&lt;5,"2-5 Years",HR_Data[[#This Row],[Experience]]&lt;10,"5-10 Years",TRUE(),"10+ Years")</f>
        <v>10+ Years</v>
      </c>
      <c r="M506" t="str">
        <f t="array" ref="M506">_xlfn.IFS(HR_Data[[#This Row],[Salary]]&lt;40000,"Low",HR_Data[[#This Row],[Salary]]&lt;70000,"Medium",HR_Data[[#This Row],[Salary]]&lt;100000,"High",TRUE(),"Very High")</f>
        <v>Medium</v>
      </c>
      <c r="N506" t="str">
        <f t="array" ref="N506">_xlfn.IFS(HR_Data[[#This Row],[Age]]&lt;25,"18-24",HR_Data[[#This Row],[Age]]&lt;35,"25-34",HR_Data[[#This Row],[Age]]&lt;45,"35-44",TRUE(),"45+")</f>
        <v>35-44</v>
      </c>
      <c r="O506">
        <f>YEAR(HR_Data[[#This Row],[Joining Date]])</f>
        <v>2019</v>
      </c>
      <c r="P506" t="str">
        <f>TEXT(HR_Data[[#This Row],[Joining Date]],"mmmm")</f>
        <v>August</v>
      </c>
      <c r="Q506">
        <f t="array" ref="Q506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506">
        <f>HR_Data[[#This Row],[Salary]]*HR_Data[[#This Row],[Bonus %]]</f>
        <v>13689.2</v>
      </c>
      <c r="S506">
        <f>HR_Data[[#This Row],[Salary]]+HR_Data[[#This Row],[Bonus Amount]]</f>
        <v>82135.199999999997</v>
      </c>
      <c r="T506" t="str">
        <f>IF(HR_Data[[#This Row],[Attrition]]="Yes","Inactive","Active")</f>
        <v>Active</v>
      </c>
      <c r="U506" t="str">
        <f t="array" ref="U506">_xlfn.IFS(HR_Data[[#This Row],[Salary]]&gt;=100000,"A",HR_Data[[#This Row],[Salary]]&gt;=70000,"B",HR_Data[[#This Row],[Salary]]&gt;=50000,"C",TRUE(),"D")</f>
        <v>C</v>
      </c>
      <c r="V506" t="str">
        <f t="array" ref="V506">_xlfn.IFS(HR_Data[[#This Row],[Experience]]&gt;=15,"Expert",HR_Data[[#This Row],[Experience]]&gt;=8,"Senior",HR_Data[[#This Row],[Experience]]&gt;=3,"Mid-Level",TRUE(),"Junior")</f>
        <v>Senior</v>
      </c>
    </row>
    <row r="507" spans="1:22" ht="14.25" customHeight="1" x14ac:dyDescent="0.3">
      <c r="A507" t="s">
        <v>1212</v>
      </c>
      <c r="B507" t="s">
        <v>267</v>
      </c>
      <c r="C507" t="s">
        <v>24</v>
      </c>
      <c r="D507" t="s">
        <v>33</v>
      </c>
      <c r="E507">
        <v>40</v>
      </c>
      <c r="F507">
        <v>78266</v>
      </c>
      <c r="G507">
        <v>15</v>
      </c>
      <c r="H507" t="s">
        <v>1213</v>
      </c>
      <c r="I507" t="s">
        <v>45</v>
      </c>
      <c r="J507" t="s">
        <v>36</v>
      </c>
      <c r="K507" t="s">
        <v>29</v>
      </c>
      <c r="L507" t="str">
        <f t="array" ref="L507">_xlfn.IFS(HR_Data[[#This Row],[Experience]]&lt;2,"0-2 Years",HR_Data[[#This Row],[Experience]]&lt;5,"2-5 Years",HR_Data[[#This Row],[Experience]]&lt;10,"5-10 Years",TRUE(),"10+ Years")</f>
        <v>10+ Years</v>
      </c>
      <c r="M507" t="str">
        <f t="array" ref="M507">_xlfn.IFS(HR_Data[[#This Row],[Salary]]&lt;40000,"Low",HR_Data[[#This Row],[Salary]]&lt;70000,"Medium",HR_Data[[#This Row],[Salary]]&lt;100000,"High",TRUE(),"Very High")</f>
        <v>High</v>
      </c>
      <c r="N507" t="str">
        <f t="array" ref="N507">_xlfn.IFS(HR_Data[[#This Row],[Age]]&lt;25,"18-24",HR_Data[[#This Row],[Age]]&lt;35,"25-34",HR_Data[[#This Row],[Age]]&lt;45,"35-44",TRUE(),"45+")</f>
        <v>35-44</v>
      </c>
      <c r="O507">
        <f>YEAR(HR_Data[[#This Row],[Joining Date]])</f>
        <v>2015</v>
      </c>
      <c r="P507" t="str">
        <f>TEXT(HR_Data[[#This Row],[Joining Date]],"mmmm")</f>
        <v>December</v>
      </c>
      <c r="Q507">
        <f t="array" ref="Q507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07">
        <f>HR_Data[[#This Row],[Salary]]*HR_Data[[#This Row],[Bonus %]]</f>
        <v>7826.6</v>
      </c>
      <c r="S507">
        <f>HR_Data[[#This Row],[Salary]]+HR_Data[[#This Row],[Bonus Amount]]</f>
        <v>86092.6</v>
      </c>
      <c r="T507" t="str">
        <f>IF(HR_Data[[#This Row],[Attrition]]="Yes","Inactive","Active")</f>
        <v>Active</v>
      </c>
      <c r="U507" t="str">
        <f t="array" ref="U507">_xlfn.IFS(HR_Data[[#This Row],[Salary]]&gt;=100000,"A",HR_Data[[#This Row],[Salary]]&gt;=70000,"B",HR_Data[[#This Row],[Salary]]&gt;=50000,"C",TRUE(),"D")</f>
        <v>B</v>
      </c>
      <c r="V507" t="str">
        <f t="array" ref="V507">_xlfn.IFS(HR_Data[[#This Row],[Experience]]&gt;=15,"Expert",HR_Data[[#This Row],[Experience]]&gt;=8,"Senior",HR_Data[[#This Row],[Experience]]&gt;=3,"Mid-Level",TRUE(),"Junior")</f>
        <v>Expert</v>
      </c>
    </row>
    <row r="508" spans="1:22" ht="14.25" customHeight="1" x14ac:dyDescent="0.3">
      <c r="A508" t="s">
        <v>1214</v>
      </c>
      <c r="B508" t="s">
        <v>823</v>
      </c>
      <c r="C508" t="s">
        <v>112</v>
      </c>
      <c r="D508" t="s">
        <v>25</v>
      </c>
      <c r="E508">
        <v>32</v>
      </c>
      <c r="F508">
        <v>51171</v>
      </c>
      <c r="G508">
        <v>6</v>
      </c>
      <c r="H508" t="s">
        <v>1215</v>
      </c>
      <c r="I508" t="s">
        <v>45</v>
      </c>
      <c r="J508" t="s">
        <v>46</v>
      </c>
      <c r="K508" t="s">
        <v>29</v>
      </c>
      <c r="L508" t="str">
        <f t="array" ref="L508">_xlfn.IFS(HR_Data[[#This Row],[Experience]]&lt;2,"0-2 Years",HR_Data[[#This Row],[Experience]]&lt;5,"2-5 Years",HR_Data[[#This Row],[Experience]]&lt;10,"5-10 Years",TRUE(),"10+ Years")</f>
        <v>5-10 Years</v>
      </c>
      <c r="M508" t="str">
        <f t="array" ref="M508">_xlfn.IFS(HR_Data[[#This Row],[Salary]]&lt;40000,"Low",HR_Data[[#This Row],[Salary]]&lt;70000,"Medium",HR_Data[[#This Row],[Salary]]&lt;100000,"High",TRUE(),"Very High")</f>
        <v>Medium</v>
      </c>
      <c r="N508" t="str">
        <f t="array" ref="N508">_xlfn.IFS(HR_Data[[#This Row],[Age]]&lt;25,"18-24",HR_Data[[#This Row],[Age]]&lt;35,"25-34",HR_Data[[#This Row],[Age]]&lt;45,"35-44",TRUE(),"45+")</f>
        <v>25-34</v>
      </c>
      <c r="O508">
        <f>YEAR(HR_Data[[#This Row],[Joining Date]])</f>
        <v>2015</v>
      </c>
      <c r="P508" t="str">
        <f>TEXT(HR_Data[[#This Row],[Joining Date]],"mmmm")</f>
        <v>December</v>
      </c>
      <c r="Q508">
        <f t="array" ref="Q508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508">
        <f>HR_Data[[#This Row],[Salary]]*HR_Data[[#This Row],[Bonus %]]</f>
        <v>2558.5500000000002</v>
      </c>
      <c r="S508">
        <f>HR_Data[[#This Row],[Salary]]+HR_Data[[#This Row],[Bonus Amount]]</f>
        <v>53729.55</v>
      </c>
      <c r="T508" t="str">
        <f>IF(HR_Data[[#This Row],[Attrition]]="Yes","Inactive","Active")</f>
        <v>Active</v>
      </c>
      <c r="U508" t="str">
        <f t="array" ref="U508">_xlfn.IFS(HR_Data[[#This Row],[Salary]]&gt;=100000,"A",HR_Data[[#This Row],[Salary]]&gt;=70000,"B",HR_Data[[#This Row],[Salary]]&gt;=50000,"C",TRUE(),"D")</f>
        <v>C</v>
      </c>
      <c r="V508" t="str">
        <f t="array" ref="V508">_xlfn.IFS(HR_Data[[#This Row],[Experience]]&gt;=15,"Expert",HR_Data[[#This Row],[Experience]]&gt;=8,"Senior",HR_Data[[#This Row],[Experience]]&gt;=3,"Mid-Level",TRUE(),"Junior")</f>
        <v>Mid-Level</v>
      </c>
    </row>
    <row r="509" spans="1:22" ht="14.25" customHeight="1" x14ac:dyDescent="0.3">
      <c r="A509" t="s">
        <v>1216</v>
      </c>
      <c r="B509" t="s">
        <v>242</v>
      </c>
      <c r="C509" t="s">
        <v>70</v>
      </c>
      <c r="D509" t="s">
        <v>25</v>
      </c>
      <c r="E509">
        <v>25</v>
      </c>
      <c r="F509">
        <v>36141</v>
      </c>
      <c r="G509">
        <v>3</v>
      </c>
      <c r="H509" t="s">
        <v>1217</v>
      </c>
      <c r="I509" t="s">
        <v>80</v>
      </c>
      <c r="J509" t="s">
        <v>28</v>
      </c>
      <c r="K509" t="s">
        <v>29</v>
      </c>
      <c r="L509" t="str">
        <f t="array" ref="L509">_xlfn.IFS(HR_Data[[#This Row],[Experience]]&lt;2,"0-2 Years",HR_Data[[#This Row],[Experience]]&lt;5,"2-5 Years",HR_Data[[#This Row],[Experience]]&lt;10,"5-10 Years",TRUE(),"10+ Years")</f>
        <v>2-5 Years</v>
      </c>
      <c r="M509" t="str">
        <f t="array" ref="M509">_xlfn.IFS(HR_Data[[#This Row],[Salary]]&lt;40000,"Low",HR_Data[[#This Row],[Salary]]&lt;70000,"Medium",HR_Data[[#This Row],[Salary]]&lt;100000,"High",TRUE(),"Very High")</f>
        <v>Low</v>
      </c>
      <c r="N509" t="str">
        <f t="array" ref="N509">_xlfn.IFS(HR_Data[[#This Row],[Age]]&lt;25,"18-24",HR_Data[[#This Row],[Age]]&lt;35,"25-34",HR_Data[[#This Row],[Age]]&lt;45,"35-44",TRUE(),"45+")</f>
        <v>25-34</v>
      </c>
      <c r="O509">
        <f>YEAR(HR_Data[[#This Row],[Joining Date]])</f>
        <v>2024</v>
      </c>
      <c r="P509" t="str">
        <f>TEXT(HR_Data[[#This Row],[Joining Date]],"mmmm")</f>
        <v>November</v>
      </c>
      <c r="Q509">
        <f t="array" ref="Q50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09">
        <f>HR_Data[[#This Row],[Salary]]*HR_Data[[#This Row],[Bonus %]]</f>
        <v>5421.15</v>
      </c>
      <c r="S509">
        <f>HR_Data[[#This Row],[Salary]]+HR_Data[[#This Row],[Bonus Amount]]</f>
        <v>41562.15</v>
      </c>
      <c r="T509" t="str">
        <f>IF(HR_Data[[#This Row],[Attrition]]="Yes","Inactive","Active")</f>
        <v>Active</v>
      </c>
      <c r="U509" t="str">
        <f t="array" ref="U509">_xlfn.IFS(HR_Data[[#This Row],[Salary]]&gt;=100000,"A",HR_Data[[#This Row],[Salary]]&gt;=70000,"B",HR_Data[[#This Row],[Salary]]&gt;=50000,"C",TRUE(),"D")</f>
        <v>D</v>
      </c>
      <c r="V509" t="str">
        <f t="array" ref="V509">_xlfn.IFS(HR_Data[[#This Row],[Experience]]&gt;=15,"Expert",HR_Data[[#This Row],[Experience]]&gt;=8,"Senior",HR_Data[[#This Row],[Experience]]&gt;=3,"Mid-Level",TRUE(),"Junior")</f>
        <v>Mid-Level</v>
      </c>
    </row>
    <row r="510" spans="1:22" ht="14.25" customHeight="1" x14ac:dyDescent="0.3">
      <c r="A510" t="s">
        <v>1218</v>
      </c>
      <c r="B510" t="s">
        <v>406</v>
      </c>
      <c r="C510" t="s">
        <v>40</v>
      </c>
      <c r="D510" t="s">
        <v>33</v>
      </c>
      <c r="E510">
        <v>33</v>
      </c>
      <c r="F510">
        <v>43540</v>
      </c>
      <c r="G510">
        <v>3</v>
      </c>
      <c r="H510" t="s">
        <v>1219</v>
      </c>
      <c r="I510" t="s">
        <v>72</v>
      </c>
      <c r="J510" t="s">
        <v>36</v>
      </c>
      <c r="K510" t="s">
        <v>29</v>
      </c>
      <c r="L510" t="str">
        <f t="array" ref="L510">_xlfn.IFS(HR_Data[[#This Row],[Experience]]&lt;2,"0-2 Years",HR_Data[[#This Row],[Experience]]&lt;5,"2-5 Years",HR_Data[[#This Row],[Experience]]&lt;10,"5-10 Years",TRUE(),"10+ Years")</f>
        <v>2-5 Years</v>
      </c>
      <c r="M510" t="str">
        <f t="array" ref="M510">_xlfn.IFS(HR_Data[[#This Row],[Salary]]&lt;40000,"Low",HR_Data[[#This Row],[Salary]]&lt;70000,"Medium",HR_Data[[#This Row],[Salary]]&lt;100000,"High",TRUE(),"Very High")</f>
        <v>Medium</v>
      </c>
      <c r="N510" t="str">
        <f t="array" ref="N510">_xlfn.IFS(HR_Data[[#This Row],[Age]]&lt;25,"18-24",HR_Data[[#This Row],[Age]]&lt;35,"25-34",HR_Data[[#This Row],[Age]]&lt;45,"35-44",TRUE(),"45+")</f>
        <v>25-34</v>
      </c>
      <c r="O510">
        <f>YEAR(HR_Data[[#This Row],[Joining Date]])</f>
        <v>2018</v>
      </c>
      <c r="P510" t="str">
        <f>TEXT(HR_Data[[#This Row],[Joining Date]],"mmmm")</f>
        <v>March</v>
      </c>
      <c r="Q510">
        <f t="array" ref="Q51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10">
        <f>HR_Data[[#This Row],[Salary]]*HR_Data[[#This Row],[Bonus %]]</f>
        <v>4354</v>
      </c>
      <c r="S510">
        <f>HR_Data[[#This Row],[Salary]]+HR_Data[[#This Row],[Bonus Amount]]</f>
        <v>47894</v>
      </c>
      <c r="T510" t="str">
        <f>IF(HR_Data[[#This Row],[Attrition]]="Yes","Inactive","Active")</f>
        <v>Active</v>
      </c>
      <c r="U510" t="str">
        <f t="array" ref="U510">_xlfn.IFS(HR_Data[[#This Row],[Salary]]&gt;=100000,"A",HR_Data[[#This Row],[Salary]]&gt;=70000,"B",HR_Data[[#This Row],[Salary]]&gt;=50000,"C",TRUE(),"D")</f>
        <v>D</v>
      </c>
      <c r="V510" t="str">
        <f t="array" ref="V510">_xlfn.IFS(HR_Data[[#This Row],[Experience]]&gt;=15,"Expert",HR_Data[[#This Row],[Experience]]&gt;=8,"Senior",HR_Data[[#This Row],[Experience]]&gt;=3,"Mid-Level",TRUE(),"Junior")</f>
        <v>Mid-Level</v>
      </c>
    </row>
    <row r="511" spans="1:22" ht="14.25" customHeight="1" x14ac:dyDescent="0.3">
      <c r="A511" t="s">
        <v>1220</v>
      </c>
      <c r="B511" t="s">
        <v>561</v>
      </c>
      <c r="C511" t="s">
        <v>60</v>
      </c>
      <c r="D511" t="s">
        <v>25</v>
      </c>
      <c r="E511">
        <v>55</v>
      </c>
      <c r="F511">
        <v>138680</v>
      </c>
      <c r="G511">
        <v>34</v>
      </c>
      <c r="H511" t="s">
        <v>1221</v>
      </c>
      <c r="I511" t="s">
        <v>42</v>
      </c>
      <c r="J511" t="s">
        <v>28</v>
      </c>
      <c r="K511" t="s">
        <v>37</v>
      </c>
      <c r="L511" t="str">
        <f t="array" ref="L511">_xlfn.IFS(HR_Data[[#This Row],[Experience]]&lt;2,"0-2 Years",HR_Data[[#This Row],[Experience]]&lt;5,"2-5 Years",HR_Data[[#This Row],[Experience]]&lt;10,"5-10 Years",TRUE(),"10+ Years")</f>
        <v>10+ Years</v>
      </c>
      <c r="M511" t="str">
        <f t="array" ref="M511">_xlfn.IFS(HR_Data[[#This Row],[Salary]]&lt;40000,"Low",HR_Data[[#This Row],[Salary]]&lt;70000,"Medium",HR_Data[[#This Row],[Salary]]&lt;100000,"High",TRUE(),"Very High")</f>
        <v>Very High</v>
      </c>
      <c r="N511" t="str">
        <f t="array" ref="N511">_xlfn.IFS(HR_Data[[#This Row],[Age]]&lt;25,"18-24",HR_Data[[#This Row],[Age]]&lt;35,"25-34",HR_Data[[#This Row],[Age]]&lt;45,"35-44",TRUE(),"45+")</f>
        <v>45+</v>
      </c>
      <c r="O511">
        <f>YEAR(HR_Data[[#This Row],[Joining Date]])</f>
        <v>2024</v>
      </c>
      <c r="P511" t="str">
        <f>TEXT(HR_Data[[#This Row],[Joining Date]],"mmmm")</f>
        <v>April</v>
      </c>
      <c r="Q511">
        <f t="array" ref="Q511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11">
        <f>HR_Data[[#This Row],[Salary]]*HR_Data[[#This Row],[Bonus %]]</f>
        <v>20802</v>
      </c>
      <c r="S511">
        <f>HR_Data[[#This Row],[Salary]]+HR_Data[[#This Row],[Bonus Amount]]</f>
        <v>159482</v>
      </c>
      <c r="T511" t="str">
        <f>IF(HR_Data[[#This Row],[Attrition]]="Yes","Inactive","Active")</f>
        <v>Inactive</v>
      </c>
      <c r="U511" t="str">
        <f t="array" ref="U511">_xlfn.IFS(HR_Data[[#This Row],[Salary]]&gt;=100000,"A",HR_Data[[#This Row],[Salary]]&gt;=70000,"B",HR_Data[[#This Row],[Salary]]&gt;=50000,"C",TRUE(),"D")</f>
        <v>A</v>
      </c>
      <c r="V511" t="str">
        <f t="array" ref="V511">_xlfn.IFS(HR_Data[[#This Row],[Experience]]&gt;=15,"Expert",HR_Data[[#This Row],[Experience]]&gt;=8,"Senior",HR_Data[[#This Row],[Experience]]&gt;=3,"Mid-Level",TRUE(),"Junior")</f>
        <v>Expert</v>
      </c>
    </row>
    <row r="512" spans="1:22" ht="14.25" customHeight="1" x14ac:dyDescent="0.3">
      <c r="A512" t="s">
        <v>1222</v>
      </c>
      <c r="B512" t="s">
        <v>325</v>
      </c>
      <c r="C512" t="s">
        <v>75</v>
      </c>
      <c r="D512" t="s">
        <v>25</v>
      </c>
      <c r="E512">
        <v>40</v>
      </c>
      <c r="F512">
        <v>73573</v>
      </c>
      <c r="G512">
        <v>16</v>
      </c>
      <c r="H512" t="s">
        <v>1223</v>
      </c>
      <c r="I512" t="s">
        <v>45</v>
      </c>
      <c r="J512" t="s">
        <v>63</v>
      </c>
      <c r="K512" t="s">
        <v>29</v>
      </c>
      <c r="L512" t="str">
        <f t="array" ref="L512">_xlfn.IFS(HR_Data[[#This Row],[Experience]]&lt;2,"0-2 Years",HR_Data[[#This Row],[Experience]]&lt;5,"2-5 Years",HR_Data[[#This Row],[Experience]]&lt;10,"5-10 Years",TRUE(),"10+ Years")</f>
        <v>10+ Years</v>
      </c>
      <c r="M512" t="str">
        <f t="array" ref="M512">_xlfn.IFS(HR_Data[[#This Row],[Salary]]&lt;40000,"Low",HR_Data[[#This Row],[Salary]]&lt;70000,"Medium",HR_Data[[#This Row],[Salary]]&lt;100000,"High",TRUE(),"Very High")</f>
        <v>High</v>
      </c>
      <c r="N512" t="str">
        <f t="array" ref="N512">_xlfn.IFS(HR_Data[[#This Row],[Age]]&lt;25,"18-24",HR_Data[[#This Row],[Age]]&lt;35,"25-34",HR_Data[[#This Row],[Age]]&lt;45,"35-44",TRUE(),"45+")</f>
        <v>35-44</v>
      </c>
      <c r="O512">
        <f>YEAR(HR_Data[[#This Row],[Joining Date]])</f>
        <v>2017</v>
      </c>
      <c r="P512" t="str">
        <f>TEXT(HR_Data[[#This Row],[Joining Date]],"mmmm")</f>
        <v>October</v>
      </c>
      <c r="Q512">
        <f t="array" ref="Q512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512">
        <f>HR_Data[[#This Row],[Salary]]*HR_Data[[#This Row],[Bonus %]]</f>
        <v>14714.6</v>
      </c>
      <c r="S512">
        <f>HR_Data[[#This Row],[Salary]]+HR_Data[[#This Row],[Bonus Amount]]</f>
        <v>88287.6</v>
      </c>
      <c r="T512" t="str">
        <f>IF(HR_Data[[#This Row],[Attrition]]="Yes","Inactive","Active")</f>
        <v>Active</v>
      </c>
      <c r="U512" t="str">
        <f t="array" ref="U512">_xlfn.IFS(HR_Data[[#This Row],[Salary]]&gt;=100000,"A",HR_Data[[#This Row],[Salary]]&gt;=70000,"B",HR_Data[[#This Row],[Salary]]&gt;=50000,"C",TRUE(),"D")</f>
        <v>B</v>
      </c>
      <c r="V512" t="str">
        <f t="array" ref="V512">_xlfn.IFS(HR_Data[[#This Row],[Experience]]&gt;=15,"Expert",HR_Data[[#This Row],[Experience]]&gt;=8,"Senior",HR_Data[[#This Row],[Experience]]&gt;=3,"Mid-Level",TRUE(),"Junior")</f>
        <v>Expert</v>
      </c>
    </row>
    <row r="513" spans="1:22" ht="14.25" customHeight="1" x14ac:dyDescent="0.3">
      <c r="A513" t="s">
        <v>1224</v>
      </c>
      <c r="B513" t="s">
        <v>294</v>
      </c>
      <c r="C513" t="s">
        <v>70</v>
      </c>
      <c r="D513" t="s">
        <v>33</v>
      </c>
      <c r="E513">
        <v>35</v>
      </c>
      <c r="F513">
        <v>67033</v>
      </c>
      <c r="G513">
        <v>10</v>
      </c>
      <c r="H513" t="s">
        <v>1225</v>
      </c>
      <c r="I513" t="s">
        <v>132</v>
      </c>
      <c r="J513" t="s">
        <v>63</v>
      </c>
      <c r="K513" t="s">
        <v>29</v>
      </c>
      <c r="L513" t="str">
        <f t="array" ref="L513">_xlfn.IFS(HR_Data[[#This Row],[Experience]]&lt;2,"0-2 Years",HR_Data[[#This Row],[Experience]]&lt;5,"2-5 Years",HR_Data[[#This Row],[Experience]]&lt;10,"5-10 Years",TRUE(),"10+ Years")</f>
        <v>10+ Years</v>
      </c>
      <c r="M513" t="str">
        <f t="array" ref="M513">_xlfn.IFS(HR_Data[[#This Row],[Salary]]&lt;40000,"Low",HR_Data[[#This Row],[Salary]]&lt;70000,"Medium",HR_Data[[#This Row],[Salary]]&lt;100000,"High",TRUE(),"Very High")</f>
        <v>Medium</v>
      </c>
      <c r="N513" t="str">
        <f t="array" ref="N513">_xlfn.IFS(HR_Data[[#This Row],[Age]]&lt;25,"18-24",HR_Data[[#This Row],[Age]]&lt;35,"25-34",HR_Data[[#This Row],[Age]]&lt;45,"35-44",TRUE(),"45+")</f>
        <v>35-44</v>
      </c>
      <c r="O513">
        <f>YEAR(HR_Data[[#This Row],[Joining Date]])</f>
        <v>2023</v>
      </c>
      <c r="P513" t="str">
        <f>TEXT(HR_Data[[#This Row],[Joining Date]],"mmmm")</f>
        <v>July</v>
      </c>
      <c r="Q513">
        <f t="array" ref="Q513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513">
        <f>HR_Data[[#This Row],[Salary]]*HR_Data[[#This Row],[Bonus %]]</f>
        <v>13406.6</v>
      </c>
      <c r="S513">
        <f>HR_Data[[#This Row],[Salary]]+HR_Data[[#This Row],[Bonus Amount]]</f>
        <v>80439.600000000006</v>
      </c>
      <c r="T513" t="str">
        <f>IF(HR_Data[[#This Row],[Attrition]]="Yes","Inactive","Active")</f>
        <v>Active</v>
      </c>
      <c r="U513" t="str">
        <f t="array" ref="U513">_xlfn.IFS(HR_Data[[#This Row],[Salary]]&gt;=100000,"A",HR_Data[[#This Row],[Salary]]&gt;=70000,"B",HR_Data[[#This Row],[Salary]]&gt;=50000,"C",TRUE(),"D")</f>
        <v>C</v>
      </c>
      <c r="V513" t="str">
        <f t="array" ref="V513">_xlfn.IFS(HR_Data[[#This Row],[Experience]]&gt;=15,"Expert",HR_Data[[#This Row],[Experience]]&gt;=8,"Senior",HR_Data[[#This Row],[Experience]]&gt;=3,"Mid-Level",TRUE(),"Junior")</f>
        <v>Senior</v>
      </c>
    </row>
    <row r="514" spans="1:22" ht="14.25" customHeight="1" x14ac:dyDescent="0.3">
      <c r="A514" t="s">
        <v>1226</v>
      </c>
      <c r="B514" t="s">
        <v>304</v>
      </c>
      <c r="C514" t="s">
        <v>70</v>
      </c>
      <c r="D514" t="s">
        <v>33</v>
      </c>
      <c r="E514">
        <v>41</v>
      </c>
      <c r="F514">
        <v>53881</v>
      </c>
      <c r="G514">
        <v>11</v>
      </c>
      <c r="H514" t="s">
        <v>1227</v>
      </c>
      <c r="I514" t="s">
        <v>132</v>
      </c>
      <c r="J514" t="s">
        <v>28</v>
      </c>
      <c r="K514" t="s">
        <v>29</v>
      </c>
      <c r="L514" t="str">
        <f t="array" ref="L514">_xlfn.IFS(HR_Data[[#This Row],[Experience]]&lt;2,"0-2 Years",HR_Data[[#This Row],[Experience]]&lt;5,"2-5 Years",HR_Data[[#This Row],[Experience]]&lt;10,"5-10 Years",TRUE(),"10+ Years")</f>
        <v>10+ Years</v>
      </c>
      <c r="M514" t="str">
        <f t="array" ref="M514">_xlfn.IFS(HR_Data[[#This Row],[Salary]]&lt;40000,"Low",HR_Data[[#This Row],[Salary]]&lt;70000,"Medium",HR_Data[[#This Row],[Salary]]&lt;100000,"High",TRUE(),"Very High")</f>
        <v>Medium</v>
      </c>
      <c r="N514" t="str">
        <f t="array" ref="N514">_xlfn.IFS(HR_Data[[#This Row],[Age]]&lt;25,"18-24",HR_Data[[#This Row],[Age]]&lt;35,"25-34",HR_Data[[#This Row],[Age]]&lt;45,"35-44",TRUE(),"45+")</f>
        <v>35-44</v>
      </c>
      <c r="O514">
        <f>YEAR(HR_Data[[#This Row],[Joining Date]])</f>
        <v>2024</v>
      </c>
      <c r="P514" t="str">
        <f>TEXT(HR_Data[[#This Row],[Joining Date]],"mmmm")</f>
        <v>May</v>
      </c>
      <c r="Q514">
        <f t="array" ref="Q514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14">
        <f>HR_Data[[#This Row],[Salary]]*HR_Data[[#This Row],[Bonus %]]</f>
        <v>8082.15</v>
      </c>
      <c r="S514">
        <f>HR_Data[[#This Row],[Salary]]+HR_Data[[#This Row],[Bonus Amount]]</f>
        <v>61963.15</v>
      </c>
      <c r="T514" t="str">
        <f>IF(HR_Data[[#This Row],[Attrition]]="Yes","Inactive","Active")</f>
        <v>Active</v>
      </c>
      <c r="U514" t="str">
        <f t="array" ref="U514">_xlfn.IFS(HR_Data[[#This Row],[Salary]]&gt;=100000,"A",HR_Data[[#This Row],[Salary]]&gt;=70000,"B",HR_Data[[#This Row],[Salary]]&gt;=50000,"C",TRUE(),"D")</f>
        <v>C</v>
      </c>
      <c r="V514" t="str">
        <f t="array" ref="V514">_xlfn.IFS(HR_Data[[#This Row],[Experience]]&gt;=15,"Expert",HR_Data[[#This Row],[Experience]]&gt;=8,"Senior",HR_Data[[#This Row],[Experience]]&gt;=3,"Mid-Level",TRUE(),"Junior")</f>
        <v>Senior</v>
      </c>
    </row>
    <row r="515" spans="1:22" ht="14.25" customHeight="1" x14ac:dyDescent="0.3">
      <c r="A515" t="s">
        <v>1228</v>
      </c>
      <c r="B515" t="s">
        <v>828</v>
      </c>
      <c r="C515" t="s">
        <v>24</v>
      </c>
      <c r="D515" t="s">
        <v>25</v>
      </c>
      <c r="E515">
        <v>31</v>
      </c>
      <c r="F515">
        <v>63693</v>
      </c>
      <c r="G515">
        <v>12</v>
      </c>
      <c r="H515" t="s">
        <v>1229</v>
      </c>
      <c r="I515" t="s">
        <v>57</v>
      </c>
      <c r="J515" t="s">
        <v>36</v>
      </c>
      <c r="K515" t="s">
        <v>29</v>
      </c>
      <c r="L515" t="str">
        <f t="array" ref="L515">_xlfn.IFS(HR_Data[[#This Row],[Experience]]&lt;2,"0-2 Years",HR_Data[[#This Row],[Experience]]&lt;5,"2-5 Years",HR_Data[[#This Row],[Experience]]&lt;10,"5-10 Years",TRUE(),"10+ Years")</f>
        <v>10+ Years</v>
      </c>
      <c r="M515" t="str">
        <f t="array" ref="M515">_xlfn.IFS(HR_Data[[#This Row],[Salary]]&lt;40000,"Low",HR_Data[[#This Row],[Salary]]&lt;70000,"Medium",HR_Data[[#This Row],[Salary]]&lt;100000,"High",TRUE(),"Very High")</f>
        <v>Medium</v>
      </c>
      <c r="N515" t="str">
        <f t="array" ref="N515">_xlfn.IFS(HR_Data[[#This Row],[Age]]&lt;25,"18-24",HR_Data[[#This Row],[Age]]&lt;35,"25-34",HR_Data[[#This Row],[Age]]&lt;45,"35-44",TRUE(),"45+")</f>
        <v>25-34</v>
      </c>
      <c r="O515">
        <f>YEAR(HR_Data[[#This Row],[Joining Date]])</f>
        <v>2015</v>
      </c>
      <c r="P515" t="str">
        <f>TEXT(HR_Data[[#This Row],[Joining Date]],"mmmm")</f>
        <v>April</v>
      </c>
      <c r="Q515">
        <f t="array" ref="Q51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15">
        <f>HR_Data[[#This Row],[Salary]]*HR_Data[[#This Row],[Bonus %]]</f>
        <v>6369.3</v>
      </c>
      <c r="S515">
        <f>HR_Data[[#This Row],[Salary]]+HR_Data[[#This Row],[Bonus Amount]]</f>
        <v>70062.3</v>
      </c>
      <c r="T515" t="str">
        <f>IF(HR_Data[[#This Row],[Attrition]]="Yes","Inactive","Active")</f>
        <v>Active</v>
      </c>
      <c r="U515" t="str">
        <f t="array" ref="U515">_xlfn.IFS(HR_Data[[#This Row],[Salary]]&gt;=100000,"A",HR_Data[[#This Row],[Salary]]&gt;=70000,"B",HR_Data[[#This Row],[Salary]]&gt;=50000,"C",TRUE(),"D")</f>
        <v>C</v>
      </c>
      <c r="V515" t="str">
        <f t="array" ref="V515">_xlfn.IFS(HR_Data[[#This Row],[Experience]]&gt;=15,"Expert",HR_Data[[#This Row],[Experience]]&gt;=8,"Senior",HR_Data[[#This Row],[Experience]]&gt;=3,"Mid-Level",TRUE(),"Junior")</f>
        <v>Senior</v>
      </c>
    </row>
    <row r="516" spans="1:22" ht="14.25" customHeight="1" x14ac:dyDescent="0.3">
      <c r="A516" t="s">
        <v>1230</v>
      </c>
      <c r="B516" t="s">
        <v>582</v>
      </c>
      <c r="C516" t="s">
        <v>60</v>
      </c>
      <c r="D516" t="s">
        <v>25</v>
      </c>
      <c r="E516">
        <v>41</v>
      </c>
      <c r="F516">
        <v>74188</v>
      </c>
      <c r="G516">
        <v>13</v>
      </c>
      <c r="H516" t="s">
        <v>1231</v>
      </c>
      <c r="I516" t="s">
        <v>72</v>
      </c>
      <c r="J516" t="s">
        <v>36</v>
      </c>
      <c r="K516" t="s">
        <v>37</v>
      </c>
      <c r="L516" t="str">
        <f t="array" ref="L516">_xlfn.IFS(HR_Data[[#This Row],[Experience]]&lt;2,"0-2 Years",HR_Data[[#This Row],[Experience]]&lt;5,"2-5 Years",HR_Data[[#This Row],[Experience]]&lt;10,"5-10 Years",TRUE(),"10+ Years")</f>
        <v>10+ Years</v>
      </c>
      <c r="M516" t="str">
        <f t="array" ref="M516">_xlfn.IFS(HR_Data[[#This Row],[Salary]]&lt;40000,"Low",HR_Data[[#This Row],[Salary]]&lt;70000,"Medium",HR_Data[[#This Row],[Salary]]&lt;100000,"High",TRUE(),"Very High")</f>
        <v>High</v>
      </c>
      <c r="N516" t="str">
        <f t="array" ref="N516">_xlfn.IFS(HR_Data[[#This Row],[Age]]&lt;25,"18-24",HR_Data[[#This Row],[Age]]&lt;35,"25-34",HR_Data[[#This Row],[Age]]&lt;45,"35-44",TRUE(),"45+")</f>
        <v>35-44</v>
      </c>
      <c r="O516">
        <f>YEAR(HR_Data[[#This Row],[Joining Date]])</f>
        <v>2025</v>
      </c>
      <c r="P516" t="str">
        <f>TEXT(HR_Data[[#This Row],[Joining Date]],"mmmm")</f>
        <v>March</v>
      </c>
      <c r="Q516">
        <f t="array" ref="Q51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16">
        <f>HR_Data[[#This Row],[Salary]]*HR_Data[[#This Row],[Bonus %]]</f>
        <v>7418.8</v>
      </c>
      <c r="S516">
        <f>HR_Data[[#This Row],[Salary]]+HR_Data[[#This Row],[Bonus Amount]]</f>
        <v>81606.8</v>
      </c>
      <c r="T516" t="str">
        <f>IF(HR_Data[[#This Row],[Attrition]]="Yes","Inactive","Active")</f>
        <v>Inactive</v>
      </c>
      <c r="U516" t="str">
        <f t="array" ref="U516">_xlfn.IFS(HR_Data[[#This Row],[Salary]]&gt;=100000,"A",HR_Data[[#This Row],[Salary]]&gt;=70000,"B",HR_Data[[#This Row],[Salary]]&gt;=50000,"C",TRUE(),"D")</f>
        <v>B</v>
      </c>
      <c r="V516" t="str">
        <f t="array" ref="V516">_xlfn.IFS(HR_Data[[#This Row],[Experience]]&gt;=15,"Expert",HR_Data[[#This Row],[Experience]]&gt;=8,"Senior",HR_Data[[#This Row],[Experience]]&gt;=3,"Mid-Level",TRUE(),"Junior")</f>
        <v>Senior</v>
      </c>
    </row>
    <row r="517" spans="1:22" ht="14.25" customHeight="1" x14ac:dyDescent="0.3">
      <c r="A517" t="s">
        <v>1232</v>
      </c>
      <c r="B517" t="s">
        <v>585</v>
      </c>
      <c r="C517" t="s">
        <v>112</v>
      </c>
      <c r="D517" t="s">
        <v>25</v>
      </c>
      <c r="E517">
        <v>57</v>
      </c>
      <c r="F517">
        <v>130602</v>
      </c>
      <c r="G517">
        <v>35</v>
      </c>
      <c r="H517" t="s">
        <v>1233</v>
      </c>
      <c r="I517" t="s">
        <v>67</v>
      </c>
      <c r="J517" t="s">
        <v>63</v>
      </c>
      <c r="K517" t="s">
        <v>29</v>
      </c>
      <c r="L517" t="str">
        <f t="array" ref="L517">_xlfn.IFS(HR_Data[[#This Row],[Experience]]&lt;2,"0-2 Years",HR_Data[[#This Row],[Experience]]&lt;5,"2-5 Years",HR_Data[[#This Row],[Experience]]&lt;10,"5-10 Years",TRUE(),"10+ Years")</f>
        <v>10+ Years</v>
      </c>
      <c r="M517" t="str">
        <f t="array" ref="M517">_xlfn.IFS(HR_Data[[#This Row],[Salary]]&lt;40000,"Low",HR_Data[[#This Row],[Salary]]&lt;70000,"Medium",HR_Data[[#This Row],[Salary]]&lt;100000,"High",TRUE(),"Very High")</f>
        <v>Very High</v>
      </c>
      <c r="N517" t="str">
        <f t="array" ref="N517">_xlfn.IFS(HR_Data[[#This Row],[Age]]&lt;25,"18-24",HR_Data[[#This Row],[Age]]&lt;35,"25-34",HR_Data[[#This Row],[Age]]&lt;45,"35-44",TRUE(),"45+")</f>
        <v>45+</v>
      </c>
      <c r="O517">
        <f>YEAR(HR_Data[[#This Row],[Joining Date]])</f>
        <v>2019</v>
      </c>
      <c r="P517" t="str">
        <f>TEXT(HR_Data[[#This Row],[Joining Date]],"mmmm")</f>
        <v>February</v>
      </c>
      <c r="Q517">
        <f t="array" ref="Q517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517">
        <f>HR_Data[[#This Row],[Salary]]*HR_Data[[#This Row],[Bonus %]]</f>
        <v>26120.400000000001</v>
      </c>
      <c r="S517">
        <f>HR_Data[[#This Row],[Salary]]+HR_Data[[#This Row],[Bonus Amount]]</f>
        <v>156722.4</v>
      </c>
      <c r="T517" t="str">
        <f>IF(HR_Data[[#This Row],[Attrition]]="Yes","Inactive","Active")</f>
        <v>Active</v>
      </c>
      <c r="U517" t="str">
        <f t="array" ref="U517">_xlfn.IFS(HR_Data[[#This Row],[Salary]]&gt;=100000,"A",HR_Data[[#This Row],[Salary]]&gt;=70000,"B",HR_Data[[#This Row],[Salary]]&gt;=50000,"C",TRUE(),"D")</f>
        <v>A</v>
      </c>
      <c r="V517" t="str">
        <f t="array" ref="V517">_xlfn.IFS(HR_Data[[#This Row],[Experience]]&gt;=15,"Expert",HR_Data[[#This Row],[Experience]]&gt;=8,"Senior",HR_Data[[#This Row],[Experience]]&gt;=3,"Mid-Level",TRUE(),"Junior")</f>
        <v>Expert</v>
      </c>
    </row>
    <row r="518" spans="1:22" ht="14.25" customHeight="1" x14ac:dyDescent="0.3">
      <c r="A518" t="s">
        <v>1234</v>
      </c>
      <c r="B518" t="s">
        <v>231</v>
      </c>
      <c r="C518" t="s">
        <v>24</v>
      </c>
      <c r="D518" t="s">
        <v>33</v>
      </c>
      <c r="E518">
        <v>24</v>
      </c>
      <c r="F518">
        <v>36568</v>
      </c>
      <c r="G518">
        <v>5</v>
      </c>
      <c r="H518" t="s">
        <v>1235</v>
      </c>
      <c r="I518" t="s">
        <v>35</v>
      </c>
      <c r="J518" t="s">
        <v>90</v>
      </c>
      <c r="K518" t="s">
        <v>29</v>
      </c>
      <c r="L518" t="str">
        <f t="array" ref="L518">_xlfn.IFS(HR_Data[[#This Row],[Experience]]&lt;2,"0-2 Years",HR_Data[[#This Row],[Experience]]&lt;5,"2-5 Years",HR_Data[[#This Row],[Experience]]&lt;10,"5-10 Years",TRUE(),"10+ Years")</f>
        <v>5-10 Years</v>
      </c>
      <c r="M518" t="str">
        <f t="array" ref="M518">_xlfn.IFS(HR_Data[[#This Row],[Salary]]&lt;40000,"Low",HR_Data[[#This Row],[Salary]]&lt;70000,"Medium",HR_Data[[#This Row],[Salary]]&lt;100000,"High",TRUE(),"Very High")</f>
        <v>Low</v>
      </c>
      <c r="N518" t="str">
        <f t="array" ref="N518">_xlfn.IFS(HR_Data[[#This Row],[Age]]&lt;25,"18-24",HR_Data[[#This Row],[Age]]&lt;35,"25-34",HR_Data[[#This Row],[Age]]&lt;45,"35-44",TRUE(),"45+")</f>
        <v>18-24</v>
      </c>
      <c r="O518">
        <f>YEAR(HR_Data[[#This Row],[Joining Date]])</f>
        <v>2024</v>
      </c>
      <c r="P518" t="str">
        <f>TEXT(HR_Data[[#This Row],[Joining Date]],"mmmm")</f>
        <v>May</v>
      </c>
      <c r="Q518">
        <f t="array" ref="Q518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518">
        <f>HR_Data[[#This Row],[Salary]]*HR_Data[[#This Row],[Bonus %]]</f>
        <v>0</v>
      </c>
      <c r="S518">
        <f>HR_Data[[#This Row],[Salary]]+HR_Data[[#This Row],[Bonus Amount]]</f>
        <v>36568</v>
      </c>
      <c r="T518" t="str">
        <f>IF(HR_Data[[#This Row],[Attrition]]="Yes","Inactive","Active")</f>
        <v>Active</v>
      </c>
      <c r="U518" t="str">
        <f t="array" ref="U518">_xlfn.IFS(HR_Data[[#This Row],[Salary]]&gt;=100000,"A",HR_Data[[#This Row],[Salary]]&gt;=70000,"B",HR_Data[[#This Row],[Salary]]&gt;=50000,"C",TRUE(),"D")</f>
        <v>D</v>
      </c>
      <c r="V518" t="str">
        <f t="array" ref="V518">_xlfn.IFS(HR_Data[[#This Row],[Experience]]&gt;=15,"Expert",HR_Data[[#This Row],[Experience]]&gt;=8,"Senior",HR_Data[[#This Row],[Experience]]&gt;=3,"Mid-Level",TRUE(),"Junior")</f>
        <v>Mid-Level</v>
      </c>
    </row>
    <row r="519" spans="1:22" ht="14.25" customHeight="1" x14ac:dyDescent="0.3">
      <c r="A519" t="s">
        <v>1236</v>
      </c>
      <c r="B519" t="s">
        <v>1237</v>
      </c>
      <c r="C519" t="s">
        <v>75</v>
      </c>
      <c r="D519" t="s">
        <v>33</v>
      </c>
      <c r="E519">
        <v>42</v>
      </c>
      <c r="F519">
        <v>93651</v>
      </c>
      <c r="G519">
        <v>23</v>
      </c>
      <c r="H519" t="s">
        <v>1238</v>
      </c>
      <c r="I519" t="s">
        <v>80</v>
      </c>
      <c r="J519" t="s">
        <v>28</v>
      </c>
      <c r="K519" t="s">
        <v>29</v>
      </c>
      <c r="L519" t="str">
        <f t="array" ref="L519">_xlfn.IFS(HR_Data[[#This Row],[Experience]]&lt;2,"0-2 Years",HR_Data[[#This Row],[Experience]]&lt;5,"2-5 Years",HR_Data[[#This Row],[Experience]]&lt;10,"5-10 Years",TRUE(),"10+ Years")</f>
        <v>10+ Years</v>
      </c>
      <c r="M519" t="str">
        <f t="array" ref="M519">_xlfn.IFS(HR_Data[[#This Row],[Salary]]&lt;40000,"Low",HR_Data[[#This Row],[Salary]]&lt;70000,"Medium",HR_Data[[#This Row],[Salary]]&lt;100000,"High",TRUE(),"Very High")</f>
        <v>High</v>
      </c>
      <c r="N519" t="str">
        <f t="array" ref="N519">_xlfn.IFS(HR_Data[[#This Row],[Age]]&lt;25,"18-24",HR_Data[[#This Row],[Age]]&lt;35,"25-34",HR_Data[[#This Row],[Age]]&lt;45,"35-44",TRUE(),"45+")</f>
        <v>35-44</v>
      </c>
      <c r="O519">
        <f>YEAR(HR_Data[[#This Row],[Joining Date]])</f>
        <v>2021</v>
      </c>
      <c r="P519" t="str">
        <f>TEXT(HR_Data[[#This Row],[Joining Date]],"mmmm")</f>
        <v>September</v>
      </c>
      <c r="Q519">
        <f t="array" ref="Q51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19">
        <f>HR_Data[[#This Row],[Salary]]*HR_Data[[#This Row],[Bonus %]]</f>
        <v>14047.65</v>
      </c>
      <c r="S519">
        <f>HR_Data[[#This Row],[Salary]]+HR_Data[[#This Row],[Bonus Amount]]</f>
        <v>107698.65</v>
      </c>
      <c r="T519" t="str">
        <f>IF(HR_Data[[#This Row],[Attrition]]="Yes","Inactive","Active")</f>
        <v>Active</v>
      </c>
      <c r="U519" t="str">
        <f t="array" ref="U519">_xlfn.IFS(HR_Data[[#This Row],[Salary]]&gt;=100000,"A",HR_Data[[#This Row],[Salary]]&gt;=70000,"B",HR_Data[[#This Row],[Salary]]&gt;=50000,"C",TRUE(),"D")</f>
        <v>B</v>
      </c>
      <c r="V519" t="str">
        <f t="array" ref="V519">_xlfn.IFS(HR_Data[[#This Row],[Experience]]&gt;=15,"Expert",HR_Data[[#This Row],[Experience]]&gt;=8,"Senior",HR_Data[[#This Row],[Experience]]&gt;=3,"Mid-Level",TRUE(),"Junior")</f>
        <v>Expert</v>
      </c>
    </row>
    <row r="520" spans="1:22" ht="14.25" customHeight="1" x14ac:dyDescent="0.3">
      <c r="A520" t="s">
        <v>1239</v>
      </c>
      <c r="B520" t="s">
        <v>940</v>
      </c>
      <c r="C520" t="s">
        <v>24</v>
      </c>
      <c r="D520" t="s">
        <v>33</v>
      </c>
      <c r="E520">
        <v>51</v>
      </c>
      <c r="F520">
        <v>116998</v>
      </c>
      <c r="G520">
        <v>30</v>
      </c>
      <c r="H520" t="s">
        <v>494</v>
      </c>
      <c r="I520" t="s">
        <v>42</v>
      </c>
      <c r="J520" t="s">
        <v>28</v>
      </c>
      <c r="K520" t="s">
        <v>29</v>
      </c>
      <c r="L520" t="str">
        <f t="array" ref="L520">_xlfn.IFS(HR_Data[[#This Row],[Experience]]&lt;2,"0-2 Years",HR_Data[[#This Row],[Experience]]&lt;5,"2-5 Years",HR_Data[[#This Row],[Experience]]&lt;10,"5-10 Years",TRUE(),"10+ Years")</f>
        <v>10+ Years</v>
      </c>
      <c r="M520" t="str">
        <f t="array" ref="M520">_xlfn.IFS(HR_Data[[#This Row],[Salary]]&lt;40000,"Low",HR_Data[[#This Row],[Salary]]&lt;70000,"Medium",HR_Data[[#This Row],[Salary]]&lt;100000,"High",TRUE(),"Very High")</f>
        <v>Very High</v>
      </c>
      <c r="N520" t="str">
        <f t="array" ref="N520">_xlfn.IFS(HR_Data[[#This Row],[Age]]&lt;25,"18-24",HR_Data[[#This Row],[Age]]&lt;35,"25-34",HR_Data[[#This Row],[Age]]&lt;45,"35-44",TRUE(),"45+")</f>
        <v>45+</v>
      </c>
      <c r="O520">
        <f>YEAR(HR_Data[[#This Row],[Joining Date]])</f>
        <v>2021</v>
      </c>
      <c r="P520" t="str">
        <f>TEXT(HR_Data[[#This Row],[Joining Date]],"mmmm")</f>
        <v>February</v>
      </c>
      <c r="Q520">
        <f t="array" ref="Q520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20">
        <f>HR_Data[[#This Row],[Salary]]*HR_Data[[#This Row],[Bonus %]]</f>
        <v>17549.7</v>
      </c>
      <c r="S520">
        <f>HR_Data[[#This Row],[Salary]]+HR_Data[[#This Row],[Bonus Amount]]</f>
        <v>134547.70000000001</v>
      </c>
      <c r="T520" t="str">
        <f>IF(HR_Data[[#This Row],[Attrition]]="Yes","Inactive","Active")</f>
        <v>Active</v>
      </c>
      <c r="U520" t="str">
        <f t="array" ref="U520">_xlfn.IFS(HR_Data[[#This Row],[Salary]]&gt;=100000,"A",HR_Data[[#This Row],[Salary]]&gt;=70000,"B",HR_Data[[#This Row],[Salary]]&gt;=50000,"C",TRUE(),"D")</f>
        <v>A</v>
      </c>
      <c r="V520" t="str">
        <f t="array" ref="V520">_xlfn.IFS(HR_Data[[#This Row],[Experience]]&gt;=15,"Expert",HR_Data[[#This Row],[Experience]]&gt;=8,"Senior",HR_Data[[#This Row],[Experience]]&gt;=3,"Mid-Level",TRUE(),"Junior")</f>
        <v>Expert</v>
      </c>
    </row>
    <row r="521" spans="1:22" ht="14.25" customHeight="1" x14ac:dyDescent="0.3">
      <c r="A521" t="s">
        <v>1240</v>
      </c>
      <c r="B521" t="s">
        <v>78</v>
      </c>
      <c r="C521" t="s">
        <v>24</v>
      </c>
      <c r="D521" t="s">
        <v>25</v>
      </c>
      <c r="E521">
        <v>53</v>
      </c>
      <c r="F521">
        <v>138448</v>
      </c>
      <c r="G521">
        <v>33</v>
      </c>
      <c r="H521" t="s">
        <v>1241</v>
      </c>
      <c r="I521" t="s">
        <v>132</v>
      </c>
      <c r="J521" t="s">
        <v>36</v>
      </c>
      <c r="K521" t="s">
        <v>29</v>
      </c>
      <c r="L521" t="str">
        <f t="array" ref="L521">_xlfn.IFS(HR_Data[[#This Row],[Experience]]&lt;2,"0-2 Years",HR_Data[[#This Row],[Experience]]&lt;5,"2-5 Years",HR_Data[[#This Row],[Experience]]&lt;10,"5-10 Years",TRUE(),"10+ Years")</f>
        <v>10+ Years</v>
      </c>
      <c r="M521" t="str">
        <f t="array" ref="M521">_xlfn.IFS(HR_Data[[#This Row],[Salary]]&lt;40000,"Low",HR_Data[[#This Row],[Salary]]&lt;70000,"Medium",HR_Data[[#This Row],[Salary]]&lt;100000,"High",TRUE(),"Very High")</f>
        <v>Very High</v>
      </c>
      <c r="N521" t="str">
        <f t="array" ref="N521">_xlfn.IFS(HR_Data[[#This Row],[Age]]&lt;25,"18-24",HR_Data[[#This Row],[Age]]&lt;35,"25-34",HR_Data[[#This Row],[Age]]&lt;45,"35-44",TRUE(),"45+")</f>
        <v>45+</v>
      </c>
      <c r="O521">
        <f>YEAR(HR_Data[[#This Row],[Joining Date]])</f>
        <v>2021</v>
      </c>
      <c r="P521" t="str">
        <f>TEXT(HR_Data[[#This Row],[Joining Date]],"mmmm")</f>
        <v>June</v>
      </c>
      <c r="Q521">
        <f t="array" ref="Q52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21">
        <f>HR_Data[[#This Row],[Salary]]*HR_Data[[#This Row],[Bonus %]]</f>
        <v>13844.800000000001</v>
      </c>
      <c r="S521">
        <f>HR_Data[[#This Row],[Salary]]+HR_Data[[#This Row],[Bonus Amount]]</f>
        <v>152292.79999999999</v>
      </c>
      <c r="T521" t="str">
        <f>IF(HR_Data[[#This Row],[Attrition]]="Yes","Inactive","Active")</f>
        <v>Active</v>
      </c>
      <c r="U521" t="str">
        <f t="array" ref="U521">_xlfn.IFS(HR_Data[[#This Row],[Salary]]&gt;=100000,"A",HR_Data[[#This Row],[Salary]]&gt;=70000,"B",HR_Data[[#This Row],[Salary]]&gt;=50000,"C",TRUE(),"D")</f>
        <v>A</v>
      </c>
      <c r="V521" t="str">
        <f t="array" ref="V521">_xlfn.IFS(HR_Data[[#This Row],[Experience]]&gt;=15,"Expert",HR_Data[[#This Row],[Experience]]&gt;=8,"Senior",HR_Data[[#This Row],[Experience]]&gt;=3,"Mid-Level",TRUE(),"Junior")</f>
        <v>Expert</v>
      </c>
    </row>
    <row r="522" spans="1:22" ht="14.25" customHeight="1" x14ac:dyDescent="0.3">
      <c r="A522" t="s">
        <v>1242</v>
      </c>
      <c r="B522" t="s">
        <v>48</v>
      </c>
      <c r="C522" t="s">
        <v>60</v>
      </c>
      <c r="D522" t="s">
        <v>33</v>
      </c>
      <c r="E522">
        <v>58</v>
      </c>
      <c r="F522">
        <v>132509</v>
      </c>
      <c r="G522">
        <v>31</v>
      </c>
      <c r="H522" t="s">
        <v>1243</v>
      </c>
      <c r="I522" t="s">
        <v>42</v>
      </c>
      <c r="J522" t="s">
        <v>46</v>
      </c>
      <c r="K522" t="s">
        <v>29</v>
      </c>
      <c r="L522" t="str">
        <f t="array" ref="L522">_xlfn.IFS(HR_Data[[#This Row],[Experience]]&lt;2,"0-2 Years",HR_Data[[#This Row],[Experience]]&lt;5,"2-5 Years",HR_Data[[#This Row],[Experience]]&lt;10,"5-10 Years",TRUE(),"10+ Years")</f>
        <v>10+ Years</v>
      </c>
      <c r="M522" t="str">
        <f t="array" ref="M522">_xlfn.IFS(HR_Data[[#This Row],[Salary]]&lt;40000,"Low",HR_Data[[#This Row],[Salary]]&lt;70000,"Medium",HR_Data[[#This Row],[Salary]]&lt;100000,"High",TRUE(),"Very High")</f>
        <v>Very High</v>
      </c>
      <c r="N522" t="str">
        <f t="array" ref="N522">_xlfn.IFS(HR_Data[[#This Row],[Age]]&lt;25,"18-24",HR_Data[[#This Row],[Age]]&lt;35,"25-34",HR_Data[[#This Row],[Age]]&lt;45,"35-44",TRUE(),"45+")</f>
        <v>45+</v>
      </c>
      <c r="O522">
        <f>YEAR(HR_Data[[#This Row],[Joining Date]])</f>
        <v>2026</v>
      </c>
      <c r="P522" t="str">
        <f>TEXT(HR_Data[[#This Row],[Joining Date]],"mmmm")</f>
        <v>January</v>
      </c>
      <c r="Q522">
        <f t="array" ref="Q522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522">
        <f>HR_Data[[#This Row],[Salary]]*HR_Data[[#This Row],[Bonus %]]</f>
        <v>6625.4500000000007</v>
      </c>
      <c r="S522">
        <f>HR_Data[[#This Row],[Salary]]+HR_Data[[#This Row],[Bonus Amount]]</f>
        <v>139134.45000000001</v>
      </c>
      <c r="T522" t="str">
        <f>IF(HR_Data[[#This Row],[Attrition]]="Yes","Inactive","Active")</f>
        <v>Active</v>
      </c>
      <c r="U522" t="str">
        <f t="array" ref="U522">_xlfn.IFS(HR_Data[[#This Row],[Salary]]&gt;=100000,"A",HR_Data[[#This Row],[Salary]]&gt;=70000,"B",HR_Data[[#This Row],[Salary]]&gt;=50000,"C",TRUE(),"D")</f>
        <v>A</v>
      </c>
      <c r="V522" t="str">
        <f t="array" ref="V522">_xlfn.IFS(HR_Data[[#This Row],[Experience]]&gt;=15,"Expert",HR_Data[[#This Row],[Experience]]&gt;=8,"Senior",HR_Data[[#This Row],[Experience]]&gt;=3,"Mid-Level",TRUE(),"Junior")</f>
        <v>Expert</v>
      </c>
    </row>
    <row r="523" spans="1:22" ht="14.25" customHeight="1" x14ac:dyDescent="0.3">
      <c r="A523" t="s">
        <v>1244</v>
      </c>
      <c r="B523" t="s">
        <v>1245</v>
      </c>
      <c r="C523" t="s">
        <v>55</v>
      </c>
      <c r="D523" t="s">
        <v>25</v>
      </c>
      <c r="E523">
        <v>27</v>
      </c>
      <c r="F523">
        <v>25000</v>
      </c>
      <c r="G523">
        <v>1</v>
      </c>
      <c r="H523" t="s">
        <v>1246</v>
      </c>
      <c r="I523" t="s">
        <v>45</v>
      </c>
      <c r="J523" t="s">
        <v>46</v>
      </c>
      <c r="K523" t="s">
        <v>29</v>
      </c>
      <c r="L523" t="str">
        <f t="array" ref="L523">_xlfn.IFS(HR_Data[[#This Row],[Experience]]&lt;2,"0-2 Years",HR_Data[[#This Row],[Experience]]&lt;5,"2-5 Years",HR_Data[[#This Row],[Experience]]&lt;10,"5-10 Years",TRUE(),"10+ Years")</f>
        <v>0-2 Years</v>
      </c>
      <c r="M523" t="str">
        <f t="array" ref="M523">_xlfn.IFS(HR_Data[[#This Row],[Salary]]&lt;40000,"Low",HR_Data[[#This Row],[Salary]]&lt;70000,"Medium",HR_Data[[#This Row],[Salary]]&lt;100000,"High",TRUE(),"Very High")</f>
        <v>Low</v>
      </c>
      <c r="N523" t="str">
        <f t="array" ref="N523">_xlfn.IFS(HR_Data[[#This Row],[Age]]&lt;25,"18-24",HR_Data[[#This Row],[Age]]&lt;35,"25-34",HR_Data[[#This Row],[Age]]&lt;45,"35-44",TRUE(),"45+")</f>
        <v>25-34</v>
      </c>
      <c r="O523">
        <f>YEAR(HR_Data[[#This Row],[Joining Date]])</f>
        <v>2019</v>
      </c>
      <c r="P523" t="str">
        <f>TEXT(HR_Data[[#This Row],[Joining Date]],"mmmm")</f>
        <v>August</v>
      </c>
      <c r="Q523">
        <f t="array" ref="Q523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523">
        <f>HR_Data[[#This Row],[Salary]]*HR_Data[[#This Row],[Bonus %]]</f>
        <v>1250</v>
      </c>
      <c r="S523">
        <f>HR_Data[[#This Row],[Salary]]+HR_Data[[#This Row],[Bonus Amount]]</f>
        <v>26250</v>
      </c>
      <c r="T523" t="str">
        <f>IF(HR_Data[[#This Row],[Attrition]]="Yes","Inactive","Active")</f>
        <v>Active</v>
      </c>
      <c r="U523" t="str">
        <f t="array" ref="U523">_xlfn.IFS(HR_Data[[#This Row],[Salary]]&gt;=100000,"A",HR_Data[[#This Row],[Salary]]&gt;=70000,"B",HR_Data[[#This Row],[Salary]]&gt;=50000,"C",TRUE(),"D")</f>
        <v>D</v>
      </c>
      <c r="V523" t="str">
        <f t="array" ref="V523">_xlfn.IFS(HR_Data[[#This Row],[Experience]]&gt;=15,"Expert",HR_Data[[#This Row],[Experience]]&gt;=8,"Senior",HR_Data[[#This Row],[Experience]]&gt;=3,"Mid-Level",TRUE(),"Junior")</f>
        <v>Junior</v>
      </c>
    </row>
    <row r="524" spans="1:22" ht="14.25" customHeight="1" x14ac:dyDescent="0.3">
      <c r="A524" t="s">
        <v>1247</v>
      </c>
      <c r="B524" t="s">
        <v>734</v>
      </c>
      <c r="C524" t="s">
        <v>75</v>
      </c>
      <c r="D524" t="s">
        <v>25</v>
      </c>
      <c r="E524">
        <v>32</v>
      </c>
      <c r="F524">
        <v>65192</v>
      </c>
      <c r="G524">
        <v>13</v>
      </c>
      <c r="H524" t="s">
        <v>1248</v>
      </c>
      <c r="I524" t="s">
        <v>27</v>
      </c>
      <c r="J524" t="s">
        <v>28</v>
      </c>
      <c r="K524" t="s">
        <v>37</v>
      </c>
      <c r="L524" t="str">
        <f t="array" ref="L524">_xlfn.IFS(HR_Data[[#This Row],[Experience]]&lt;2,"0-2 Years",HR_Data[[#This Row],[Experience]]&lt;5,"2-5 Years",HR_Data[[#This Row],[Experience]]&lt;10,"5-10 Years",TRUE(),"10+ Years")</f>
        <v>10+ Years</v>
      </c>
      <c r="M524" t="str">
        <f t="array" ref="M524">_xlfn.IFS(HR_Data[[#This Row],[Salary]]&lt;40000,"Low",HR_Data[[#This Row],[Salary]]&lt;70000,"Medium",HR_Data[[#This Row],[Salary]]&lt;100000,"High",TRUE(),"Very High")</f>
        <v>Medium</v>
      </c>
      <c r="N524" t="str">
        <f t="array" ref="N524">_xlfn.IFS(HR_Data[[#This Row],[Age]]&lt;25,"18-24",HR_Data[[#This Row],[Age]]&lt;35,"25-34",HR_Data[[#This Row],[Age]]&lt;45,"35-44",TRUE(),"45+")</f>
        <v>25-34</v>
      </c>
      <c r="O524">
        <f>YEAR(HR_Data[[#This Row],[Joining Date]])</f>
        <v>2021</v>
      </c>
      <c r="P524" t="str">
        <f>TEXT(HR_Data[[#This Row],[Joining Date]],"mmmm")</f>
        <v>April</v>
      </c>
      <c r="Q524">
        <f t="array" ref="Q524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24">
        <f>HR_Data[[#This Row],[Salary]]*HR_Data[[#This Row],[Bonus %]]</f>
        <v>9778.7999999999993</v>
      </c>
      <c r="S524">
        <f>HR_Data[[#This Row],[Salary]]+HR_Data[[#This Row],[Bonus Amount]]</f>
        <v>74970.8</v>
      </c>
      <c r="T524" t="str">
        <f>IF(HR_Data[[#This Row],[Attrition]]="Yes","Inactive","Active")</f>
        <v>Inactive</v>
      </c>
      <c r="U524" t="str">
        <f t="array" ref="U524">_xlfn.IFS(HR_Data[[#This Row],[Salary]]&gt;=100000,"A",HR_Data[[#This Row],[Salary]]&gt;=70000,"B",HR_Data[[#This Row],[Salary]]&gt;=50000,"C",TRUE(),"D")</f>
        <v>C</v>
      </c>
      <c r="V524" t="str">
        <f t="array" ref="V524">_xlfn.IFS(HR_Data[[#This Row],[Experience]]&gt;=15,"Expert",HR_Data[[#This Row],[Experience]]&gt;=8,"Senior",HR_Data[[#This Row],[Experience]]&gt;=3,"Mid-Level",TRUE(),"Junior")</f>
        <v>Senior</v>
      </c>
    </row>
    <row r="525" spans="1:22" ht="14.25" customHeight="1" x14ac:dyDescent="0.3">
      <c r="A525" t="s">
        <v>1249</v>
      </c>
      <c r="B525" t="s">
        <v>1050</v>
      </c>
      <c r="C525" t="s">
        <v>60</v>
      </c>
      <c r="D525" t="s">
        <v>25</v>
      </c>
      <c r="E525">
        <v>36</v>
      </c>
      <c r="F525">
        <v>50321</v>
      </c>
      <c r="G525">
        <v>7</v>
      </c>
      <c r="H525" t="s">
        <v>1250</v>
      </c>
      <c r="I525" t="s">
        <v>67</v>
      </c>
      <c r="J525" t="s">
        <v>28</v>
      </c>
      <c r="K525" t="s">
        <v>29</v>
      </c>
      <c r="L525" t="str">
        <f t="array" ref="L525">_xlfn.IFS(HR_Data[[#This Row],[Experience]]&lt;2,"0-2 Years",HR_Data[[#This Row],[Experience]]&lt;5,"2-5 Years",HR_Data[[#This Row],[Experience]]&lt;10,"5-10 Years",TRUE(),"10+ Years")</f>
        <v>5-10 Years</v>
      </c>
      <c r="M525" t="str">
        <f t="array" ref="M525">_xlfn.IFS(HR_Data[[#This Row],[Salary]]&lt;40000,"Low",HR_Data[[#This Row],[Salary]]&lt;70000,"Medium",HR_Data[[#This Row],[Salary]]&lt;100000,"High",TRUE(),"Very High")</f>
        <v>Medium</v>
      </c>
      <c r="N525" t="str">
        <f t="array" ref="N525">_xlfn.IFS(HR_Data[[#This Row],[Age]]&lt;25,"18-24",HR_Data[[#This Row],[Age]]&lt;35,"25-34",HR_Data[[#This Row],[Age]]&lt;45,"35-44",TRUE(),"45+")</f>
        <v>35-44</v>
      </c>
      <c r="O525">
        <f>YEAR(HR_Data[[#This Row],[Joining Date]])</f>
        <v>2022</v>
      </c>
      <c r="P525" t="str">
        <f>TEXT(HR_Data[[#This Row],[Joining Date]],"mmmm")</f>
        <v>August</v>
      </c>
      <c r="Q525">
        <f t="array" ref="Q525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25">
        <f>HR_Data[[#This Row],[Salary]]*HR_Data[[#This Row],[Bonus %]]</f>
        <v>7548.15</v>
      </c>
      <c r="S525">
        <f>HR_Data[[#This Row],[Salary]]+HR_Data[[#This Row],[Bonus Amount]]</f>
        <v>57869.15</v>
      </c>
      <c r="T525" t="str">
        <f>IF(HR_Data[[#This Row],[Attrition]]="Yes","Inactive","Active")</f>
        <v>Active</v>
      </c>
      <c r="U525" t="str">
        <f t="array" ref="U525">_xlfn.IFS(HR_Data[[#This Row],[Salary]]&gt;=100000,"A",HR_Data[[#This Row],[Salary]]&gt;=70000,"B",HR_Data[[#This Row],[Salary]]&gt;=50000,"C",TRUE(),"D")</f>
        <v>C</v>
      </c>
      <c r="V525" t="str">
        <f t="array" ref="V525">_xlfn.IFS(HR_Data[[#This Row],[Experience]]&gt;=15,"Expert",HR_Data[[#This Row],[Experience]]&gt;=8,"Senior",HR_Data[[#This Row],[Experience]]&gt;=3,"Mid-Level",TRUE(),"Junior")</f>
        <v>Mid-Level</v>
      </c>
    </row>
    <row r="526" spans="1:22" ht="14.25" customHeight="1" x14ac:dyDescent="0.3">
      <c r="A526" t="s">
        <v>1251</v>
      </c>
      <c r="B526" t="s">
        <v>528</v>
      </c>
      <c r="C526" t="s">
        <v>93</v>
      </c>
      <c r="D526" t="s">
        <v>25</v>
      </c>
      <c r="E526">
        <v>56</v>
      </c>
      <c r="F526">
        <v>114165</v>
      </c>
      <c r="G526">
        <v>30</v>
      </c>
      <c r="H526" t="s">
        <v>1252</v>
      </c>
      <c r="I526" t="s">
        <v>27</v>
      </c>
      <c r="J526" t="s">
        <v>36</v>
      </c>
      <c r="K526" t="s">
        <v>29</v>
      </c>
      <c r="L526" t="str">
        <f t="array" ref="L526">_xlfn.IFS(HR_Data[[#This Row],[Experience]]&lt;2,"0-2 Years",HR_Data[[#This Row],[Experience]]&lt;5,"2-5 Years",HR_Data[[#This Row],[Experience]]&lt;10,"5-10 Years",TRUE(),"10+ Years")</f>
        <v>10+ Years</v>
      </c>
      <c r="M526" t="str">
        <f t="array" ref="M526">_xlfn.IFS(HR_Data[[#This Row],[Salary]]&lt;40000,"Low",HR_Data[[#This Row],[Salary]]&lt;70000,"Medium",HR_Data[[#This Row],[Salary]]&lt;100000,"High",TRUE(),"Very High")</f>
        <v>Very High</v>
      </c>
      <c r="N526" t="str">
        <f t="array" ref="N526">_xlfn.IFS(HR_Data[[#This Row],[Age]]&lt;25,"18-24",HR_Data[[#This Row],[Age]]&lt;35,"25-34",HR_Data[[#This Row],[Age]]&lt;45,"35-44",TRUE(),"45+")</f>
        <v>45+</v>
      </c>
      <c r="O526">
        <f>YEAR(HR_Data[[#This Row],[Joining Date]])</f>
        <v>2018</v>
      </c>
      <c r="P526" t="str">
        <f>TEXT(HR_Data[[#This Row],[Joining Date]],"mmmm")</f>
        <v>January</v>
      </c>
      <c r="Q526">
        <f t="array" ref="Q52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26">
        <f>HR_Data[[#This Row],[Salary]]*HR_Data[[#This Row],[Bonus %]]</f>
        <v>11416.5</v>
      </c>
      <c r="S526">
        <f>HR_Data[[#This Row],[Salary]]+HR_Data[[#This Row],[Bonus Amount]]</f>
        <v>125581.5</v>
      </c>
      <c r="T526" t="str">
        <f>IF(HR_Data[[#This Row],[Attrition]]="Yes","Inactive","Active")</f>
        <v>Active</v>
      </c>
      <c r="U526" t="str">
        <f t="array" ref="U526">_xlfn.IFS(HR_Data[[#This Row],[Salary]]&gt;=100000,"A",HR_Data[[#This Row],[Salary]]&gt;=70000,"B",HR_Data[[#This Row],[Salary]]&gt;=50000,"C",TRUE(),"D")</f>
        <v>A</v>
      </c>
      <c r="V526" t="str">
        <f t="array" ref="V526">_xlfn.IFS(HR_Data[[#This Row],[Experience]]&gt;=15,"Expert",HR_Data[[#This Row],[Experience]]&gt;=8,"Senior",HR_Data[[#This Row],[Experience]]&gt;=3,"Mid-Level",TRUE(),"Junior")</f>
        <v>Expert</v>
      </c>
    </row>
    <row r="527" spans="1:22" ht="14.25" customHeight="1" x14ac:dyDescent="0.3">
      <c r="A527" t="s">
        <v>1253</v>
      </c>
      <c r="B527" t="s">
        <v>59</v>
      </c>
      <c r="C527" t="s">
        <v>55</v>
      </c>
      <c r="D527" t="s">
        <v>33</v>
      </c>
      <c r="E527">
        <v>56</v>
      </c>
      <c r="F527">
        <v>141112</v>
      </c>
      <c r="G527">
        <v>33</v>
      </c>
      <c r="H527" t="s">
        <v>1254</v>
      </c>
      <c r="I527" t="s">
        <v>132</v>
      </c>
      <c r="J527" t="s">
        <v>36</v>
      </c>
      <c r="K527" t="s">
        <v>37</v>
      </c>
      <c r="L527" t="str">
        <f t="array" ref="L527">_xlfn.IFS(HR_Data[[#This Row],[Experience]]&lt;2,"0-2 Years",HR_Data[[#This Row],[Experience]]&lt;5,"2-5 Years",HR_Data[[#This Row],[Experience]]&lt;10,"5-10 Years",TRUE(),"10+ Years")</f>
        <v>10+ Years</v>
      </c>
      <c r="M527" t="str">
        <f t="array" ref="M527">_xlfn.IFS(HR_Data[[#This Row],[Salary]]&lt;40000,"Low",HR_Data[[#This Row],[Salary]]&lt;70000,"Medium",HR_Data[[#This Row],[Salary]]&lt;100000,"High",TRUE(),"Very High")</f>
        <v>Very High</v>
      </c>
      <c r="N527" t="str">
        <f t="array" ref="N527">_xlfn.IFS(HR_Data[[#This Row],[Age]]&lt;25,"18-24",HR_Data[[#This Row],[Age]]&lt;35,"25-34",HR_Data[[#This Row],[Age]]&lt;45,"35-44",TRUE(),"45+")</f>
        <v>45+</v>
      </c>
      <c r="O527">
        <f>YEAR(HR_Data[[#This Row],[Joining Date]])</f>
        <v>2022</v>
      </c>
      <c r="P527" t="str">
        <f>TEXT(HR_Data[[#This Row],[Joining Date]],"mmmm")</f>
        <v>January</v>
      </c>
      <c r="Q527">
        <f t="array" ref="Q527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27">
        <f>HR_Data[[#This Row],[Salary]]*HR_Data[[#This Row],[Bonus %]]</f>
        <v>14111.2</v>
      </c>
      <c r="S527">
        <f>HR_Data[[#This Row],[Salary]]+HR_Data[[#This Row],[Bonus Amount]]</f>
        <v>155223.20000000001</v>
      </c>
      <c r="T527" t="str">
        <f>IF(HR_Data[[#This Row],[Attrition]]="Yes","Inactive","Active")</f>
        <v>Inactive</v>
      </c>
      <c r="U527" t="str">
        <f t="array" ref="U527">_xlfn.IFS(HR_Data[[#This Row],[Salary]]&gt;=100000,"A",HR_Data[[#This Row],[Salary]]&gt;=70000,"B",HR_Data[[#This Row],[Salary]]&gt;=50000,"C",TRUE(),"D")</f>
        <v>A</v>
      </c>
      <c r="V527" t="str">
        <f t="array" ref="V527">_xlfn.IFS(HR_Data[[#This Row],[Experience]]&gt;=15,"Expert",HR_Data[[#This Row],[Experience]]&gt;=8,"Senior",HR_Data[[#This Row],[Experience]]&gt;=3,"Mid-Level",TRUE(),"Junior")</f>
        <v>Expert</v>
      </c>
    </row>
    <row r="528" spans="1:22" ht="14.25" customHeight="1" x14ac:dyDescent="0.3">
      <c r="A528" t="s">
        <v>1255</v>
      </c>
      <c r="B528" t="s">
        <v>375</v>
      </c>
      <c r="C528" t="s">
        <v>32</v>
      </c>
      <c r="D528" t="s">
        <v>33</v>
      </c>
      <c r="E528">
        <v>36</v>
      </c>
      <c r="F528">
        <v>82513</v>
      </c>
      <c r="G528">
        <v>17</v>
      </c>
      <c r="H528" t="s">
        <v>1256</v>
      </c>
      <c r="I528" t="s">
        <v>72</v>
      </c>
      <c r="J528" t="s">
        <v>36</v>
      </c>
      <c r="K528" t="s">
        <v>29</v>
      </c>
      <c r="L528" t="str">
        <f t="array" ref="L528">_xlfn.IFS(HR_Data[[#This Row],[Experience]]&lt;2,"0-2 Years",HR_Data[[#This Row],[Experience]]&lt;5,"2-5 Years",HR_Data[[#This Row],[Experience]]&lt;10,"5-10 Years",TRUE(),"10+ Years")</f>
        <v>10+ Years</v>
      </c>
      <c r="M528" t="str">
        <f t="array" ref="M528">_xlfn.IFS(HR_Data[[#This Row],[Salary]]&lt;40000,"Low",HR_Data[[#This Row],[Salary]]&lt;70000,"Medium",HR_Data[[#This Row],[Salary]]&lt;100000,"High",TRUE(),"Very High")</f>
        <v>High</v>
      </c>
      <c r="N528" t="str">
        <f t="array" ref="N528">_xlfn.IFS(HR_Data[[#This Row],[Age]]&lt;25,"18-24",HR_Data[[#This Row],[Age]]&lt;35,"25-34",HR_Data[[#This Row],[Age]]&lt;45,"35-44",TRUE(),"45+")</f>
        <v>35-44</v>
      </c>
      <c r="O528">
        <f>YEAR(HR_Data[[#This Row],[Joining Date]])</f>
        <v>2023</v>
      </c>
      <c r="P528" t="str">
        <f>TEXT(HR_Data[[#This Row],[Joining Date]],"mmmm")</f>
        <v>June</v>
      </c>
      <c r="Q528">
        <f t="array" ref="Q52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28">
        <f>HR_Data[[#This Row],[Salary]]*HR_Data[[#This Row],[Bonus %]]</f>
        <v>8251.3000000000011</v>
      </c>
      <c r="S528">
        <f>HR_Data[[#This Row],[Salary]]+HR_Data[[#This Row],[Bonus Amount]]</f>
        <v>90764.3</v>
      </c>
      <c r="T528" t="str">
        <f>IF(HR_Data[[#This Row],[Attrition]]="Yes","Inactive","Active")</f>
        <v>Active</v>
      </c>
      <c r="U528" t="str">
        <f t="array" ref="U528">_xlfn.IFS(HR_Data[[#This Row],[Salary]]&gt;=100000,"A",HR_Data[[#This Row],[Salary]]&gt;=70000,"B",HR_Data[[#This Row],[Salary]]&gt;=50000,"C",TRUE(),"D")</f>
        <v>B</v>
      </c>
      <c r="V528" t="str">
        <f t="array" ref="V528">_xlfn.IFS(HR_Data[[#This Row],[Experience]]&gt;=15,"Expert",HR_Data[[#This Row],[Experience]]&gt;=8,"Senior",HR_Data[[#This Row],[Experience]]&gt;=3,"Mid-Level",TRUE(),"Junior")</f>
        <v>Expert</v>
      </c>
    </row>
    <row r="529" spans="1:22" ht="14.25" customHeight="1" x14ac:dyDescent="0.3">
      <c r="A529" t="s">
        <v>1257</v>
      </c>
      <c r="B529" t="s">
        <v>492</v>
      </c>
      <c r="C529" t="s">
        <v>93</v>
      </c>
      <c r="D529" t="s">
        <v>25</v>
      </c>
      <c r="E529">
        <v>30</v>
      </c>
      <c r="F529">
        <v>49705</v>
      </c>
      <c r="G529">
        <v>7</v>
      </c>
      <c r="H529" t="s">
        <v>1258</v>
      </c>
      <c r="I529" t="s">
        <v>57</v>
      </c>
      <c r="J529" t="s">
        <v>28</v>
      </c>
      <c r="K529" t="s">
        <v>37</v>
      </c>
      <c r="L529" t="str">
        <f t="array" ref="L529">_xlfn.IFS(HR_Data[[#This Row],[Experience]]&lt;2,"0-2 Years",HR_Data[[#This Row],[Experience]]&lt;5,"2-5 Years",HR_Data[[#This Row],[Experience]]&lt;10,"5-10 Years",TRUE(),"10+ Years")</f>
        <v>5-10 Years</v>
      </c>
      <c r="M529" t="str">
        <f t="array" ref="M529">_xlfn.IFS(HR_Data[[#This Row],[Salary]]&lt;40000,"Low",HR_Data[[#This Row],[Salary]]&lt;70000,"Medium",HR_Data[[#This Row],[Salary]]&lt;100000,"High",TRUE(),"Very High")</f>
        <v>Medium</v>
      </c>
      <c r="N529" t="str">
        <f t="array" ref="N529">_xlfn.IFS(HR_Data[[#This Row],[Age]]&lt;25,"18-24",HR_Data[[#This Row],[Age]]&lt;35,"25-34",HR_Data[[#This Row],[Age]]&lt;45,"35-44",TRUE(),"45+")</f>
        <v>25-34</v>
      </c>
      <c r="O529">
        <f>YEAR(HR_Data[[#This Row],[Joining Date]])</f>
        <v>2015</v>
      </c>
      <c r="P529" t="str">
        <f>TEXT(HR_Data[[#This Row],[Joining Date]],"mmmm")</f>
        <v>September</v>
      </c>
      <c r="Q529">
        <f t="array" ref="Q52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29">
        <f>HR_Data[[#This Row],[Salary]]*HR_Data[[#This Row],[Bonus %]]</f>
        <v>7455.75</v>
      </c>
      <c r="S529">
        <f>HR_Data[[#This Row],[Salary]]+HR_Data[[#This Row],[Bonus Amount]]</f>
        <v>57160.75</v>
      </c>
      <c r="T529" t="str">
        <f>IF(HR_Data[[#This Row],[Attrition]]="Yes","Inactive","Active")</f>
        <v>Inactive</v>
      </c>
      <c r="U529" t="str">
        <f t="array" ref="U529">_xlfn.IFS(HR_Data[[#This Row],[Salary]]&gt;=100000,"A",HR_Data[[#This Row],[Salary]]&gt;=70000,"B",HR_Data[[#This Row],[Salary]]&gt;=50000,"C",TRUE(),"D")</f>
        <v>D</v>
      </c>
      <c r="V529" t="str">
        <f t="array" ref="V529">_xlfn.IFS(HR_Data[[#This Row],[Experience]]&gt;=15,"Expert",HR_Data[[#This Row],[Experience]]&gt;=8,"Senior",HR_Data[[#This Row],[Experience]]&gt;=3,"Mid-Level",TRUE(),"Junior")</f>
        <v>Mid-Level</v>
      </c>
    </row>
    <row r="530" spans="1:22" ht="14.25" customHeight="1" x14ac:dyDescent="0.3">
      <c r="A530" t="s">
        <v>1259</v>
      </c>
      <c r="B530" t="s">
        <v>190</v>
      </c>
      <c r="C530" t="s">
        <v>93</v>
      </c>
      <c r="D530" t="s">
        <v>33</v>
      </c>
      <c r="E530">
        <v>56</v>
      </c>
      <c r="F530">
        <v>128334</v>
      </c>
      <c r="G530">
        <v>33</v>
      </c>
      <c r="H530" t="s">
        <v>1260</v>
      </c>
      <c r="I530" t="s">
        <v>35</v>
      </c>
      <c r="J530" t="s">
        <v>28</v>
      </c>
      <c r="K530" t="s">
        <v>37</v>
      </c>
      <c r="L530" t="str">
        <f t="array" ref="L530">_xlfn.IFS(HR_Data[[#This Row],[Experience]]&lt;2,"0-2 Years",HR_Data[[#This Row],[Experience]]&lt;5,"2-5 Years",HR_Data[[#This Row],[Experience]]&lt;10,"5-10 Years",TRUE(),"10+ Years")</f>
        <v>10+ Years</v>
      </c>
      <c r="M530" t="str">
        <f t="array" ref="M530">_xlfn.IFS(HR_Data[[#This Row],[Salary]]&lt;40000,"Low",HR_Data[[#This Row],[Salary]]&lt;70000,"Medium",HR_Data[[#This Row],[Salary]]&lt;100000,"High",TRUE(),"Very High")</f>
        <v>Very High</v>
      </c>
      <c r="N530" t="str">
        <f t="array" ref="N530">_xlfn.IFS(HR_Data[[#This Row],[Age]]&lt;25,"18-24",HR_Data[[#This Row],[Age]]&lt;35,"25-34",HR_Data[[#This Row],[Age]]&lt;45,"35-44",TRUE(),"45+")</f>
        <v>45+</v>
      </c>
      <c r="O530">
        <f>YEAR(HR_Data[[#This Row],[Joining Date]])</f>
        <v>2017</v>
      </c>
      <c r="P530" t="str">
        <f>TEXT(HR_Data[[#This Row],[Joining Date]],"mmmm")</f>
        <v>July</v>
      </c>
      <c r="Q530">
        <f t="array" ref="Q530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30">
        <f>HR_Data[[#This Row],[Salary]]*HR_Data[[#This Row],[Bonus %]]</f>
        <v>19250.099999999999</v>
      </c>
      <c r="S530">
        <f>HR_Data[[#This Row],[Salary]]+HR_Data[[#This Row],[Bonus Amount]]</f>
        <v>147584.1</v>
      </c>
      <c r="T530" t="str">
        <f>IF(HR_Data[[#This Row],[Attrition]]="Yes","Inactive","Active")</f>
        <v>Inactive</v>
      </c>
      <c r="U530" t="str">
        <f t="array" ref="U530">_xlfn.IFS(HR_Data[[#This Row],[Salary]]&gt;=100000,"A",HR_Data[[#This Row],[Salary]]&gt;=70000,"B",HR_Data[[#This Row],[Salary]]&gt;=50000,"C",TRUE(),"D")</f>
        <v>A</v>
      </c>
      <c r="V530" t="str">
        <f t="array" ref="V530">_xlfn.IFS(HR_Data[[#This Row],[Experience]]&gt;=15,"Expert",HR_Data[[#This Row],[Experience]]&gt;=8,"Senior",HR_Data[[#This Row],[Experience]]&gt;=3,"Mid-Level",TRUE(),"Junior")</f>
        <v>Expert</v>
      </c>
    </row>
    <row r="531" spans="1:22" ht="14.25" customHeight="1" x14ac:dyDescent="0.3">
      <c r="A531" t="s">
        <v>1261</v>
      </c>
      <c r="B531" t="s">
        <v>868</v>
      </c>
      <c r="C531" t="s">
        <v>55</v>
      </c>
      <c r="D531" t="s">
        <v>33</v>
      </c>
      <c r="E531">
        <v>53</v>
      </c>
      <c r="F531">
        <v>125632</v>
      </c>
      <c r="G531">
        <v>32</v>
      </c>
      <c r="H531" t="s">
        <v>1262</v>
      </c>
      <c r="I531" t="s">
        <v>42</v>
      </c>
      <c r="J531" t="s">
        <v>46</v>
      </c>
      <c r="K531" t="s">
        <v>29</v>
      </c>
      <c r="L531" t="str">
        <f t="array" ref="L531">_xlfn.IFS(HR_Data[[#This Row],[Experience]]&lt;2,"0-2 Years",HR_Data[[#This Row],[Experience]]&lt;5,"2-5 Years",HR_Data[[#This Row],[Experience]]&lt;10,"5-10 Years",TRUE(),"10+ Years")</f>
        <v>10+ Years</v>
      </c>
      <c r="M531" t="str">
        <f t="array" ref="M531">_xlfn.IFS(HR_Data[[#This Row],[Salary]]&lt;40000,"Low",HR_Data[[#This Row],[Salary]]&lt;70000,"Medium",HR_Data[[#This Row],[Salary]]&lt;100000,"High",TRUE(),"Very High")</f>
        <v>Very High</v>
      </c>
      <c r="N531" t="str">
        <f t="array" ref="N531">_xlfn.IFS(HR_Data[[#This Row],[Age]]&lt;25,"18-24",HR_Data[[#This Row],[Age]]&lt;35,"25-34",HR_Data[[#This Row],[Age]]&lt;45,"35-44",TRUE(),"45+")</f>
        <v>45+</v>
      </c>
      <c r="O531">
        <f>YEAR(HR_Data[[#This Row],[Joining Date]])</f>
        <v>2022</v>
      </c>
      <c r="P531" t="str">
        <f>TEXT(HR_Data[[#This Row],[Joining Date]],"mmmm")</f>
        <v>August</v>
      </c>
      <c r="Q531">
        <f t="array" ref="Q531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531">
        <f>HR_Data[[#This Row],[Salary]]*HR_Data[[#This Row],[Bonus %]]</f>
        <v>6281.6</v>
      </c>
      <c r="S531">
        <f>HR_Data[[#This Row],[Salary]]+HR_Data[[#This Row],[Bonus Amount]]</f>
        <v>131913.60000000001</v>
      </c>
      <c r="T531" t="str">
        <f>IF(HR_Data[[#This Row],[Attrition]]="Yes","Inactive","Active")</f>
        <v>Active</v>
      </c>
      <c r="U531" t="str">
        <f t="array" ref="U531">_xlfn.IFS(HR_Data[[#This Row],[Salary]]&gt;=100000,"A",HR_Data[[#This Row],[Salary]]&gt;=70000,"B",HR_Data[[#This Row],[Salary]]&gt;=50000,"C",TRUE(),"D")</f>
        <v>A</v>
      </c>
      <c r="V531" t="str">
        <f t="array" ref="V531">_xlfn.IFS(HR_Data[[#This Row],[Experience]]&gt;=15,"Expert",HR_Data[[#This Row],[Experience]]&gt;=8,"Senior",HR_Data[[#This Row],[Experience]]&gt;=3,"Mid-Level",TRUE(),"Junior")</f>
        <v>Expert</v>
      </c>
    </row>
    <row r="532" spans="1:22" ht="14.25" customHeight="1" x14ac:dyDescent="0.3">
      <c r="A532" t="s">
        <v>1263</v>
      </c>
      <c r="B532" t="s">
        <v>958</v>
      </c>
      <c r="C532" t="s">
        <v>112</v>
      </c>
      <c r="D532" t="s">
        <v>25</v>
      </c>
      <c r="E532">
        <v>60</v>
      </c>
      <c r="F532">
        <v>126948</v>
      </c>
      <c r="G532">
        <v>33</v>
      </c>
      <c r="H532" t="s">
        <v>1264</v>
      </c>
      <c r="I532" t="s">
        <v>27</v>
      </c>
      <c r="J532" t="s">
        <v>36</v>
      </c>
      <c r="K532" t="s">
        <v>29</v>
      </c>
      <c r="L532" t="str">
        <f t="array" ref="L532">_xlfn.IFS(HR_Data[[#This Row],[Experience]]&lt;2,"0-2 Years",HR_Data[[#This Row],[Experience]]&lt;5,"2-5 Years",HR_Data[[#This Row],[Experience]]&lt;10,"5-10 Years",TRUE(),"10+ Years")</f>
        <v>10+ Years</v>
      </c>
      <c r="M532" t="str">
        <f t="array" ref="M532">_xlfn.IFS(HR_Data[[#This Row],[Salary]]&lt;40000,"Low",HR_Data[[#This Row],[Salary]]&lt;70000,"Medium",HR_Data[[#This Row],[Salary]]&lt;100000,"High",TRUE(),"Very High")</f>
        <v>Very High</v>
      </c>
      <c r="N532" t="str">
        <f t="array" ref="N532">_xlfn.IFS(HR_Data[[#This Row],[Age]]&lt;25,"18-24",HR_Data[[#This Row],[Age]]&lt;35,"25-34",HR_Data[[#This Row],[Age]]&lt;45,"35-44",TRUE(),"45+")</f>
        <v>45+</v>
      </c>
      <c r="O532">
        <f>YEAR(HR_Data[[#This Row],[Joining Date]])</f>
        <v>2019</v>
      </c>
      <c r="P532" t="str">
        <f>TEXT(HR_Data[[#This Row],[Joining Date]],"mmmm")</f>
        <v>August</v>
      </c>
      <c r="Q532">
        <f t="array" ref="Q53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32">
        <f>HR_Data[[#This Row],[Salary]]*HR_Data[[#This Row],[Bonus %]]</f>
        <v>12694.800000000001</v>
      </c>
      <c r="S532">
        <f>HR_Data[[#This Row],[Salary]]+HR_Data[[#This Row],[Bonus Amount]]</f>
        <v>139642.79999999999</v>
      </c>
      <c r="T532" t="str">
        <f>IF(HR_Data[[#This Row],[Attrition]]="Yes","Inactive","Active")</f>
        <v>Active</v>
      </c>
      <c r="U532" t="str">
        <f t="array" ref="U532">_xlfn.IFS(HR_Data[[#This Row],[Salary]]&gt;=100000,"A",HR_Data[[#This Row],[Salary]]&gt;=70000,"B",HR_Data[[#This Row],[Salary]]&gt;=50000,"C",TRUE(),"D")</f>
        <v>A</v>
      </c>
      <c r="V532" t="str">
        <f t="array" ref="V532">_xlfn.IFS(HR_Data[[#This Row],[Experience]]&gt;=15,"Expert",HR_Data[[#This Row],[Experience]]&gt;=8,"Senior",HR_Data[[#This Row],[Experience]]&gt;=3,"Mid-Level",TRUE(),"Junior")</f>
        <v>Expert</v>
      </c>
    </row>
    <row r="533" spans="1:22" ht="14.25" customHeight="1" x14ac:dyDescent="0.3">
      <c r="A533" t="s">
        <v>1265</v>
      </c>
      <c r="B533" t="s">
        <v>546</v>
      </c>
      <c r="C533" t="s">
        <v>24</v>
      </c>
      <c r="D533" t="s">
        <v>25</v>
      </c>
      <c r="E533">
        <v>29</v>
      </c>
      <c r="F533">
        <v>48298</v>
      </c>
      <c r="G533">
        <v>5</v>
      </c>
      <c r="H533" t="s">
        <v>1266</v>
      </c>
      <c r="I533" t="s">
        <v>57</v>
      </c>
      <c r="J533" t="s">
        <v>63</v>
      </c>
      <c r="K533" t="s">
        <v>29</v>
      </c>
      <c r="L533" t="str">
        <f t="array" ref="L533">_xlfn.IFS(HR_Data[[#This Row],[Experience]]&lt;2,"0-2 Years",HR_Data[[#This Row],[Experience]]&lt;5,"2-5 Years",HR_Data[[#This Row],[Experience]]&lt;10,"5-10 Years",TRUE(),"10+ Years")</f>
        <v>5-10 Years</v>
      </c>
      <c r="M533" t="str">
        <f t="array" ref="M533">_xlfn.IFS(HR_Data[[#This Row],[Salary]]&lt;40000,"Low",HR_Data[[#This Row],[Salary]]&lt;70000,"Medium",HR_Data[[#This Row],[Salary]]&lt;100000,"High",TRUE(),"Very High")</f>
        <v>Medium</v>
      </c>
      <c r="N533" t="str">
        <f t="array" ref="N533">_xlfn.IFS(HR_Data[[#This Row],[Age]]&lt;25,"18-24",HR_Data[[#This Row],[Age]]&lt;35,"25-34",HR_Data[[#This Row],[Age]]&lt;45,"35-44",TRUE(),"45+")</f>
        <v>25-34</v>
      </c>
      <c r="O533">
        <f>YEAR(HR_Data[[#This Row],[Joining Date]])</f>
        <v>2016</v>
      </c>
      <c r="P533" t="str">
        <f>TEXT(HR_Data[[#This Row],[Joining Date]],"mmmm")</f>
        <v>January</v>
      </c>
      <c r="Q533">
        <f t="array" ref="Q533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533">
        <f>HR_Data[[#This Row],[Salary]]*HR_Data[[#This Row],[Bonus %]]</f>
        <v>9659.6</v>
      </c>
      <c r="S533">
        <f>HR_Data[[#This Row],[Salary]]+HR_Data[[#This Row],[Bonus Amount]]</f>
        <v>57957.599999999999</v>
      </c>
      <c r="T533" t="str">
        <f>IF(HR_Data[[#This Row],[Attrition]]="Yes","Inactive","Active")</f>
        <v>Active</v>
      </c>
      <c r="U533" t="str">
        <f t="array" ref="U533">_xlfn.IFS(HR_Data[[#This Row],[Salary]]&gt;=100000,"A",HR_Data[[#This Row],[Salary]]&gt;=70000,"B",HR_Data[[#This Row],[Salary]]&gt;=50000,"C",TRUE(),"D")</f>
        <v>D</v>
      </c>
      <c r="V533" t="str">
        <f t="array" ref="V533">_xlfn.IFS(HR_Data[[#This Row],[Experience]]&gt;=15,"Expert",HR_Data[[#This Row],[Experience]]&gt;=8,"Senior",HR_Data[[#This Row],[Experience]]&gt;=3,"Mid-Level",TRUE(),"Junior")</f>
        <v>Mid-Level</v>
      </c>
    </row>
    <row r="534" spans="1:22" ht="14.25" customHeight="1" x14ac:dyDescent="0.3">
      <c r="A534" t="s">
        <v>1267</v>
      </c>
      <c r="B534" t="s">
        <v>1073</v>
      </c>
      <c r="C534" t="s">
        <v>134</v>
      </c>
      <c r="D534" t="s">
        <v>33</v>
      </c>
      <c r="E534">
        <v>42</v>
      </c>
      <c r="F534">
        <v>87309</v>
      </c>
      <c r="G534">
        <v>20</v>
      </c>
      <c r="H534" t="s">
        <v>1268</v>
      </c>
      <c r="I534" t="s">
        <v>132</v>
      </c>
      <c r="J534" t="s">
        <v>28</v>
      </c>
      <c r="K534" t="s">
        <v>29</v>
      </c>
      <c r="L534" t="str">
        <f t="array" ref="L534">_xlfn.IFS(HR_Data[[#This Row],[Experience]]&lt;2,"0-2 Years",HR_Data[[#This Row],[Experience]]&lt;5,"2-5 Years",HR_Data[[#This Row],[Experience]]&lt;10,"5-10 Years",TRUE(),"10+ Years")</f>
        <v>10+ Years</v>
      </c>
      <c r="M534" t="str">
        <f t="array" ref="M534">_xlfn.IFS(HR_Data[[#This Row],[Salary]]&lt;40000,"Low",HR_Data[[#This Row],[Salary]]&lt;70000,"Medium",HR_Data[[#This Row],[Salary]]&lt;100000,"High",TRUE(),"Very High")</f>
        <v>High</v>
      </c>
      <c r="N534" t="str">
        <f t="array" ref="N534">_xlfn.IFS(HR_Data[[#This Row],[Age]]&lt;25,"18-24",HR_Data[[#This Row],[Age]]&lt;35,"25-34",HR_Data[[#This Row],[Age]]&lt;45,"35-44",TRUE(),"45+")</f>
        <v>35-44</v>
      </c>
      <c r="O534">
        <f>YEAR(HR_Data[[#This Row],[Joining Date]])</f>
        <v>2021</v>
      </c>
      <c r="P534" t="str">
        <f>TEXT(HR_Data[[#This Row],[Joining Date]],"mmmm")</f>
        <v>June</v>
      </c>
      <c r="Q534">
        <f t="array" ref="Q534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34">
        <f>HR_Data[[#This Row],[Salary]]*HR_Data[[#This Row],[Bonus %]]</f>
        <v>13096.35</v>
      </c>
      <c r="S534">
        <f>HR_Data[[#This Row],[Salary]]+HR_Data[[#This Row],[Bonus Amount]]</f>
        <v>100405.35</v>
      </c>
      <c r="T534" t="str">
        <f>IF(HR_Data[[#This Row],[Attrition]]="Yes","Inactive","Active")</f>
        <v>Active</v>
      </c>
      <c r="U534" t="str">
        <f t="array" ref="U534">_xlfn.IFS(HR_Data[[#This Row],[Salary]]&gt;=100000,"A",HR_Data[[#This Row],[Salary]]&gt;=70000,"B",HR_Data[[#This Row],[Salary]]&gt;=50000,"C",TRUE(),"D")</f>
        <v>B</v>
      </c>
      <c r="V534" t="str">
        <f t="array" ref="V534">_xlfn.IFS(HR_Data[[#This Row],[Experience]]&gt;=15,"Expert",HR_Data[[#This Row],[Experience]]&gt;=8,"Senior",HR_Data[[#This Row],[Experience]]&gt;=3,"Mid-Level",TRUE(),"Junior")</f>
        <v>Expert</v>
      </c>
    </row>
    <row r="535" spans="1:22" ht="14.25" customHeight="1" x14ac:dyDescent="0.3">
      <c r="A535" t="s">
        <v>1269</v>
      </c>
      <c r="B535" t="s">
        <v>124</v>
      </c>
      <c r="C535" t="s">
        <v>70</v>
      </c>
      <c r="D535" t="s">
        <v>25</v>
      </c>
      <c r="E535">
        <v>37</v>
      </c>
      <c r="F535">
        <v>71899</v>
      </c>
      <c r="G535">
        <v>17</v>
      </c>
      <c r="H535" t="s">
        <v>1270</v>
      </c>
      <c r="I535" t="s">
        <v>72</v>
      </c>
      <c r="J535" t="s">
        <v>28</v>
      </c>
      <c r="K535" t="s">
        <v>29</v>
      </c>
      <c r="L535" t="str">
        <f t="array" ref="L535">_xlfn.IFS(HR_Data[[#This Row],[Experience]]&lt;2,"0-2 Years",HR_Data[[#This Row],[Experience]]&lt;5,"2-5 Years",HR_Data[[#This Row],[Experience]]&lt;10,"5-10 Years",TRUE(),"10+ Years")</f>
        <v>10+ Years</v>
      </c>
      <c r="M535" t="str">
        <f t="array" ref="M535">_xlfn.IFS(HR_Data[[#This Row],[Salary]]&lt;40000,"Low",HR_Data[[#This Row],[Salary]]&lt;70000,"Medium",HR_Data[[#This Row],[Salary]]&lt;100000,"High",TRUE(),"Very High")</f>
        <v>High</v>
      </c>
      <c r="N535" t="str">
        <f t="array" ref="N535">_xlfn.IFS(HR_Data[[#This Row],[Age]]&lt;25,"18-24",HR_Data[[#This Row],[Age]]&lt;35,"25-34",HR_Data[[#This Row],[Age]]&lt;45,"35-44",TRUE(),"45+")</f>
        <v>35-44</v>
      </c>
      <c r="O535">
        <f>YEAR(HR_Data[[#This Row],[Joining Date]])</f>
        <v>2017</v>
      </c>
      <c r="P535" t="str">
        <f>TEXT(HR_Data[[#This Row],[Joining Date]],"mmmm")</f>
        <v>April</v>
      </c>
      <c r="Q535">
        <f t="array" ref="Q535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35">
        <f>HR_Data[[#This Row],[Salary]]*HR_Data[[#This Row],[Bonus %]]</f>
        <v>10784.85</v>
      </c>
      <c r="S535">
        <f>HR_Data[[#This Row],[Salary]]+HR_Data[[#This Row],[Bonus Amount]]</f>
        <v>82683.850000000006</v>
      </c>
      <c r="T535" t="str">
        <f>IF(HR_Data[[#This Row],[Attrition]]="Yes","Inactive","Active")</f>
        <v>Active</v>
      </c>
      <c r="U535" t="str">
        <f t="array" ref="U535">_xlfn.IFS(HR_Data[[#This Row],[Salary]]&gt;=100000,"A",HR_Data[[#This Row],[Salary]]&gt;=70000,"B",HR_Data[[#This Row],[Salary]]&gt;=50000,"C",TRUE(),"D")</f>
        <v>B</v>
      </c>
      <c r="V535" t="str">
        <f t="array" ref="V535">_xlfn.IFS(HR_Data[[#This Row],[Experience]]&gt;=15,"Expert",HR_Data[[#This Row],[Experience]]&gt;=8,"Senior",HR_Data[[#This Row],[Experience]]&gt;=3,"Mid-Level",TRUE(),"Junior")</f>
        <v>Expert</v>
      </c>
    </row>
    <row r="536" spans="1:22" ht="14.25" customHeight="1" x14ac:dyDescent="0.3">
      <c r="A536" t="s">
        <v>1271</v>
      </c>
      <c r="B536" t="s">
        <v>273</v>
      </c>
      <c r="C536" t="s">
        <v>70</v>
      </c>
      <c r="D536" t="s">
        <v>33</v>
      </c>
      <c r="E536">
        <v>36</v>
      </c>
      <c r="F536">
        <v>67334</v>
      </c>
      <c r="G536">
        <v>15</v>
      </c>
      <c r="H536" t="s">
        <v>1272</v>
      </c>
      <c r="I536" t="s">
        <v>35</v>
      </c>
      <c r="J536" t="s">
        <v>36</v>
      </c>
      <c r="K536" t="s">
        <v>29</v>
      </c>
      <c r="L536" t="str">
        <f t="array" ref="L536">_xlfn.IFS(HR_Data[[#This Row],[Experience]]&lt;2,"0-2 Years",HR_Data[[#This Row],[Experience]]&lt;5,"2-5 Years",HR_Data[[#This Row],[Experience]]&lt;10,"5-10 Years",TRUE(),"10+ Years")</f>
        <v>10+ Years</v>
      </c>
      <c r="M536" t="str">
        <f t="array" ref="M536">_xlfn.IFS(HR_Data[[#This Row],[Salary]]&lt;40000,"Low",HR_Data[[#This Row],[Salary]]&lt;70000,"Medium",HR_Data[[#This Row],[Salary]]&lt;100000,"High",TRUE(),"Very High")</f>
        <v>Medium</v>
      </c>
      <c r="N536" t="str">
        <f t="array" ref="N536">_xlfn.IFS(HR_Data[[#This Row],[Age]]&lt;25,"18-24",HR_Data[[#This Row],[Age]]&lt;35,"25-34",HR_Data[[#This Row],[Age]]&lt;45,"35-44",TRUE(),"45+")</f>
        <v>35-44</v>
      </c>
      <c r="O536">
        <f>YEAR(HR_Data[[#This Row],[Joining Date]])</f>
        <v>2021</v>
      </c>
      <c r="P536" t="str">
        <f>TEXT(HR_Data[[#This Row],[Joining Date]],"mmmm")</f>
        <v>December</v>
      </c>
      <c r="Q536">
        <f t="array" ref="Q53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36">
        <f>HR_Data[[#This Row],[Salary]]*HR_Data[[#This Row],[Bonus %]]</f>
        <v>6733.4000000000005</v>
      </c>
      <c r="S536">
        <f>HR_Data[[#This Row],[Salary]]+HR_Data[[#This Row],[Bonus Amount]]</f>
        <v>74067.399999999994</v>
      </c>
      <c r="T536" t="str">
        <f>IF(HR_Data[[#This Row],[Attrition]]="Yes","Inactive","Active")</f>
        <v>Active</v>
      </c>
      <c r="U536" t="str">
        <f t="array" ref="U536">_xlfn.IFS(HR_Data[[#This Row],[Salary]]&gt;=100000,"A",HR_Data[[#This Row],[Salary]]&gt;=70000,"B",HR_Data[[#This Row],[Salary]]&gt;=50000,"C",TRUE(),"D")</f>
        <v>C</v>
      </c>
      <c r="V536" t="str">
        <f t="array" ref="V536">_xlfn.IFS(HR_Data[[#This Row],[Experience]]&gt;=15,"Expert",HR_Data[[#This Row],[Experience]]&gt;=8,"Senior",HR_Data[[#This Row],[Experience]]&gt;=3,"Mid-Level",TRUE(),"Junior")</f>
        <v>Expert</v>
      </c>
    </row>
    <row r="537" spans="1:22" ht="14.25" customHeight="1" x14ac:dyDescent="0.3">
      <c r="A537" t="s">
        <v>1273</v>
      </c>
      <c r="B537" t="s">
        <v>724</v>
      </c>
      <c r="C537" t="s">
        <v>93</v>
      </c>
      <c r="D537" t="s">
        <v>25</v>
      </c>
      <c r="E537">
        <v>23</v>
      </c>
      <c r="F537">
        <v>39169</v>
      </c>
      <c r="G537">
        <v>3</v>
      </c>
      <c r="H537" t="s">
        <v>1274</v>
      </c>
      <c r="I537" t="s">
        <v>80</v>
      </c>
      <c r="J537" t="s">
        <v>63</v>
      </c>
      <c r="K537" t="s">
        <v>29</v>
      </c>
      <c r="L537" t="str">
        <f t="array" ref="L537">_xlfn.IFS(HR_Data[[#This Row],[Experience]]&lt;2,"0-2 Years",HR_Data[[#This Row],[Experience]]&lt;5,"2-5 Years",HR_Data[[#This Row],[Experience]]&lt;10,"5-10 Years",TRUE(),"10+ Years")</f>
        <v>2-5 Years</v>
      </c>
      <c r="M537" t="str">
        <f t="array" ref="M537">_xlfn.IFS(HR_Data[[#This Row],[Salary]]&lt;40000,"Low",HR_Data[[#This Row],[Salary]]&lt;70000,"Medium",HR_Data[[#This Row],[Salary]]&lt;100000,"High",TRUE(),"Very High")</f>
        <v>Low</v>
      </c>
      <c r="N537" t="str">
        <f t="array" ref="N537">_xlfn.IFS(HR_Data[[#This Row],[Age]]&lt;25,"18-24",HR_Data[[#This Row],[Age]]&lt;35,"25-34",HR_Data[[#This Row],[Age]]&lt;45,"35-44",TRUE(),"45+")</f>
        <v>18-24</v>
      </c>
      <c r="O537">
        <f>YEAR(HR_Data[[#This Row],[Joining Date]])</f>
        <v>2016</v>
      </c>
      <c r="P537" t="str">
        <f>TEXT(HR_Data[[#This Row],[Joining Date]],"mmmm")</f>
        <v>March</v>
      </c>
      <c r="Q537">
        <f t="array" ref="Q537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537">
        <f>HR_Data[[#This Row],[Salary]]*HR_Data[[#This Row],[Bonus %]]</f>
        <v>7833.8</v>
      </c>
      <c r="S537">
        <f>HR_Data[[#This Row],[Salary]]+HR_Data[[#This Row],[Bonus Amount]]</f>
        <v>47002.8</v>
      </c>
      <c r="T537" t="str">
        <f>IF(HR_Data[[#This Row],[Attrition]]="Yes","Inactive","Active")</f>
        <v>Active</v>
      </c>
      <c r="U537" t="str">
        <f t="array" ref="U537">_xlfn.IFS(HR_Data[[#This Row],[Salary]]&gt;=100000,"A",HR_Data[[#This Row],[Salary]]&gt;=70000,"B",HR_Data[[#This Row],[Salary]]&gt;=50000,"C",TRUE(),"D")</f>
        <v>D</v>
      </c>
      <c r="V537" t="str">
        <f t="array" ref="V537">_xlfn.IFS(HR_Data[[#This Row],[Experience]]&gt;=15,"Expert",HR_Data[[#This Row],[Experience]]&gt;=8,"Senior",HR_Data[[#This Row],[Experience]]&gt;=3,"Mid-Level",TRUE(),"Junior")</f>
        <v>Mid-Level</v>
      </c>
    </row>
    <row r="538" spans="1:22" ht="14.25" customHeight="1" x14ac:dyDescent="0.3">
      <c r="A538" t="s">
        <v>1275</v>
      </c>
      <c r="B538" t="s">
        <v>561</v>
      </c>
      <c r="C538" t="s">
        <v>70</v>
      </c>
      <c r="D538" t="s">
        <v>33</v>
      </c>
      <c r="E538">
        <v>43</v>
      </c>
      <c r="F538">
        <v>101681</v>
      </c>
      <c r="G538">
        <v>21</v>
      </c>
      <c r="H538" t="s">
        <v>1276</v>
      </c>
      <c r="I538" t="s">
        <v>35</v>
      </c>
      <c r="J538" t="s">
        <v>90</v>
      </c>
      <c r="K538" t="s">
        <v>29</v>
      </c>
      <c r="L538" t="str">
        <f t="array" ref="L538">_xlfn.IFS(HR_Data[[#This Row],[Experience]]&lt;2,"0-2 Years",HR_Data[[#This Row],[Experience]]&lt;5,"2-5 Years",HR_Data[[#This Row],[Experience]]&lt;10,"5-10 Years",TRUE(),"10+ Years")</f>
        <v>10+ Years</v>
      </c>
      <c r="M538" t="str">
        <f t="array" ref="M538">_xlfn.IFS(HR_Data[[#This Row],[Salary]]&lt;40000,"Low",HR_Data[[#This Row],[Salary]]&lt;70000,"Medium",HR_Data[[#This Row],[Salary]]&lt;100000,"High",TRUE(),"Very High")</f>
        <v>Very High</v>
      </c>
      <c r="N538" t="str">
        <f t="array" ref="N538">_xlfn.IFS(HR_Data[[#This Row],[Age]]&lt;25,"18-24",HR_Data[[#This Row],[Age]]&lt;35,"25-34",HR_Data[[#This Row],[Age]]&lt;45,"35-44",TRUE(),"45+")</f>
        <v>35-44</v>
      </c>
      <c r="O538">
        <f>YEAR(HR_Data[[#This Row],[Joining Date]])</f>
        <v>2016</v>
      </c>
      <c r="P538" t="str">
        <f>TEXT(HR_Data[[#This Row],[Joining Date]],"mmmm")</f>
        <v>October</v>
      </c>
      <c r="Q538">
        <f t="array" ref="Q538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538">
        <f>HR_Data[[#This Row],[Salary]]*HR_Data[[#This Row],[Bonus %]]</f>
        <v>0</v>
      </c>
      <c r="S538">
        <f>HR_Data[[#This Row],[Salary]]+HR_Data[[#This Row],[Bonus Amount]]</f>
        <v>101681</v>
      </c>
      <c r="T538" t="str">
        <f>IF(HR_Data[[#This Row],[Attrition]]="Yes","Inactive","Active")</f>
        <v>Active</v>
      </c>
      <c r="U538" t="str">
        <f t="array" ref="U538">_xlfn.IFS(HR_Data[[#This Row],[Salary]]&gt;=100000,"A",HR_Data[[#This Row],[Salary]]&gt;=70000,"B",HR_Data[[#This Row],[Salary]]&gt;=50000,"C",TRUE(),"D")</f>
        <v>A</v>
      </c>
      <c r="V538" t="str">
        <f t="array" ref="V538">_xlfn.IFS(HR_Data[[#This Row],[Experience]]&gt;=15,"Expert",HR_Data[[#This Row],[Experience]]&gt;=8,"Senior",HR_Data[[#This Row],[Experience]]&gt;=3,"Mid-Level",TRUE(),"Junior")</f>
        <v>Expert</v>
      </c>
    </row>
    <row r="539" spans="1:22" ht="14.25" customHeight="1" x14ac:dyDescent="0.3">
      <c r="A539" t="s">
        <v>1277</v>
      </c>
      <c r="B539" t="s">
        <v>483</v>
      </c>
      <c r="C539" t="s">
        <v>134</v>
      </c>
      <c r="D539" t="s">
        <v>25</v>
      </c>
      <c r="E539">
        <v>32</v>
      </c>
      <c r="F539">
        <v>46370</v>
      </c>
      <c r="G539">
        <v>6</v>
      </c>
      <c r="H539" t="s">
        <v>1278</v>
      </c>
      <c r="I539" t="s">
        <v>62</v>
      </c>
      <c r="J539" t="s">
        <v>36</v>
      </c>
      <c r="K539" t="s">
        <v>29</v>
      </c>
      <c r="L539" t="str">
        <f t="array" ref="L539">_xlfn.IFS(HR_Data[[#This Row],[Experience]]&lt;2,"0-2 Years",HR_Data[[#This Row],[Experience]]&lt;5,"2-5 Years",HR_Data[[#This Row],[Experience]]&lt;10,"5-10 Years",TRUE(),"10+ Years")</f>
        <v>5-10 Years</v>
      </c>
      <c r="M539" t="str">
        <f t="array" ref="M539">_xlfn.IFS(HR_Data[[#This Row],[Salary]]&lt;40000,"Low",HR_Data[[#This Row],[Salary]]&lt;70000,"Medium",HR_Data[[#This Row],[Salary]]&lt;100000,"High",TRUE(),"Very High")</f>
        <v>Medium</v>
      </c>
      <c r="N539" t="str">
        <f t="array" ref="N539">_xlfn.IFS(HR_Data[[#This Row],[Age]]&lt;25,"18-24",HR_Data[[#This Row],[Age]]&lt;35,"25-34",HR_Data[[#This Row],[Age]]&lt;45,"35-44",TRUE(),"45+")</f>
        <v>25-34</v>
      </c>
      <c r="O539">
        <f>YEAR(HR_Data[[#This Row],[Joining Date]])</f>
        <v>2025</v>
      </c>
      <c r="P539" t="str">
        <f>TEXT(HR_Data[[#This Row],[Joining Date]],"mmmm")</f>
        <v>June</v>
      </c>
      <c r="Q539">
        <f t="array" ref="Q53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39">
        <f>HR_Data[[#This Row],[Salary]]*HR_Data[[#This Row],[Bonus %]]</f>
        <v>4637</v>
      </c>
      <c r="S539">
        <f>HR_Data[[#This Row],[Salary]]+HR_Data[[#This Row],[Bonus Amount]]</f>
        <v>51007</v>
      </c>
      <c r="T539" t="str">
        <f>IF(HR_Data[[#This Row],[Attrition]]="Yes","Inactive","Active")</f>
        <v>Active</v>
      </c>
      <c r="U539" t="str">
        <f t="array" ref="U539">_xlfn.IFS(HR_Data[[#This Row],[Salary]]&gt;=100000,"A",HR_Data[[#This Row],[Salary]]&gt;=70000,"B",HR_Data[[#This Row],[Salary]]&gt;=50000,"C",TRUE(),"D")</f>
        <v>D</v>
      </c>
      <c r="V539" t="str">
        <f t="array" ref="V539">_xlfn.IFS(HR_Data[[#This Row],[Experience]]&gt;=15,"Expert",HR_Data[[#This Row],[Experience]]&gt;=8,"Senior",HR_Data[[#This Row],[Experience]]&gt;=3,"Mid-Level",TRUE(),"Junior")</f>
        <v>Mid-Level</v>
      </c>
    </row>
    <row r="540" spans="1:22" ht="14.25" customHeight="1" x14ac:dyDescent="0.3">
      <c r="A540" t="s">
        <v>1279</v>
      </c>
      <c r="B540" t="s">
        <v>245</v>
      </c>
      <c r="C540" t="s">
        <v>55</v>
      </c>
      <c r="D540" t="s">
        <v>25</v>
      </c>
      <c r="E540">
        <v>41</v>
      </c>
      <c r="F540">
        <v>63024</v>
      </c>
      <c r="G540">
        <v>11</v>
      </c>
      <c r="H540" t="s">
        <v>1280</v>
      </c>
      <c r="I540" t="s">
        <v>35</v>
      </c>
      <c r="J540" t="s">
        <v>36</v>
      </c>
      <c r="K540" t="s">
        <v>37</v>
      </c>
      <c r="L540" t="str">
        <f t="array" ref="L540">_xlfn.IFS(HR_Data[[#This Row],[Experience]]&lt;2,"0-2 Years",HR_Data[[#This Row],[Experience]]&lt;5,"2-5 Years",HR_Data[[#This Row],[Experience]]&lt;10,"5-10 Years",TRUE(),"10+ Years")</f>
        <v>10+ Years</v>
      </c>
      <c r="M540" t="str">
        <f t="array" ref="M540">_xlfn.IFS(HR_Data[[#This Row],[Salary]]&lt;40000,"Low",HR_Data[[#This Row],[Salary]]&lt;70000,"Medium",HR_Data[[#This Row],[Salary]]&lt;100000,"High",TRUE(),"Very High")</f>
        <v>Medium</v>
      </c>
      <c r="N540" t="str">
        <f t="array" ref="N540">_xlfn.IFS(HR_Data[[#This Row],[Age]]&lt;25,"18-24",HR_Data[[#This Row],[Age]]&lt;35,"25-34",HR_Data[[#This Row],[Age]]&lt;45,"35-44",TRUE(),"45+")</f>
        <v>35-44</v>
      </c>
      <c r="O540">
        <f>YEAR(HR_Data[[#This Row],[Joining Date]])</f>
        <v>2022</v>
      </c>
      <c r="P540" t="str">
        <f>TEXT(HR_Data[[#This Row],[Joining Date]],"mmmm")</f>
        <v>April</v>
      </c>
      <c r="Q540">
        <f t="array" ref="Q54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40">
        <f>HR_Data[[#This Row],[Salary]]*HR_Data[[#This Row],[Bonus %]]</f>
        <v>6302.4000000000005</v>
      </c>
      <c r="S540">
        <f>HR_Data[[#This Row],[Salary]]+HR_Data[[#This Row],[Bonus Amount]]</f>
        <v>69326.399999999994</v>
      </c>
      <c r="T540" t="str">
        <f>IF(HR_Data[[#This Row],[Attrition]]="Yes","Inactive","Active")</f>
        <v>Inactive</v>
      </c>
      <c r="U540" t="str">
        <f t="array" ref="U540">_xlfn.IFS(HR_Data[[#This Row],[Salary]]&gt;=100000,"A",HR_Data[[#This Row],[Salary]]&gt;=70000,"B",HR_Data[[#This Row],[Salary]]&gt;=50000,"C",TRUE(),"D")</f>
        <v>C</v>
      </c>
      <c r="V540" t="str">
        <f t="array" ref="V540">_xlfn.IFS(HR_Data[[#This Row],[Experience]]&gt;=15,"Expert",HR_Data[[#This Row],[Experience]]&gt;=8,"Senior",HR_Data[[#This Row],[Experience]]&gt;=3,"Mid-Level",TRUE(),"Junior")</f>
        <v>Senior</v>
      </c>
    </row>
    <row r="541" spans="1:22" ht="14.25" customHeight="1" x14ac:dyDescent="0.3">
      <c r="A541" t="s">
        <v>1281</v>
      </c>
      <c r="B541" t="s">
        <v>943</v>
      </c>
      <c r="C541" t="s">
        <v>75</v>
      </c>
      <c r="D541" t="s">
        <v>33</v>
      </c>
      <c r="E541">
        <v>33</v>
      </c>
      <c r="F541">
        <v>60423</v>
      </c>
      <c r="G541">
        <v>10</v>
      </c>
      <c r="H541" t="s">
        <v>1282</v>
      </c>
      <c r="I541" t="s">
        <v>80</v>
      </c>
      <c r="J541" t="s">
        <v>36</v>
      </c>
      <c r="K541" t="s">
        <v>29</v>
      </c>
      <c r="L541" t="str">
        <f t="array" ref="L541">_xlfn.IFS(HR_Data[[#This Row],[Experience]]&lt;2,"0-2 Years",HR_Data[[#This Row],[Experience]]&lt;5,"2-5 Years",HR_Data[[#This Row],[Experience]]&lt;10,"5-10 Years",TRUE(),"10+ Years")</f>
        <v>10+ Years</v>
      </c>
      <c r="M541" t="str">
        <f t="array" ref="M541">_xlfn.IFS(HR_Data[[#This Row],[Salary]]&lt;40000,"Low",HR_Data[[#This Row],[Salary]]&lt;70000,"Medium",HR_Data[[#This Row],[Salary]]&lt;100000,"High",TRUE(),"Very High")</f>
        <v>Medium</v>
      </c>
      <c r="N541" t="str">
        <f t="array" ref="N541">_xlfn.IFS(HR_Data[[#This Row],[Age]]&lt;25,"18-24",HR_Data[[#This Row],[Age]]&lt;35,"25-34",HR_Data[[#This Row],[Age]]&lt;45,"35-44",TRUE(),"45+")</f>
        <v>25-34</v>
      </c>
      <c r="O541">
        <f>YEAR(HR_Data[[#This Row],[Joining Date]])</f>
        <v>2017</v>
      </c>
      <c r="P541" t="str">
        <f>TEXT(HR_Data[[#This Row],[Joining Date]],"mmmm")</f>
        <v>November</v>
      </c>
      <c r="Q541">
        <f t="array" ref="Q54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41">
        <f>HR_Data[[#This Row],[Salary]]*HR_Data[[#This Row],[Bonus %]]</f>
        <v>6042.3</v>
      </c>
      <c r="S541">
        <f>HR_Data[[#This Row],[Salary]]+HR_Data[[#This Row],[Bonus Amount]]</f>
        <v>66465.3</v>
      </c>
      <c r="T541" t="str">
        <f>IF(HR_Data[[#This Row],[Attrition]]="Yes","Inactive","Active")</f>
        <v>Active</v>
      </c>
      <c r="U541" t="str">
        <f t="array" ref="U541">_xlfn.IFS(HR_Data[[#This Row],[Salary]]&gt;=100000,"A",HR_Data[[#This Row],[Salary]]&gt;=70000,"B",HR_Data[[#This Row],[Salary]]&gt;=50000,"C",TRUE(),"D")</f>
        <v>C</v>
      </c>
      <c r="V541" t="str">
        <f t="array" ref="V541">_xlfn.IFS(HR_Data[[#This Row],[Experience]]&gt;=15,"Expert",HR_Data[[#This Row],[Experience]]&gt;=8,"Senior",HR_Data[[#This Row],[Experience]]&gt;=3,"Mid-Level",TRUE(),"Junior")</f>
        <v>Senior</v>
      </c>
    </row>
    <row r="542" spans="1:22" ht="14.25" customHeight="1" x14ac:dyDescent="0.3">
      <c r="A542" t="s">
        <v>1283</v>
      </c>
      <c r="B542" t="s">
        <v>398</v>
      </c>
      <c r="C542" t="s">
        <v>32</v>
      </c>
      <c r="D542" t="s">
        <v>33</v>
      </c>
      <c r="E542">
        <v>60</v>
      </c>
      <c r="F542">
        <v>138933</v>
      </c>
      <c r="G542">
        <v>34</v>
      </c>
      <c r="H542" t="s">
        <v>1284</v>
      </c>
      <c r="I542" t="s">
        <v>67</v>
      </c>
      <c r="J542" t="s">
        <v>28</v>
      </c>
      <c r="K542" t="s">
        <v>29</v>
      </c>
      <c r="L542" t="str">
        <f t="array" ref="L542">_xlfn.IFS(HR_Data[[#This Row],[Experience]]&lt;2,"0-2 Years",HR_Data[[#This Row],[Experience]]&lt;5,"2-5 Years",HR_Data[[#This Row],[Experience]]&lt;10,"5-10 Years",TRUE(),"10+ Years")</f>
        <v>10+ Years</v>
      </c>
      <c r="M542" t="str">
        <f t="array" ref="M542">_xlfn.IFS(HR_Data[[#This Row],[Salary]]&lt;40000,"Low",HR_Data[[#This Row],[Salary]]&lt;70000,"Medium",HR_Data[[#This Row],[Salary]]&lt;100000,"High",TRUE(),"Very High")</f>
        <v>Very High</v>
      </c>
      <c r="N542" t="str">
        <f t="array" ref="N542">_xlfn.IFS(HR_Data[[#This Row],[Age]]&lt;25,"18-24",HR_Data[[#This Row],[Age]]&lt;35,"25-34",HR_Data[[#This Row],[Age]]&lt;45,"35-44",TRUE(),"45+")</f>
        <v>45+</v>
      </c>
      <c r="O542">
        <f>YEAR(HR_Data[[#This Row],[Joining Date]])</f>
        <v>2024</v>
      </c>
      <c r="P542" t="str">
        <f>TEXT(HR_Data[[#This Row],[Joining Date]],"mmmm")</f>
        <v>April</v>
      </c>
      <c r="Q542">
        <f t="array" ref="Q542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42">
        <f>HR_Data[[#This Row],[Salary]]*HR_Data[[#This Row],[Bonus %]]</f>
        <v>20839.95</v>
      </c>
      <c r="S542">
        <f>HR_Data[[#This Row],[Salary]]+HR_Data[[#This Row],[Bonus Amount]]</f>
        <v>159772.95000000001</v>
      </c>
      <c r="T542" t="str">
        <f>IF(HR_Data[[#This Row],[Attrition]]="Yes","Inactive","Active")</f>
        <v>Active</v>
      </c>
      <c r="U542" t="str">
        <f t="array" ref="U542">_xlfn.IFS(HR_Data[[#This Row],[Salary]]&gt;=100000,"A",HR_Data[[#This Row],[Salary]]&gt;=70000,"B",HR_Data[[#This Row],[Salary]]&gt;=50000,"C",TRUE(),"D")</f>
        <v>A</v>
      </c>
      <c r="V542" t="str">
        <f t="array" ref="V542">_xlfn.IFS(HR_Data[[#This Row],[Experience]]&gt;=15,"Expert",HR_Data[[#This Row],[Experience]]&gt;=8,"Senior",HR_Data[[#This Row],[Experience]]&gt;=3,"Mid-Level",TRUE(),"Junior")</f>
        <v>Expert</v>
      </c>
    </row>
    <row r="543" spans="1:22" ht="14.25" customHeight="1" x14ac:dyDescent="0.3">
      <c r="A543" t="s">
        <v>1285</v>
      </c>
      <c r="B543" t="s">
        <v>953</v>
      </c>
      <c r="C543" t="s">
        <v>60</v>
      </c>
      <c r="D543" t="s">
        <v>33</v>
      </c>
      <c r="E543">
        <v>43</v>
      </c>
      <c r="F543">
        <v>77964</v>
      </c>
      <c r="G543">
        <v>13</v>
      </c>
      <c r="H543" t="s">
        <v>1286</v>
      </c>
      <c r="I543" t="s">
        <v>42</v>
      </c>
      <c r="J543" t="s">
        <v>46</v>
      </c>
      <c r="K543" t="s">
        <v>29</v>
      </c>
      <c r="L543" t="str">
        <f t="array" ref="L543">_xlfn.IFS(HR_Data[[#This Row],[Experience]]&lt;2,"0-2 Years",HR_Data[[#This Row],[Experience]]&lt;5,"2-5 Years",HR_Data[[#This Row],[Experience]]&lt;10,"5-10 Years",TRUE(),"10+ Years")</f>
        <v>10+ Years</v>
      </c>
      <c r="M543" t="str">
        <f t="array" ref="M543">_xlfn.IFS(HR_Data[[#This Row],[Salary]]&lt;40000,"Low",HR_Data[[#This Row],[Salary]]&lt;70000,"Medium",HR_Data[[#This Row],[Salary]]&lt;100000,"High",TRUE(),"Very High")</f>
        <v>High</v>
      </c>
      <c r="N543" t="str">
        <f t="array" ref="N543">_xlfn.IFS(HR_Data[[#This Row],[Age]]&lt;25,"18-24",HR_Data[[#This Row],[Age]]&lt;35,"25-34",HR_Data[[#This Row],[Age]]&lt;45,"35-44",TRUE(),"45+")</f>
        <v>35-44</v>
      </c>
      <c r="O543">
        <f>YEAR(HR_Data[[#This Row],[Joining Date]])</f>
        <v>2024</v>
      </c>
      <c r="P543" t="str">
        <f>TEXT(HR_Data[[#This Row],[Joining Date]],"mmmm")</f>
        <v>September</v>
      </c>
      <c r="Q543">
        <f t="array" ref="Q543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543">
        <f>HR_Data[[#This Row],[Salary]]*HR_Data[[#This Row],[Bonus %]]</f>
        <v>3898.2000000000003</v>
      </c>
      <c r="S543">
        <f>HR_Data[[#This Row],[Salary]]+HR_Data[[#This Row],[Bonus Amount]]</f>
        <v>81862.2</v>
      </c>
      <c r="T543" t="str">
        <f>IF(HR_Data[[#This Row],[Attrition]]="Yes","Inactive","Active")</f>
        <v>Active</v>
      </c>
      <c r="U543" t="str">
        <f t="array" ref="U543">_xlfn.IFS(HR_Data[[#This Row],[Salary]]&gt;=100000,"A",HR_Data[[#This Row],[Salary]]&gt;=70000,"B",HR_Data[[#This Row],[Salary]]&gt;=50000,"C",TRUE(),"D")</f>
        <v>B</v>
      </c>
      <c r="V543" t="str">
        <f t="array" ref="V543">_xlfn.IFS(HR_Data[[#This Row],[Experience]]&gt;=15,"Expert",HR_Data[[#This Row],[Experience]]&gt;=8,"Senior",HR_Data[[#This Row],[Experience]]&gt;=3,"Mid-Level",TRUE(),"Junior")</f>
        <v>Senior</v>
      </c>
    </row>
    <row r="544" spans="1:22" ht="14.25" customHeight="1" x14ac:dyDescent="0.3">
      <c r="A544" t="s">
        <v>1287</v>
      </c>
      <c r="B544" t="s">
        <v>202</v>
      </c>
      <c r="C544" t="s">
        <v>134</v>
      </c>
      <c r="D544" t="s">
        <v>25</v>
      </c>
      <c r="E544">
        <v>51</v>
      </c>
      <c r="F544">
        <v>135604</v>
      </c>
      <c r="G544">
        <v>31</v>
      </c>
      <c r="H544" t="s">
        <v>1288</v>
      </c>
      <c r="I544" t="s">
        <v>42</v>
      </c>
      <c r="J544" t="s">
        <v>28</v>
      </c>
      <c r="K544" t="s">
        <v>37</v>
      </c>
      <c r="L544" t="str">
        <f t="array" ref="L544">_xlfn.IFS(HR_Data[[#This Row],[Experience]]&lt;2,"0-2 Years",HR_Data[[#This Row],[Experience]]&lt;5,"2-5 Years",HR_Data[[#This Row],[Experience]]&lt;10,"5-10 Years",TRUE(),"10+ Years")</f>
        <v>10+ Years</v>
      </c>
      <c r="M544" t="str">
        <f t="array" ref="M544">_xlfn.IFS(HR_Data[[#This Row],[Salary]]&lt;40000,"Low",HR_Data[[#This Row],[Salary]]&lt;70000,"Medium",HR_Data[[#This Row],[Salary]]&lt;100000,"High",TRUE(),"Very High")</f>
        <v>Very High</v>
      </c>
      <c r="N544" t="str">
        <f t="array" ref="N544">_xlfn.IFS(HR_Data[[#This Row],[Age]]&lt;25,"18-24",HR_Data[[#This Row],[Age]]&lt;35,"25-34",HR_Data[[#This Row],[Age]]&lt;45,"35-44",TRUE(),"45+")</f>
        <v>45+</v>
      </c>
      <c r="O544">
        <f>YEAR(HR_Data[[#This Row],[Joining Date]])</f>
        <v>2025</v>
      </c>
      <c r="P544" t="str">
        <f>TEXT(HR_Data[[#This Row],[Joining Date]],"mmmm")</f>
        <v>May</v>
      </c>
      <c r="Q544">
        <f t="array" ref="Q544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44">
        <f>HR_Data[[#This Row],[Salary]]*HR_Data[[#This Row],[Bonus %]]</f>
        <v>20340.599999999999</v>
      </c>
      <c r="S544">
        <f>HR_Data[[#This Row],[Salary]]+HR_Data[[#This Row],[Bonus Amount]]</f>
        <v>155944.6</v>
      </c>
      <c r="T544" t="str">
        <f>IF(HR_Data[[#This Row],[Attrition]]="Yes","Inactive","Active")</f>
        <v>Inactive</v>
      </c>
      <c r="U544" t="str">
        <f t="array" ref="U544">_xlfn.IFS(HR_Data[[#This Row],[Salary]]&gt;=100000,"A",HR_Data[[#This Row],[Salary]]&gt;=70000,"B",HR_Data[[#This Row],[Salary]]&gt;=50000,"C",TRUE(),"D")</f>
        <v>A</v>
      </c>
      <c r="V544" t="str">
        <f t="array" ref="V544">_xlfn.IFS(HR_Data[[#This Row],[Experience]]&gt;=15,"Expert",HR_Data[[#This Row],[Experience]]&gt;=8,"Senior",HR_Data[[#This Row],[Experience]]&gt;=3,"Mid-Level",TRUE(),"Junior")</f>
        <v>Expert</v>
      </c>
    </row>
    <row r="545" spans="1:22" ht="14.25" customHeight="1" x14ac:dyDescent="0.3">
      <c r="A545" t="s">
        <v>1289</v>
      </c>
      <c r="B545" t="s">
        <v>465</v>
      </c>
      <c r="C545" t="s">
        <v>60</v>
      </c>
      <c r="D545" t="s">
        <v>33</v>
      </c>
      <c r="E545">
        <v>35</v>
      </c>
      <c r="F545">
        <v>55743</v>
      </c>
      <c r="G545">
        <v>6</v>
      </c>
      <c r="H545" t="s">
        <v>1290</v>
      </c>
      <c r="I545" t="s">
        <v>72</v>
      </c>
      <c r="J545" t="s">
        <v>28</v>
      </c>
      <c r="K545" t="s">
        <v>29</v>
      </c>
      <c r="L545" t="str">
        <f t="array" ref="L545">_xlfn.IFS(HR_Data[[#This Row],[Experience]]&lt;2,"0-2 Years",HR_Data[[#This Row],[Experience]]&lt;5,"2-5 Years",HR_Data[[#This Row],[Experience]]&lt;10,"5-10 Years",TRUE(),"10+ Years")</f>
        <v>5-10 Years</v>
      </c>
      <c r="M545" t="str">
        <f t="array" ref="M545">_xlfn.IFS(HR_Data[[#This Row],[Salary]]&lt;40000,"Low",HR_Data[[#This Row],[Salary]]&lt;70000,"Medium",HR_Data[[#This Row],[Salary]]&lt;100000,"High",TRUE(),"Very High")</f>
        <v>Medium</v>
      </c>
      <c r="N545" t="str">
        <f t="array" ref="N545">_xlfn.IFS(HR_Data[[#This Row],[Age]]&lt;25,"18-24",HR_Data[[#This Row],[Age]]&lt;35,"25-34",HR_Data[[#This Row],[Age]]&lt;45,"35-44",TRUE(),"45+")</f>
        <v>35-44</v>
      </c>
      <c r="O545">
        <f>YEAR(HR_Data[[#This Row],[Joining Date]])</f>
        <v>2023</v>
      </c>
      <c r="P545" t="str">
        <f>TEXT(HR_Data[[#This Row],[Joining Date]],"mmmm")</f>
        <v>July</v>
      </c>
      <c r="Q545">
        <f t="array" ref="Q545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45">
        <f>HR_Data[[#This Row],[Salary]]*HR_Data[[#This Row],[Bonus %]]</f>
        <v>8361.4499999999989</v>
      </c>
      <c r="S545">
        <f>HR_Data[[#This Row],[Salary]]+HR_Data[[#This Row],[Bonus Amount]]</f>
        <v>64104.45</v>
      </c>
      <c r="T545" t="str">
        <f>IF(HR_Data[[#This Row],[Attrition]]="Yes","Inactive","Active")</f>
        <v>Active</v>
      </c>
      <c r="U545" t="str">
        <f t="array" ref="U545">_xlfn.IFS(HR_Data[[#This Row],[Salary]]&gt;=100000,"A",HR_Data[[#This Row],[Salary]]&gt;=70000,"B",HR_Data[[#This Row],[Salary]]&gt;=50000,"C",TRUE(),"D")</f>
        <v>C</v>
      </c>
      <c r="V545" t="str">
        <f t="array" ref="V545">_xlfn.IFS(HR_Data[[#This Row],[Experience]]&gt;=15,"Expert",HR_Data[[#This Row],[Experience]]&gt;=8,"Senior",HR_Data[[#This Row],[Experience]]&gt;=3,"Mid-Level",TRUE(),"Junior")</f>
        <v>Mid-Level</v>
      </c>
    </row>
    <row r="546" spans="1:22" ht="14.25" customHeight="1" x14ac:dyDescent="0.3">
      <c r="A546" t="s">
        <v>1291</v>
      </c>
      <c r="B546" t="s">
        <v>118</v>
      </c>
      <c r="C546" t="s">
        <v>60</v>
      </c>
      <c r="D546" t="s">
        <v>33</v>
      </c>
      <c r="E546">
        <v>21</v>
      </c>
      <c r="F546">
        <v>25000</v>
      </c>
      <c r="G546">
        <v>0</v>
      </c>
      <c r="H546" t="s">
        <v>1292</v>
      </c>
      <c r="I546" t="s">
        <v>67</v>
      </c>
      <c r="J546" t="s">
        <v>36</v>
      </c>
      <c r="K546" t="s">
        <v>29</v>
      </c>
      <c r="L546" t="str">
        <f t="array" ref="L546">_xlfn.IFS(HR_Data[[#This Row],[Experience]]&lt;2,"0-2 Years",HR_Data[[#This Row],[Experience]]&lt;5,"2-5 Years",HR_Data[[#This Row],[Experience]]&lt;10,"5-10 Years",TRUE(),"10+ Years")</f>
        <v>0-2 Years</v>
      </c>
      <c r="M546" t="str">
        <f t="array" ref="M546">_xlfn.IFS(HR_Data[[#This Row],[Salary]]&lt;40000,"Low",HR_Data[[#This Row],[Salary]]&lt;70000,"Medium",HR_Data[[#This Row],[Salary]]&lt;100000,"High",TRUE(),"Very High")</f>
        <v>Low</v>
      </c>
      <c r="N546" t="str">
        <f t="array" ref="N546">_xlfn.IFS(HR_Data[[#This Row],[Age]]&lt;25,"18-24",HR_Data[[#This Row],[Age]]&lt;35,"25-34",HR_Data[[#This Row],[Age]]&lt;45,"35-44",TRUE(),"45+")</f>
        <v>18-24</v>
      </c>
      <c r="O546">
        <f>YEAR(HR_Data[[#This Row],[Joining Date]])</f>
        <v>2025</v>
      </c>
      <c r="P546" t="str">
        <f>TEXT(HR_Data[[#This Row],[Joining Date]],"mmmm")</f>
        <v>February</v>
      </c>
      <c r="Q546">
        <f t="array" ref="Q54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46">
        <f>HR_Data[[#This Row],[Salary]]*HR_Data[[#This Row],[Bonus %]]</f>
        <v>2500</v>
      </c>
      <c r="S546">
        <f>HR_Data[[#This Row],[Salary]]+HR_Data[[#This Row],[Bonus Amount]]</f>
        <v>27500</v>
      </c>
      <c r="T546" t="str">
        <f>IF(HR_Data[[#This Row],[Attrition]]="Yes","Inactive","Active")</f>
        <v>Active</v>
      </c>
      <c r="U546" t="str">
        <f t="array" ref="U546">_xlfn.IFS(HR_Data[[#This Row],[Salary]]&gt;=100000,"A",HR_Data[[#This Row],[Salary]]&gt;=70000,"B",HR_Data[[#This Row],[Salary]]&gt;=50000,"C",TRUE(),"D")</f>
        <v>D</v>
      </c>
      <c r="V546" t="str">
        <f t="array" ref="V546">_xlfn.IFS(HR_Data[[#This Row],[Experience]]&gt;=15,"Expert",HR_Data[[#This Row],[Experience]]&gt;=8,"Senior",HR_Data[[#This Row],[Experience]]&gt;=3,"Mid-Level",TRUE(),"Junior")</f>
        <v>Junior</v>
      </c>
    </row>
    <row r="547" spans="1:22" ht="14.25" customHeight="1" x14ac:dyDescent="0.3">
      <c r="A547" t="s">
        <v>1293</v>
      </c>
      <c r="B547" t="s">
        <v>543</v>
      </c>
      <c r="C547" t="s">
        <v>112</v>
      </c>
      <c r="D547" t="s">
        <v>25</v>
      </c>
      <c r="E547">
        <v>47</v>
      </c>
      <c r="F547">
        <v>87779</v>
      </c>
      <c r="G547">
        <v>19</v>
      </c>
      <c r="H547" t="s">
        <v>1294</v>
      </c>
      <c r="I547" t="s">
        <v>132</v>
      </c>
      <c r="J547" t="s">
        <v>36</v>
      </c>
      <c r="K547" t="s">
        <v>29</v>
      </c>
      <c r="L547" t="str">
        <f t="array" ref="L547">_xlfn.IFS(HR_Data[[#This Row],[Experience]]&lt;2,"0-2 Years",HR_Data[[#This Row],[Experience]]&lt;5,"2-5 Years",HR_Data[[#This Row],[Experience]]&lt;10,"5-10 Years",TRUE(),"10+ Years")</f>
        <v>10+ Years</v>
      </c>
      <c r="M547" t="str">
        <f t="array" ref="M547">_xlfn.IFS(HR_Data[[#This Row],[Salary]]&lt;40000,"Low",HR_Data[[#This Row],[Salary]]&lt;70000,"Medium",HR_Data[[#This Row],[Salary]]&lt;100000,"High",TRUE(),"Very High")</f>
        <v>High</v>
      </c>
      <c r="N547" t="str">
        <f t="array" ref="N547">_xlfn.IFS(HR_Data[[#This Row],[Age]]&lt;25,"18-24",HR_Data[[#This Row],[Age]]&lt;35,"25-34",HR_Data[[#This Row],[Age]]&lt;45,"35-44",TRUE(),"45+")</f>
        <v>45+</v>
      </c>
      <c r="O547">
        <f>YEAR(HR_Data[[#This Row],[Joining Date]])</f>
        <v>2024</v>
      </c>
      <c r="P547" t="str">
        <f>TEXT(HR_Data[[#This Row],[Joining Date]],"mmmm")</f>
        <v>October</v>
      </c>
      <c r="Q547">
        <f t="array" ref="Q547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47">
        <f>HR_Data[[#This Row],[Salary]]*HR_Data[[#This Row],[Bonus %]]</f>
        <v>8777.9</v>
      </c>
      <c r="S547">
        <f>HR_Data[[#This Row],[Salary]]+HR_Data[[#This Row],[Bonus Amount]]</f>
        <v>96556.9</v>
      </c>
      <c r="T547" t="str">
        <f>IF(HR_Data[[#This Row],[Attrition]]="Yes","Inactive","Active")</f>
        <v>Active</v>
      </c>
      <c r="U547" t="str">
        <f t="array" ref="U547">_xlfn.IFS(HR_Data[[#This Row],[Salary]]&gt;=100000,"A",HR_Data[[#This Row],[Salary]]&gt;=70000,"B",HR_Data[[#This Row],[Salary]]&gt;=50000,"C",TRUE(),"D")</f>
        <v>B</v>
      </c>
      <c r="V547" t="str">
        <f t="array" ref="V547">_xlfn.IFS(HR_Data[[#This Row],[Experience]]&gt;=15,"Expert",HR_Data[[#This Row],[Experience]]&gt;=8,"Senior",HR_Data[[#This Row],[Experience]]&gt;=3,"Mid-Level",TRUE(),"Junior")</f>
        <v>Expert</v>
      </c>
    </row>
    <row r="548" spans="1:22" ht="14.25" customHeight="1" x14ac:dyDescent="0.3">
      <c r="A548" t="s">
        <v>1295</v>
      </c>
      <c r="B548" t="s">
        <v>325</v>
      </c>
      <c r="C548" t="s">
        <v>134</v>
      </c>
      <c r="D548" t="s">
        <v>33</v>
      </c>
      <c r="E548">
        <v>37</v>
      </c>
      <c r="F548">
        <v>86698</v>
      </c>
      <c r="G548">
        <v>18</v>
      </c>
      <c r="H548" t="s">
        <v>1296</v>
      </c>
      <c r="I548" t="s">
        <v>57</v>
      </c>
      <c r="J548" t="s">
        <v>63</v>
      </c>
      <c r="K548" t="s">
        <v>29</v>
      </c>
      <c r="L548" t="str">
        <f t="array" ref="L548">_xlfn.IFS(HR_Data[[#This Row],[Experience]]&lt;2,"0-2 Years",HR_Data[[#This Row],[Experience]]&lt;5,"2-5 Years",HR_Data[[#This Row],[Experience]]&lt;10,"5-10 Years",TRUE(),"10+ Years")</f>
        <v>10+ Years</v>
      </c>
      <c r="M548" t="str">
        <f t="array" ref="M548">_xlfn.IFS(HR_Data[[#This Row],[Salary]]&lt;40000,"Low",HR_Data[[#This Row],[Salary]]&lt;70000,"Medium",HR_Data[[#This Row],[Salary]]&lt;100000,"High",TRUE(),"Very High")</f>
        <v>High</v>
      </c>
      <c r="N548" t="str">
        <f t="array" ref="N548">_xlfn.IFS(HR_Data[[#This Row],[Age]]&lt;25,"18-24",HR_Data[[#This Row],[Age]]&lt;35,"25-34",HR_Data[[#This Row],[Age]]&lt;45,"35-44",TRUE(),"45+")</f>
        <v>35-44</v>
      </c>
      <c r="O548">
        <f>YEAR(HR_Data[[#This Row],[Joining Date]])</f>
        <v>2016</v>
      </c>
      <c r="P548" t="str">
        <f>TEXT(HR_Data[[#This Row],[Joining Date]],"mmmm")</f>
        <v>March</v>
      </c>
      <c r="Q548">
        <f t="array" ref="Q548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548">
        <f>HR_Data[[#This Row],[Salary]]*HR_Data[[#This Row],[Bonus %]]</f>
        <v>17339.600000000002</v>
      </c>
      <c r="S548">
        <f>HR_Data[[#This Row],[Salary]]+HR_Data[[#This Row],[Bonus Amount]]</f>
        <v>104037.6</v>
      </c>
      <c r="T548" t="str">
        <f>IF(HR_Data[[#This Row],[Attrition]]="Yes","Inactive","Active")</f>
        <v>Active</v>
      </c>
      <c r="U548" t="str">
        <f t="array" ref="U548">_xlfn.IFS(HR_Data[[#This Row],[Salary]]&gt;=100000,"A",HR_Data[[#This Row],[Salary]]&gt;=70000,"B",HR_Data[[#This Row],[Salary]]&gt;=50000,"C",TRUE(),"D")</f>
        <v>B</v>
      </c>
      <c r="V548" t="str">
        <f t="array" ref="V548">_xlfn.IFS(HR_Data[[#This Row],[Experience]]&gt;=15,"Expert",HR_Data[[#This Row],[Experience]]&gt;=8,"Senior",HR_Data[[#This Row],[Experience]]&gt;=3,"Mid-Level",TRUE(),"Junior")</f>
        <v>Expert</v>
      </c>
    </row>
    <row r="549" spans="1:22" ht="14.25" customHeight="1" x14ac:dyDescent="0.3">
      <c r="A549" t="s">
        <v>1297</v>
      </c>
      <c r="B549" t="s">
        <v>409</v>
      </c>
      <c r="C549" t="s">
        <v>32</v>
      </c>
      <c r="D549" t="s">
        <v>33</v>
      </c>
      <c r="E549">
        <v>57</v>
      </c>
      <c r="F549">
        <v>122738</v>
      </c>
      <c r="G549">
        <v>27</v>
      </c>
      <c r="H549" t="s">
        <v>1298</v>
      </c>
      <c r="I549" t="s">
        <v>132</v>
      </c>
      <c r="J549" t="s">
        <v>36</v>
      </c>
      <c r="K549" t="s">
        <v>29</v>
      </c>
      <c r="L549" t="str">
        <f t="array" ref="L549">_xlfn.IFS(HR_Data[[#This Row],[Experience]]&lt;2,"0-2 Years",HR_Data[[#This Row],[Experience]]&lt;5,"2-5 Years",HR_Data[[#This Row],[Experience]]&lt;10,"5-10 Years",TRUE(),"10+ Years")</f>
        <v>10+ Years</v>
      </c>
      <c r="M549" t="str">
        <f t="array" ref="M549">_xlfn.IFS(HR_Data[[#This Row],[Salary]]&lt;40000,"Low",HR_Data[[#This Row],[Salary]]&lt;70000,"Medium",HR_Data[[#This Row],[Salary]]&lt;100000,"High",TRUE(),"Very High")</f>
        <v>Very High</v>
      </c>
      <c r="N549" t="str">
        <f t="array" ref="N549">_xlfn.IFS(HR_Data[[#This Row],[Age]]&lt;25,"18-24",HR_Data[[#This Row],[Age]]&lt;35,"25-34",HR_Data[[#This Row],[Age]]&lt;45,"35-44",TRUE(),"45+")</f>
        <v>45+</v>
      </c>
      <c r="O549">
        <f>YEAR(HR_Data[[#This Row],[Joining Date]])</f>
        <v>2023</v>
      </c>
      <c r="P549" t="str">
        <f>TEXT(HR_Data[[#This Row],[Joining Date]],"mmmm")</f>
        <v>November</v>
      </c>
      <c r="Q549">
        <f t="array" ref="Q54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49">
        <f>HR_Data[[#This Row],[Salary]]*HR_Data[[#This Row],[Bonus %]]</f>
        <v>12273.800000000001</v>
      </c>
      <c r="S549">
        <f>HR_Data[[#This Row],[Salary]]+HR_Data[[#This Row],[Bonus Amount]]</f>
        <v>135011.79999999999</v>
      </c>
      <c r="T549" t="str">
        <f>IF(HR_Data[[#This Row],[Attrition]]="Yes","Inactive","Active")</f>
        <v>Active</v>
      </c>
      <c r="U549" t="str">
        <f t="array" ref="U549">_xlfn.IFS(HR_Data[[#This Row],[Salary]]&gt;=100000,"A",HR_Data[[#This Row],[Salary]]&gt;=70000,"B",HR_Data[[#This Row],[Salary]]&gt;=50000,"C",TRUE(),"D")</f>
        <v>A</v>
      </c>
      <c r="V549" t="str">
        <f t="array" ref="V549">_xlfn.IFS(HR_Data[[#This Row],[Experience]]&gt;=15,"Expert",HR_Data[[#This Row],[Experience]]&gt;=8,"Senior",HR_Data[[#This Row],[Experience]]&gt;=3,"Mid-Level",TRUE(),"Junior")</f>
        <v>Expert</v>
      </c>
    </row>
    <row r="550" spans="1:22" ht="14.25" customHeight="1" x14ac:dyDescent="0.3">
      <c r="A550" t="s">
        <v>1299</v>
      </c>
      <c r="B550" t="s">
        <v>319</v>
      </c>
      <c r="C550" t="s">
        <v>134</v>
      </c>
      <c r="D550" t="s">
        <v>33</v>
      </c>
      <c r="E550">
        <v>51</v>
      </c>
      <c r="F550">
        <v>119167</v>
      </c>
      <c r="G550">
        <v>30</v>
      </c>
      <c r="H550" t="s">
        <v>1300</v>
      </c>
      <c r="I550" t="s">
        <v>132</v>
      </c>
      <c r="J550" t="s">
        <v>46</v>
      </c>
      <c r="K550" t="s">
        <v>29</v>
      </c>
      <c r="L550" t="str">
        <f t="array" ref="L550">_xlfn.IFS(HR_Data[[#This Row],[Experience]]&lt;2,"0-2 Years",HR_Data[[#This Row],[Experience]]&lt;5,"2-5 Years",HR_Data[[#This Row],[Experience]]&lt;10,"5-10 Years",TRUE(),"10+ Years")</f>
        <v>10+ Years</v>
      </c>
      <c r="M550" t="str">
        <f t="array" ref="M550">_xlfn.IFS(HR_Data[[#This Row],[Salary]]&lt;40000,"Low",HR_Data[[#This Row],[Salary]]&lt;70000,"Medium",HR_Data[[#This Row],[Salary]]&lt;100000,"High",TRUE(),"Very High")</f>
        <v>Very High</v>
      </c>
      <c r="N550" t="str">
        <f t="array" ref="N550">_xlfn.IFS(HR_Data[[#This Row],[Age]]&lt;25,"18-24",HR_Data[[#This Row],[Age]]&lt;35,"25-34",HR_Data[[#This Row],[Age]]&lt;45,"35-44",TRUE(),"45+")</f>
        <v>45+</v>
      </c>
      <c r="O550">
        <f>YEAR(HR_Data[[#This Row],[Joining Date]])</f>
        <v>2023</v>
      </c>
      <c r="P550" t="str">
        <f>TEXT(HR_Data[[#This Row],[Joining Date]],"mmmm")</f>
        <v>August</v>
      </c>
      <c r="Q550">
        <f t="array" ref="Q550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550">
        <f>HR_Data[[#This Row],[Salary]]*HR_Data[[#This Row],[Bonus %]]</f>
        <v>5958.35</v>
      </c>
      <c r="S550">
        <f>HR_Data[[#This Row],[Salary]]+HR_Data[[#This Row],[Bonus Amount]]</f>
        <v>125125.35</v>
      </c>
      <c r="T550" t="str">
        <f>IF(HR_Data[[#This Row],[Attrition]]="Yes","Inactive","Active")</f>
        <v>Active</v>
      </c>
      <c r="U550" t="str">
        <f t="array" ref="U550">_xlfn.IFS(HR_Data[[#This Row],[Salary]]&gt;=100000,"A",HR_Data[[#This Row],[Salary]]&gt;=70000,"B",HR_Data[[#This Row],[Salary]]&gt;=50000,"C",TRUE(),"D")</f>
        <v>A</v>
      </c>
      <c r="V550" t="str">
        <f t="array" ref="V550">_xlfn.IFS(HR_Data[[#This Row],[Experience]]&gt;=15,"Expert",HR_Data[[#This Row],[Experience]]&gt;=8,"Senior",HR_Data[[#This Row],[Experience]]&gt;=3,"Mid-Level",TRUE(),"Junior")</f>
        <v>Expert</v>
      </c>
    </row>
    <row r="551" spans="1:22" ht="14.25" customHeight="1" x14ac:dyDescent="0.3">
      <c r="A551" t="s">
        <v>1301</v>
      </c>
      <c r="B551" t="s">
        <v>319</v>
      </c>
      <c r="C551" t="s">
        <v>40</v>
      </c>
      <c r="D551" t="s">
        <v>33</v>
      </c>
      <c r="E551">
        <v>21</v>
      </c>
      <c r="F551">
        <v>25000</v>
      </c>
      <c r="G551">
        <v>0</v>
      </c>
      <c r="H551" t="s">
        <v>1302</v>
      </c>
      <c r="I551" t="s">
        <v>62</v>
      </c>
      <c r="J551" t="s">
        <v>36</v>
      </c>
      <c r="K551" t="s">
        <v>29</v>
      </c>
      <c r="L551" t="str">
        <f t="array" ref="L551">_xlfn.IFS(HR_Data[[#This Row],[Experience]]&lt;2,"0-2 Years",HR_Data[[#This Row],[Experience]]&lt;5,"2-5 Years",HR_Data[[#This Row],[Experience]]&lt;10,"5-10 Years",TRUE(),"10+ Years")</f>
        <v>0-2 Years</v>
      </c>
      <c r="M551" t="str">
        <f t="array" ref="M551">_xlfn.IFS(HR_Data[[#This Row],[Salary]]&lt;40000,"Low",HR_Data[[#This Row],[Salary]]&lt;70000,"Medium",HR_Data[[#This Row],[Salary]]&lt;100000,"High",TRUE(),"Very High")</f>
        <v>Low</v>
      </c>
      <c r="N551" t="str">
        <f t="array" ref="N551">_xlfn.IFS(HR_Data[[#This Row],[Age]]&lt;25,"18-24",HR_Data[[#This Row],[Age]]&lt;35,"25-34",HR_Data[[#This Row],[Age]]&lt;45,"35-44",TRUE(),"45+")</f>
        <v>18-24</v>
      </c>
      <c r="O551">
        <f>YEAR(HR_Data[[#This Row],[Joining Date]])</f>
        <v>2018</v>
      </c>
      <c r="P551" t="str">
        <f>TEXT(HR_Data[[#This Row],[Joining Date]],"mmmm")</f>
        <v>March</v>
      </c>
      <c r="Q551">
        <f t="array" ref="Q55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51">
        <f>HR_Data[[#This Row],[Salary]]*HR_Data[[#This Row],[Bonus %]]</f>
        <v>2500</v>
      </c>
      <c r="S551">
        <f>HR_Data[[#This Row],[Salary]]+HR_Data[[#This Row],[Bonus Amount]]</f>
        <v>27500</v>
      </c>
      <c r="T551" t="str">
        <f>IF(HR_Data[[#This Row],[Attrition]]="Yes","Inactive","Active")</f>
        <v>Active</v>
      </c>
      <c r="U551" t="str">
        <f t="array" ref="U551">_xlfn.IFS(HR_Data[[#This Row],[Salary]]&gt;=100000,"A",HR_Data[[#This Row],[Salary]]&gt;=70000,"B",HR_Data[[#This Row],[Salary]]&gt;=50000,"C",TRUE(),"D")</f>
        <v>D</v>
      </c>
      <c r="V551" t="str">
        <f t="array" ref="V551">_xlfn.IFS(HR_Data[[#This Row],[Experience]]&gt;=15,"Expert",HR_Data[[#This Row],[Experience]]&gt;=8,"Senior",HR_Data[[#This Row],[Experience]]&gt;=3,"Mid-Level",TRUE(),"Junior")</f>
        <v>Junior</v>
      </c>
    </row>
    <row r="552" spans="1:22" ht="14.25" customHeight="1" x14ac:dyDescent="0.3">
      <c r="A552" t="s">
        <v>1303</v>
      </c>
      <c r="B552" t="s">
        <v>196</v>
      </c>
      <c r="C552" t="s">
        <v>93</v>
      </c>
      <c r="D552" t="s">
        <v>25</v>
      </c>
      <c r="E552">
        <v>59</v>
      </c>
      <c r="F552">
        <v>129605</v>
      </c>
      <c r="G552">
        <v>29</v>
      </c>
      <c r="H552" t="s">
        <v>1304</v>
      </c>
      <c r="I552" t="s">
        <v>67</v>
      </c>
      <c r="J552" t="s">
        <v>36</v>
      </c>
      <c r="K552" t="s">
        <v>29</v>
      </c>
      <c r="L552" t="str">
        <f t="array" ref="L552">_xlfn.IFS(HR_Data[[#This Row],[Experience]]&lt;2,"0-2 Years",HR_Data[[#This Row],[Experience]]&lt;5,"2-5 Years",HR_Data[[#This Row],[Experience]]&lt;10,"5-10 Years",TRUE(),"10+ Years")</f>
        <v>10+ Years</v>
      </c>
      <c r="M552" t="str">
        <f t="array" ref="M552">_xlfn.IFS(HR_Data[[#This Row],[Salary]]&lt;40000,"Low",HR_Data[[#This Row],[Salary]]&lt;70000,"Medium",HR_Data[[#This Row],[Salary]]&lt;100000,"High",TRUE(),"Very High")</f>
        <v>Very High</v>
      </c>
      <c r="N552" t="str">
        <f t="array" ref="N552">_xlfn.IFS(HR_Data[[#This Row],[Age]]&lt;25,"18-24",HR_Data[[#This Row],[Age]]&lt;35,"25-34",HR_Data[[#This Row],[Age]]&lt;45,"35-44",TRUE(),"45+")</f>
        <v>45+</v>
      </c>
      <c r="O552">
        <f>YEAR(HR_Data[[#This Row],[Joining Date]])</f>
        <v>2024</v>
      </c>
      <c r="P552" t="str">
        <f>TEXT(HR_Data[[#This Row],[Joining Date]],"mmmm")</f>
        <v>July</v>
      </c>
      <c r="Q552">
        <f t="array" ref="Q55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52">
        <f>HR_Data[[#This Row],[Salary]]*HR_Data[[#This Row],[Bonus %]]</f>
        <v>12960.5</v>
      </c>
      <c r="S552">
        <f>HR_Data[[#This Row],[Salary]]+HR_Data[[#This Row],[Bonus Amount]]</f>
        <v>142565.5</v>
      </c>
      <c r="T552" t="str">
        <f>IF(HR_Data[[#This Row],[Attrition]]="Yes","Inactive","Active")</f>
        <v>Active</v>
      </c>
      <c r="U552" t="str">
        <f t="array" ref="U552">_xlfn.IFS(HR_Data[[#This Row],[Salary]]&gt;=100000,"A",HR_Data[[#This Row],[Salary]]&gt;=70000,"B",HR_Data[[#This Row],[Salary]]&gt;=50000,"C",TRUE(),"D")</f>
        <v>A</v>
      </c>
      <c r="V552" t="str">
        <f t="array" ref="V552">_xlfn.IFS(HR_Data[[#This Row],[Experience]]&gt;=15,"Expert",HR_Data[[#This Row],[Experience]]&gt;=8,"Senior",HR_Data[[#This Row],[Experience]]&gt;=3,"Mid-Level",TRUE(),"Junior")</f>
        <v>Expert</v>
      </c>
    </row>
    <row r="553" spans="1:22" ht="14.25" customHeight="1" x14ac:dyDescent="0.3">
      <c r="A553" t="s">
        <v>1305</v>
      </c>
      <c r="B553" t="s">
        <v>332</v>
      </c>
      <c r="C553" t="s">
        <v>134</v>
      </c>
      <c r="D553" t="s">
        <v>25</v>
      </c>
      <c r="E553">
        <v>35</v>
      </c>
      <c r="F553">
        <v>75718</v>
      </c>
      <c r="G553">
        <v>14</v>
      </c>
      <c r="H553" t="s">
        <v>1306</v>
      </c>
      <c r="I553" t="s">
        <v>45</v>
      </c>
      <c r="J553" t="s">
        <v>36</v>
      </c>
      <c r="K553" t="s">
        <v>29</v>
      </c>
      <c r="L553" t="str">
        <f t="array" ref="L553">_xlfn.IFS(HR_Data[[#This Row],[Experience]]&lt;2,"0-2 Years",HR_Data[[#This Row],[Experience]]&lt;5,"2-5 Years",HR_Data[[#This Row],[Experience]]&lt;10,"5-10 Years",TRUE(),"10+ Years")</f>
        <v>10+ Years</v>
      </c>
      <c r="M553" t="str">
        <f t="array" ref="M553">_xlfn.IFS(HR_Data[[#This Row],[Salary]]&lt;40000,"Low",HR_Data[[#This Row],[Salary]]&lt;70000,"Medium",HR_Data[[#This Row],[Salary]]&lt;100000,"High",TRUE(),"Very High")</f>
        <v>High</v>
      </c>
      <c r="N553" t="str">
        <f t="array" ref="N553">_xlfn.IFS(HR_Data[[#This Row],[Age]]&lt;25,"18-24",HR_Data[[#This Row],[Age]]&lt;35,"25-34",HR_Data[[#This Row],[Age]]&lt;45,"35-44",TRUE(),"45+")</f>
        <v>35-44</v>
      </c>
      <c r="O553">
        <f>YEAR(HR_Data[[#This Row],[Joining Date]])</f>
        <v>2015</v>
      </c>
      <c r="P553" t="str">
        <f>TEXT(HR_Data[[#This Row],[Joining Date]],"mmmm")</f>
        <v>March</v>
      </c>
      <c r="Q553">
        <f t="array" ref="Q553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53">
        <f>HR_Data[[#This Row],[Salary]]*HR_Data[[#This Row],[Bonus %]]</f>
        <v>7571.8</v>
      </c>
      <c r="S553">
        <f>HR_Data[[#This Row],[Salary]]+HR_Data[[#This Row],[Bonus Amount]]</f>
        <v>83289.8</v>
      </c>
      <c r="T553" t="str">
        <f>IF(HR_Data[[#This Row],[Attrition]]="Yes","Inactive","Active")</f>
        <v>Active</v>
      </c>
      <c r="U553" t="str">
        <f t="array" ref="U553">_xlfn.IFS(HR_Data[[#This Row],[Salary]]&gt;=100000,"A",HR_Data[[#This Row],[Salary]]&gt;=70000,"B",HR_Data[[#This Row],[Salary]]&gt;=50000,"C",TRUE(),"D")</f>
        <v>B</v>
      </c>
      <c r="V553" t="str">
        <f t="array" ref="V553">_xlfn.IFS(HR_Data[[#This Row],[Experience]]&gt;=15,"Expert",HR_Data[[#This Row],[Experience]]&gt;=8,"Senior",HR_Data[[#This Row],[Experience]]&gt;=3,"Mid-Level",TRUE(),"Junior")</f>
        <v>Senior</v>
      </c>
    </row>
    <row r="554" spans="1:22" ht="14.25" customHeight="1" x14ac:dyDescent="0.3">
      <c r="A554" t="s">
        <v>1307</v>
      </c>
      <c r="B554" t="s">
        <v>245</v>
      </c>
      <c r="C554" t="s">
        <v>70</v>
      </c>
      <c r="D554" t="s">
        <v>25</v>
      </c>
      <c r="E554">
        <v>42</v>
      </c>
      <c r="F554">
        <v>91840</v>
      </c>
      <c r="G554">
        <v>23</v>
      </c>
      <c r="H554" t="s">
        <v>311</v>
      </c>
      <c r="I554" t="s">
        <v>35</v>
      </c>
      <c r="J554" t="s">
        <v>36</v>
      </c>
      <c r="K554" t="s">
        <v>37</v>
      </c>
      <c r="L554" t="str">
        <f t="array" ref="L554">_xlfn.IFS(HR_Data[[#This Row],[Experience]]&lt;2,"0-2 Years",HR_Data[[#This Row],[Experience]]&lt;5,"2-5 Years",HR_Data[[#This Row],[Experience]]&lt;10,"5-10 Years",TRUE(),"10+ Years")</f>
        <v>10+ Years</v>
      </c>
      <c r="M554" t="str">
        <f t="array" ref="M554">_xlfn.IFS(HR_Data[[#This Row],[Salary]]&lt;40000,"Low",HR_Data[[#This Row],[Salary]]&lt;70000,"Medium",HR_Data[[#This Row],[Salary]]&lt;100000,"High",TRUE(),"Very High")</f>
        <v>High</v>
      </c>
      <c r="N554" t="str">
        <f t="array" ref="N554">_xlfn.IFS(HR_Data[[#This Row],[Age]]&lt;25,"18-24",HR_Data[[#This Row],[Age]]&lt;35,"25-34",HR_Data[[#This Row],[Age]]&lt;45,"35-44",TRUE(),"45+")</f>
        <v>35-44</v>
      </c>
      <c r="O554">
        <f>YEAR(HR_Data[[#This Row],[Joining Date]])</f>
        <v>2025</v>
      </c>
      <c r="P554" t="str">
        <f>TEXT(HR_Data[[#This Row],[Joining Date]],"mmmm")</f>
        <v>November</v>
      </c>
      <c r="Q554">
        <f t="array" ref="Q554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54">
        <f>HR_Data[[#This Row],[Salary]]*HR_Data[[#This Row],[Bonus %]]</f>
        <v>9184</v>
      </c>
      <c r="S554">
        <f>HR_Data[[#This Row],[Salary]]+HR_Data[[#This Row],[Bonus Amount]]</f>
        <v>101024</v>
      </c>
      <c r="T554" t="str">
        <f>IF(HR_Data[[#This Row],[Attrition]]="Yes","Inactive","Active")</f>
        <v>Inactive</v>
      </c>
      <c r="U554" t="str">
        <f t="array" ref="U554">_xlfn.IFS(HR_Data[[#This Row],[Salary]]&gt;=100000,"A",HR_Data[[#This Row],[Salary]]&gt;=70000,"B",HR_Data[[#This Row],[Salary]]&gt;=50000,"C",TRUE(),"D")</f>
        <v>B</v>
      </c>
      <c r="V554" t="str">
        <f t="array" ref="V554">_xlfn.IFS(HR_Data[[#This Row],[Experience]]&gt;=15,"Expert",HR_Data[[#This Row],[Experience]]&gt;=8,"Senior",HR_Data[[#This Row],[Experience]]&gt;=3,"Mid-Level",TRUE(),"Junior")</f>
        <v>Expert</v>
      </c>
    </row>
    <row r="555" spans="1:22" ht="14.25" customHeight="1" x14ac:dyDescent="0.3">
      <c r="A555" t="s">
        <v>1308</v>
      </c>
      <c r="B555" t="s">
        <v>406</v>
      </c>
      <c r="C555" t="s">
        <v>24</v>
      </c>
      <c r="D555" t="s">
        <v>25</v>
      </c>
      <c r="E555">
        <v>53</v>
      </c>
      <c r="F555">
        <v>139749</v>
      </c>
      <c r="G555">
        <v>33</v>
      </c>
      <c r="H555" t="s">
        <v>1309</v>
      </c>
      <c r="I555" t="s">
        <v>72</v>
      </c>
      <c r="J555" t="s">
        <v>28</v>
      </c>
      <c r="K555" t="s">
        <v>29</v>
      </c>
      <c r="L555" t="str">
        <f t="array" ref="L555">_xlfn.IFS(HR_Data[[#This Row],[Experience]]&lt;2,"0-2 Years",HR_Data[[#This Row],[Experience]]&lt;5,"2-5 Years",HR_Data[[#This Row],[Experience]]&lt;10,"5-10 Years",TRUE(),"10+ Years")</f>
        <v>10+ Years</v>
      </c>
      <c r="M555" t="str">
        <f t="array" ref="M555">_xlfn.IFS(HR_Data[[#This Row],[Salary]]&lt;40000,"Low",HR_Data[[#This Row],[Salary]]&lt;70000,"Medium",HR_Data[[#This Row],[Salary]]&lt;100000,"High",TRUE(),"Very High")</f>
        <v>Very High</v>
      </c>
      <c r="N555" t="str">
        <f t="array" ref="N555">_xlfn.IFS(HR_Data[[#This Row],[Age]]&lt;25,"18-24",HR_Data[[#This Row],[Age]]&lt;35,"25-34",HR_Data[[#This Row],[Age]]&lt;45,"35-44",TRUE(),"45+")</f>
        <v>45+</v>
      </c>
      <c r="O555">
        <f>YEAR(HR_Data[[#This Row],[Joining Date]])</f>
        <v>2016</v>
      </c>
      <c r="P555" t="str">
        <f>TEXT(HR_Data[[#This Row],[Joining Date]],"mmmm")</f>
        <v>December</v>
      </c>
      <c r="Q555">
        <f t="array" ref="Q555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55">
        <f>HR_Data[[#This Row],[Salary]]*HR_Data[[#This Row],[Bonus %]]</f>
        <v>20962.349999999999</v>
      </c>
      <c r="S555">
        <f>HR_Data[[#This Row],[Salary]]+HR_Data[[#This Row],[Bonus Amount]]</f>
        <v>160711.35</v>
      </c>
      <c r="T555" t="str">
        <f>IF(HR_Data[[#This Row],[Attrition]]="Yes","Inactive","Active")</f>
        <v>Active</v>
      </c>
      <c r="U555" t="str">
        <f t="array" ref="U555">_xlfn.IFS(HR_Data[[#This Row],[Salary]]&gt;=100000,"A",HR_Data[[#This Row],[Salary]]&gt;=70000,"B",HR_Data[[#This Row],[Salary]]&gt;=50000,"C",TRUE(),"D")</f>
        <v>A</v>
      </c>
      <c r="V555" t="str">
        <f t="array" ref="V555">_xlfn.IFS(HR_Data[[#This Row],[Experience]]&gt;=15,"Expert",HR_Data[[#This Row],[Experience]]&gt;=8,"Senior",HR_Data[[#This Row],[Experience]]&gt;=3,"Mid-Level",TRUE(),"Junior")</f>
        <v>Expert</v>
      </c>
    </row>
    <row r="556" spans="1:22" ht="14.25" customHeight="1" x14ac:dyDescent="0.3">
      <c r="A556" t="s">
        <v>1310</v>
      </c>
      <c r="B556" t="s">
        <v>378</v>
      </c>
      <c r="C556" t="s">
        <v>55</v>
      </c>
      <c r="D556" t="s">
        <v>25</v>
      </c>
      <c r="E556">
        <v>27</v>
      </c>
      <c r="F556">
        <v>44131</v>
      </c>
      <c r="G556">
        <v>3</v>
      </c>
      <c r="H556" t="s">
        <v>1311</v>
      </c>
      <c r="I556" t="s">
        <v>67</v>
      </c>
      <c r="J556" t="s">
        <v>36</v>
      </c>
      <c r="K556" t="s">
        <v>29</v>
      </c>
      <c r="L556" t="str">
        <f t="array" ref="L556">_xlfn.IFS(HR_Data[[#This Row],[Experience]]&lt;2,"0-2 Years",HR_Data[[#This Row],[Experience]]&lt;5,"2-5 Years",HR_Data[[#This Row],[Experience]]&lt;10,"5-10 Years",TRUE(),"10+ Years")</f>
        <v>2-5 Years</v>
      </c>
      <c r="M556" t="str">
        <f t="array" ref="M556">_xlfn.IFS(HR_Data[[#This Row],[Salary]]&lt;40000,"Low",HR_Data[[#This Row],[Salary]]&lt;70000,"Medium",HR_Data[[#This Row],[Salary]]&lt;100000,"High",TRUE(),"Very High")</f>
        <v>Medium</v>
      </c>
      <c r="N556" t="str">
        <f t="array" ref="N556">_xlfn.IFS(HR_Data[[#This Row],[Age]]&lt;25,"18-24",HR_Data[[#This Row],[Age]]&lt;35,"25-34",HR_Data[[#This Row],[Age]]&lt;45,"35-44",TRUE(),"45+")</f>
        <v>25-34</v>
      </c>
      <c r="O556">
        <f>YEAR(HR_Data[[#This Row],[Joining Date]])</f>
        <v>2015</v>
      </c>
      <c r="P556" t="str">
        <f>TEXT(HR_Data[[#This Row],[Joining Date]],"mmmm")</f>
        <v>March</v>
      </c>
      <c r="Q556">
        <f t="array" ref="Q55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56">
        <f>HR_Data[[#This Row],[Salary]]*HR_Data[[#This Row],[Bonus %]]</f>
        <v>4413.1000000000004</v>
      </c>
      <c r="S556">
        <f>HR_Data[[#This Row],[Salary]]+HR_Data[[#This Row],[Bonus Amount]]</f>
        <v>48544.1</v>
      </c>
      <c r="T556" t="str">
        <f>IF(HR_Data[[#This Row],[Attrition]]="Yes","Inactive","Active")</f>
        <v>Active</v>
      </c>
      <c r="U556" t="str">
        <f t="array" ref="U556">_xlfn.IFS(HR_Data[[#This Row],[Salary]]&gt;=100000,"A",HR_Data[[#This Row],[Salary]]&gt;=70000,"B",HR_Data[[#This Row],[Salary]]&gt;=50000,"C",TRUE(),"D")</f>
        <v>D</v>
      </c>
      <c r="V556" t="str">
        <f t="array" ref="V556">_xlfn.IFS(HR_Data[[#This Row],[Experience]]&gt;=15,"Expert",HR_Data[[#This Row],[Experience]]&gt;=8,"Senior",HR_Data[[#This Row],[Experience]]&gt;=3,"Mid-Level",TRUE(),"Junior")</f>
        <v>Mid-Level</v>
      </c>
    </row>
    <row r="557" spans="1:22" ht="14.25" customHeight="1" x14ac:dyDescent="0.3">
      <c r="A557" t="s">
        <v>1312</v>
      </c>
      <c r="B557" t="s">
        <v>231</v>
      </c>
      <c r="C557" t="s">
        <v>134</v>
      </c>
      <c r="D557" t="s">
        <v>33</v>
      </c>
      <c r="E557">
        <v>41</v>
      </c>
      <c r="F557">
        <v>80088</v>
      </c>
      <c r="G557">
        <v>18</v>
      </c>
      <c r="H557" t="s">
        <v>749</v>
      </c>
      <c r="I557" t="s">
        <v>35</v>
      </c>
      <c r="J557" t="s">
        <v>36</v>
      </c>
      <c r="K557" t="s">
        <v>29</v>
      </c>
      <c r="L557" t="str">
        <f t="array" ref="L557">_xlfn.IFS(HR_Data[[#This Row],[Experience]]&lt;2,"0-2 Years",HR_Data[[#This Row],[Experience]]&lt;5,"2-5 Years",HR_Data[[#This Row],[Experience]]&lt;10,"5-10 Years",TRUE(),"10+ Years")</f>
        <v>10+ Years</v>
      </c>
      <c r="M557" t="str">
        <f t="array" ref="M557">_xlfn.IFS(HR_Data[[#This Row],[Salary]]&lt;40000,"Low",HR_Data[[#This Row],[Salary]]&lt;70000,"Medium",HR_Data[[#This Row],[Salary]]&lt;100000,"High",TRUE(),"Very High")</f>
        <v>High</v>
      </c>
      <c r="N557" t="str">
        <f t="array" ref="N557">_xlfn.IFS(HR_Data[[#This Row],[Age]]&lt;25,"18-24",HR_Data[[#This Row],[Age]]&lt;35,"25-34",HR_Data[[#This Row],[Age]]&lt;45,"35-44",TRUE(),"45+")</f>
        <v>35-44</v>
      </c>
      <c r="O557">
        <f>YEAR(HR_Data[[#This Row],[Joining Date]])</f>
        <v>2015</v>
      </c>
      <c r="P557" t="str">
        <f>TEXT(HR_Data[[#This Row],[Joining Date]],"mmmm")</f>
        <v>October</v>
      </c>
      <c r="Q557">
        <f t="array" ref="Q557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57">
        <f>HR_Data[[#This Row],[Salary]]*HR_Data[[#This Row],[Bonus %]]</f>
        <v>8008.8</v>
      </c>
      <c r="S557">
        <f>HR_Data[[#This Row],[Salary]]+HR_Data[[#This Row],[Bonus Amount]]</f>
        <v>88096.8</v>
      </c>
      <c r="T557" t="str">
        <f>IF(HR_Data[[#This Row],[Attrition]]="Yes","Inactive","Active")</f>
        <v>Active</v>
      </c>
      <c r="U557" t="str">
        <f t="array" ref="U557">_xlfn.IFS(HR_Data[[#This Row],[Salary]]&gt;=100000,"A",HR_Data[[#This Row],[Salary]]&gt;=70000,"B",HR_Data[[#This Row],[Salary]]&gt;=50000,"C",TRUE(),"D")</f>
        <v>B</v>
      </c>
      <c r="V557" t="str">
        <f t="array" ref="V557">_xlfn.IFS(HR_Data[[#This Row],[Experience]]&gt;=15,"Expert",HR_Data[[#This Row],[Experience]]&gt;=8,"Senior",HR_Data[[#This Row],[Experience]]&gt;=3,"Mid-Level",TRUE(),"Junior")</f>
        <v>Expert</v>
      </c>
    </row>
    <row r="558" spans="1:22" ht="14.25" customHeight="1" x14ac:dyDescent="0.3">
      <c r="A558" t="s">
        <v>1313</v>
      </c>
      <c r="B558" t="s">
        <v>242</v>
      </c>
      <c r="C558" t="s">
        <v>40</v>
      </c>
      <c r="D558" t="s">
        <v>33</v>
      </c>
      <c r="E558">
        <v>38</v>
      </c>
      <c r="F558">
        <v>50691</v>
      </c>
      <c r="G558">
        <v>10</v>
      </c>
      <c r="H558" t="s">
        <v>1314</v>
      </c>
      <c r="I558" t="s">
        <v>45</v>
      </c>
      <c r="J558" t="s">
        <v>46</v>
      </c>
      <c r="K558" t="s">
        <v>29</v>
      </c>
      <c r="L558" t="str">
        <f t="array" ref="L558">_xlfn.IFS(HR_Data[[#This Row],[Experience]]&lt;2,"0-2 Years",HR_Data[[#This Row],[Experience]]&lt;5,"2-5 Years",HR_Data[[#This Row],[Experience]]&lt;10,"5-10 Years",TRUE(),"10+ Years")</f>
        <v>10+ Years</v>
      </c>
      <c r="M558" t="str">
        <f t="array" ref="M558">_xlfn.IFS(HR_Data[[#This Row],[Salary]]&lt;40000,"Low",HR_Data[[#This Row],[Salary]]&lt;70000,"Medium",HR_Data[[#This Row],[Salary]]&lt;100000,"High",TRUE(),"Very High")</f>
        <v>Medium</v>
      </c>
      <c r="N558" t="str">
        <f t="array" ref="N558">_xlfn.IFS(HR_Data[[#This Row],[Age]]&lt;25,"18-24",HR_Data[[#This Row],[Age]]&lt;35,"25-34",HR_Data[[#This Row],[Age]]&lt;45,"35-44",TRUE(),"45+")</f>
        <v>35-44</v>
      </c>
      <c r="O558">
        <f>YEAR(HR_Data[[#This Row],[Joining Date]])</f>
        <v>2021</v>
      </c>
      <c r="P558" t="str">
        <f>TEXT(HR_Data[[#This Row],[Joining Date]],"mmmm")</f>
        <v>July</v>
      </c>
      <c r="Q558">
        <f t="array" ref="Q558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558">
        <f>HR_Data[[#This Row],[Salary]]*HR_Data[[#This Row],[Bonus %]]</f>
        <v>2534.5500000000002</v>
      </c>
      <c r="S558">
        <f>HR_Data[[#This Row],[Salary]]+HR_Data[[#This Row],[Bonus Amount]]</f>
        <v>53225.55</v>
      </c>
      <c r="T558" t="str">
        <f>IF(HR_Data[[#This Row],[Attrition]]="Yes","Inactive","Active")</f>
        <v>Active</v>
      </c>
      <c r="U558" t="str">
        <f t="array" ref="U558">_xlfn.IFS(HR_Data[[#This Row],[Salary]]&gt;=100000,"A",HR_Data[[#This Row],[Salary]]&gt;=70000,"B",HR_Data[[#This Row],[Salary]]&gt;=50000,"C",TRUE(),"D")</f>
        <v>C</v>
      </c>
      <c r="V558" t="str">
        <f t="array" ref="V558">_xlfn.IFS(HR_Data[[#This Row],[Experience]]&gt;=15,"Expert",HR_Data[[#This Row],[Experience]]&gt;=8,"Senior",HR_Data[[#This Row],[Experience]]&gt;=3,"Mid-Level",TRUE(),"Junior")</f>
        <v>Senior</v>
      </c>
    </row>
    <row r="559" spans="1:22" ht="14.25" customHeight="1" x14ac:dyDescent="0.3">
      <c r="A559" t="s">
        <v>1315</v>
      </c>
      <c r="B559" t="s">
        <v>786</v>
      </c>
      <c r="C559" t="s">
        <v>40</v>
      </c>
      <c r="D559" t="s">
        <v>33</v>
      </c>
      <c r="E559">
        <v>27</v>
      </c>
      <c r="F559">
        <v>38059</v>
      </c>
      <c r="G559">
        <v>4</v>
      </c>
      <c r="H559" t="s">
        <v>1316</v>
      </c>
      <c r="I559" t="s">
        <v>72</v>
      </c>
      <c r="J559" t="s">
        <v>36</v>
      </c>
      <c r="K559" t="s">
        <v>29</v>
      </c>
      <c r="L559" t="str">
        <f t="array" ref="L559">_xlfn.IFS(HR_Data[[#This Row],[Experience]]&lt;2,"0-2 Years",HR_Data[[#This Row],[Experience]]&lt;5,"2-5 Years",HR_Data[[#This Row],[Experience]]&lt;10,"5-10 Years",TRUE(),"10+ Years")</f>
        <v>2-5 Years</v>
      </c>
      <c r="M559" t="str">
        <f t="array" ref="M559">_xlfn.IFS(HR_Data[[#This Row],[Salary]]&lt;40000,"Low",HR_Data[[#This Row],[Salary]]&lt;70000,"Medium",HR_Data[[#This Row],[Salary]]&lt;100000,"High",TRUE(),"Very High")</f>
        <v>Low</v>
      </c>
      <c r="N559" t="str">
        <f t="array" ref="N559">_xlfn.IFS(HR_Data[[#This Row],[Age]]&lt;25,"18-24",HR_Data[[#This Row],[Age]]&lt;35,"25-34",HR_Data[[#This Row],[Age]]&lt;45,"35-44",TRUE(),"45+")</f>
        <v>25-34</v>
      </c>
      <c r="O559">
        <f>YEAR(HR_Data[[#This Row],[Joining Date]])</f>
        <v>2017</v>
      </c>
      <c r="P559" t="str">
        <f>TEXT(HR_Data[[#This Row],[Joining Date]],"mmmm")</f>
        <v>December</v>
      </c>
      <c r="Q559">
        <f t="array" ref="Q55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59">
        <f>HR_Data[[#This Row],[Salary]]*HR_Data[[#This Row],[Bonus %]]</f>
        <v>3805.9</v>
      </c>
      <c r="S559">
        <f>HR_Data[[#This Row],[Salary]]+HR_Data[[#This Row],[Bonus Amount]]</f>
        <v>41864.9</v>
      </c>
      <c r="T559" t="str">
        <f>IF(HR_Data[[#This Row],[Attrition]]="Yes","Inactive","Active")</f>
        <v>Active</v>
      </c>
      <c r="U559" t="str">
        <f t="array" ref="U559">_xlfn.IFS(HR_Data[[#This Row],[Salary]]&gt;=100000,"A",HR_Data[[#This Row],[Salary]]&gt;=70000,"B",HR_Data[[#This Row],[Salary]]&gt;=50000,"C",TRUE(),"D")</f>
        <v>D</v>
      </c>
      <c r="V559" t="str">
        <f t="array" ref="V559">_xlfn.IFS(HR_Data[[#This Row],[Experience]]&gt;=15,"Expert",HR_Data[[#This Row],[Experience]]&gt;=8,"Senior",HR_Data[[#This Row],[Experience]]&gt;=3,"Mid-Level",TRUE(),"Junior")</f>
        <v>Mid-Level</v>
      </c>
    </row>
    <row r="560" spans="1:22" ht="14.25" customHeight="1" x14ac:dyDescent="0.3">
      <c r="A560" t="s">
        <v>1317</v>
      </c>
      <c r="B560" t="s">
        <v>282</v>
      </c>
      <c r="C560" t="s">
        <v>70</v>
      </c>
      <c r="D560" t="s">
        <v>33</v>
      </c>
      <c r="E560">
        <v>38</v>
      </c>
      <c r="F560">
        <v>60435</v>
      </c>
      <c r="G560">
        <v>9</v>
      </c>
      <c r="H560" t="s">
        <v>1318</v>
      </c>
      <c r="I560" t="s">
        <v>67</v>
      </c>
      <c r="J560" t="s">
        <v>46</v>
      </c>
      <c r="K560" t="s">
        <v>29</v>
      </c>
      <c r="L560" t="str">
        <f t="array" ref="L560">_xlfn.IFS(HR_Data[[#This Row],[Experience]]&lt;2,"0-2 Years",HR_Data[[#This Row],[Experience]]&lt;5,"2-5 Years",HR_Data[[#This Row],[Experience]]&lt;10,"5-10 Years",TRUE(),"10+ Years")</f>
        <v>5-10 Years</v>
      </c>
      <c r="M560" t="str">
        <f t="array" ref="M560">_xlfn.IFS(HR_Data[[#This Row],[Salary]]&lt;40000,"Low",HR_Data[[#This Row],[Salary]]&lt;70000,"Medium",HR_Data[[#This Row],[Salary]]&lt;100000,"High",TRUE(),"Very High")</f>
        <v>Medium</v>
      </c>
      <c r="N560" t="str">
        <f t="array" ref="N560">_xlfn.IFS(HR_Data[[#This Row],[Age]]&lt;25,"18-24",HR_Data[[#This Row],[Age]]&lt;35,"25-34",HR_Data[[#This Row],[Age]]&lt;45,"35-44",TRUE(),"45+")</f>
        <v>35-44</v>
      </c>
      <c r="O560">
        <f>YEAR(HR_Data[[#This Row],[Joining Date]])</f>
        <v>2023</v>
      </c>
      <c r="P560" t="str">
        <f>TEXT(HR_Data[[#This Row],[Joining Date]],"mmmm")</f>
        <v>April</v>
      </c>
      <c r="Q560">
        <f t="array" ref="Q560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560">
        <f>HR_Data[[#This Row],[Salary]]*HR_Data[[#This Row],[Bonus %]]</f>
        <v>3021.75</v>
      </c>
      <c r="S560">
        <f>HR_Data[[#This Row],[Salary]]+HR_Data[[#This Row],[Bonus Amount]]</f>
        <v>63456.75</v>
      </c>
      <c r="T560" t="str">
        <f>IF(HR_Data[[#This Row],[Attrition]]="Yes","Inactive","Active")</f>
        <v>Active</v>
      </c>
      <c r="U560" t="str">
        <f t="array" ref="U560">_xlfn.IFS(HR_Data[[#This Row],[Salary]]&gt;=100000,"A",HR_Data[[#This Row],[Salary]]&gt;=70000,"B",HR_Data[[#This Row],[Salary]]&gt;=50000,"C",TRUE(),"D")</f>
        <v>C</v>
      </c>
      <c r="V560" t="str">
        <f t="array" ref="V560">_xlfn.IFS(HR_Data[[#This Row],[Experience]]&gt;=15,"Expert",HR_Data[[#This Row],[Experience]]&gt;=8,"Senior",HR_Data[[#This Row],[Experience]]&gt;=3,"Mid-Level",TRUE(),"Junior")</f>
        <v>Senior</v>
      </c>
    </row>
    <row r="561" spans="1:22" ht="14.25" customHeight="1" x14ac:dyDescent="0.3">
      <c r="A561" t="s">
        <v>1319</v>
      </c>
      <c r="B561" t="s">
        <v>657</v>
      </c>
      <c r="C561" t="s">
        <v>60</v>
      </c>
      <c r="D561" t="s">
        <v>25</v>
      </c>
      <c r="E561">
        <v>26</v>
      </c>
      <c r="F561">
        <v>52514</v>
      </c>
      <c r="G561">
        <v>5</v>
      </c>
      <c r="H561" t="s">
        <v>1320</v>
      </c>
      <c r="I561" t="s">
        <v>132</v>
      </c>
      <c r="J561" t="s">
        <v>46</v>
      </c>
      <c r="K561" t="s">
        <v>29</v>
      </c>
      <c r="L561" t="str">
        <f t="array" ref="L561">_xlfn.IFS(HR_Data[[#This Row],[Experience]]&lt;2,"0-2 Years",HR_Data[[#This Row],[Experience]]&lt;5,"2-5 Years",HR_Data[[#This Row],[Experience]]&lt;10,"5-10 Years",TRUE(),"10+ Years")</f>
        <v>5-10 Years</v>
      </c>
      <c r="M561" t="str">
        <f t="array" ref="M561">_xlfn.IFS(HR_Data[[#This Row],[Salary]]&lt;40000,"Low",HR_Data[[#This Row],[Salary]]&lt;70000,"Medium",HR_Data[[#This Row],[Salary]]&lt;100000,"High",TRUE(),"Very High")</f>
        <v>Medium</v>
      </c>
      <c r="N561" t="str">
        <f t="array" ref="N561">_xlfn.IFS(HR_Data[[#This Row],[Age]]&lt;25,"18-24",HR_Data[[#This Row],[Age]]&lt;35,"25-34",HR_Data[[#This Row],[Age]]&lt;45,"35-44",TRUE(),"45+")</f>
        <v>25-34</v>
      </c>
      <c r="O561">
        <f>YEAR(HR_Data[[#This Row],[Joining Date]])</f>
        <v>2018</v>
      </c>
      <c r="P561" t="str">
        <f>TEXT(HR_Data[[#This Row],[Joining Date]],"mmmm")</f>
        <v>June</v>
      </c>
      <c r="Q561">
        <f t="array" ref="Q561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561">
        <f>HR_Data[[#This Row],[Salary]]*HR_Data[[#This Row],[Bonus %]]</f>
        <v>2625.7000000000003</v>
      </c>
      <c r="S561">
        <f>HR_Data[[#This Row],[Salary]]+HR_Data[[#This Row],[Bonus Amount]]</f>
        <v>55139.7</v>
      </c>
      <c r="T561" t="str">
        <f>IF(HR_Data[[#This Row],[Attrition]]="Yes","Inactive","Active")</f>
        <v>Active</v>
      </c>
      <c r="U561" t="str">
        <f t="array" ref="U561">_xlfn.IFS(HR_Data[[#This Row],[Salary]]&gt;=100000,"A",HR_Data[[#This Row],[Salary]]&gt;=70000,"B",HR_Data[[#This Row],[Salary]]&gt;=50000,"C",TRUE(),"D")</f>
        <v>C</v>
      </c>
      <c r="V561" t="str">
        <f t="array" ref="V561">_xlfn.IFS(HR_Data[[#This Row],[Experience]]&gt;=15,"Expert",HR_Data[[#This Row],[Experience]]&gt;=8,"Senior",HR_Data[[#This Row],[Experience]]&gt;=3,"Mid-Level",TRUE(),"Junior")</f>
        <v>Mid-Level</v>
      </c>
    </row>
    <row r="562" spans="1:22" ht="14.25" customHeight="1" x14ac:dyDescent="0.3">
      <c r="A562" t="s">
        <v>1321</v>
      </c>
      <c r="B562" t="s">
        <v>670</v>
      </c>
      <c r="C562" t="s">
        <v>70</v>
      </c>
      <c r="D562" t="s">
        <v>25</v>
      </c>
      <c r="E562">
        <v>41</v>
      </c>
      <c r="F562">
        <v>69907</v>
      </c>
      <c r="G562">
        <v>13</v>
      </c>
      <c r="H562" t="s">
        <v>1322</v>
      </c>
      <c r="I562" t="s">
        <v>62</v>
      </c>
      <c r="J562" t="s">
        <v>36</v>
      </c>
      <c r="K562" t="s">
        <v>29</v>
      </c>
      <c r="L562" t="str">
        <f t="array" ref="L562">_xlfn.IFS(HR_Data[[#This Row],[Experience]]&lt;2,"0-2 Years",HR_Data[[#This Row],[Experience]]&lt;5,"2-5 Years",HR_Data[[#This Row],[Experience]]&lt;10,"5-10 Years",TRUE(),"10+ Years")</f>
        <v>10+ Years</v>
      </c>
      <c r="M562" t="str">
        <f t="array" ref="M562">_xlfn.IFS(HR_Data[[#This Row],[Salary]]&lt;40000,"Low",HR_Data[[#This Row],[Salary]]&lt;70000,"Medium",HR_Data[[#This Row],[Salary]]&lt;100000,"High",TRUE(),"Very High")</f>
        <v>Medium</v>
      </c>
      <c r="N562" t="str">
        <f t="array" ref="N562">_xlfn.IFS(HR_Data[[#This Row],[Age]]&lt;25,"18-24",HR_Data[[#This Row],[Age]]&lt;35,"25-34",HR_Data[[#This Row],[Age]]&lt;45,"35-44",TRUE(),"45+")</f>
        <v>35-44</v>
      </c>
      <c r="O562">
        <f>YEAR(HR_Data[[#This Row],[Joining Date]])</f>
        <v>2016</v>
      </c>
      <c r="P562" t="str">
        <f>TEXT(HR_Data[[#This Row],[Joining Date]],"mmmm")</f>
        <v>March</v>
      </c>
      <c r="Q562">
        <f t="array" ref="Q56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62">
        <f>HR_Data[[#This Row],[Salary]]*HR_Data[[#This Row],[Bonus %]]</f>
        <v>6990.7000000000007</v>
      </c>
      <c r="S562">
        <f>HR_Data[[#This Row],[Salary]]+HR_Data[[#This Row],[Bonus Amount]]</f>
        <v>76897.7</v>
      </c>
      <c r="T562" t="str">
        <f>IF(HR_Data[[#This Row],[Attrition]]="Yes","Inactive","Active")</f>
        <v>Active</v>
      </c>
      <c r="U562" t="str">
        <f t="array" ref="U562">_xlfn.IFS(HR_Data[[#This Row],[Salary]]&gt;=100000,"A",HR_Data[[#This Row],[Salary]]&gt;=70000,"B",HR_Data[[#This Row],[Salary]]&gt;=50000,"C",TRUE(),"D")</f>
        <v>C</v>
      </c>
      <c r="V562" t="str">
        <f t="array" ref="V562">_xlfn.IFS(HR_Data[[#This Row],[Experience]]&gt;=15,"Expert",HR_Data[[#This Row],[Experience]]&gt;=8,"Senior",HR_Data[[#This Row],[Experience]]&gt;=3,"Mid-Level",TRUE(),"Junior")</f>
        <v>Senior</v>
      </c>
    </row>
    <row r="563" spans="1:22" ht="14.25" customHeight="1" x14ac:dyDescent="0.3">
      <c r="A563" t="s">
        <v>1323</v>
      </c>
      <c r="B563" t="s">
        <v>322</v>
      </c>
      <c r="C563" t="s">
        <v>70</v>
      </c>
      <c r="D563" t="s">
        <v>25</v>
      </c>
      <c r="E563">
        <v>53</v>
      </c>
      <c r="F563">
        <v>128606</v>
      </c>
      <c r="G563">
        <v>30</v>
      </c>
      <c r="H563" t="s">
        <v>1324</v>
      </c>
      <c r="I563" t="s">
        <v>27</v>
      </c>
      <c r="J563" t="s">
        <v>28</v>
      </c>
      <c r="K563" t="s">
        <v>29</v>
      </c>
      <c r="L563" t="str">
        <f t="array" ref="L563">_xlfn.IFS(HR_Data[[#This Row],[Experience]]&lt;2,"0-2 Years",HR_Data[[#This Row],[Experience]]&lt;5,"2-5 Years",HR_Data[[#This Row],[Experience]]&lt;10,"5-10 Years",TRUE(),"10+ Years")</f>
        <v>10+ Years</v>
      </c>
      <c r="M563" t="str">
        <f t="array" ref="M563">_xlfn.IFS(HR_Data[[#This Row],[Salary]]&lt;40000,"Low",HR_Data[[#This Row],[Salary]]&lt;70000,"Medium",HR_Data[[#This Row],[Salary]]&lt;100000,"High",TRUE(),"Very High")</f>
        <v>Very High</v>
      </c>
      <c r="N563" t="str">
        <f t="array" ref="N563">_xlfn.IFS(HR_Data[[#This Row],[Age]]&lt;25,"18-24",HR_Data[[#This Row],[Age]]&lt;35,"25-34",HR_Data[[#This Row],[Age]]&lt;45,"35-44",TRUE(),"45+")</f>
        <v>45+</v>
      </c>
      <c r="O563">
        <f>YEAR(HR_Data[[#This Row],[Joining Date]])</f>
        <v>2020</v>
      </c>
      <c r="P563" t="str">
        <f>TEXT(HR_Data[[#This Row],[Joining Date]],"mmmm")</f>
        <v>March</v>
      </c>
      <c r="Q563">
        <f t="array" ref="Q56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63">
        <f>HR_Data[[#This Row],[Salary]]*HR_Data[[#This Row],[Bonus %]]</f>
        <v>19290.899999999998</v>
      </c>
      <c r="S563">
        <f>HR_Data[[#This Row],[Salary]]+HR_Data[[#This Row],[Bonus Amount]]</f>
        <v>147896.9</v>
      </c>
      <c r="T563" t="str">
        <f>IF(HR_Data[[#This Row],[Attrition]]="Yes","Inactive","Active")</f>
        <v>Active</v>
      </c>
      <c r="U563" t="str">
        <f t="array" ref="U563">_xlfn.IFS(HR_Data[[#This Row],[Salary]]&gt;=100000,"A",HR_Data[[#This Row],[Salary]]&gt;=70000,"B",HR_Data[[#This Row],[Salary]]&gt;=50000,"C",TRUE(),"D")</f>
        <v>A</v>
      </c>
      <c r="V563" t="str">
        <f t="array" ref="V563">_xlfn.IFS(HR_Data[[#This Row],[Experience]]&gt;=15,"Expert",HR_Data[[#This Row],[Experience]]&gt;=8,"Senior",HR_Data[[#This Row],[Experience]]&gt;=3,"Mid-Level",TRUE(),"Junior")</f>
        <v>Expert</v>
      </c>
    </row>
    <row r="564" spans="1:22" ht="14.25" customHeight="1" x14ac:dyDescent="0.3">
      <c r="A564" t="s">
        <v>1325</v>
      </c>
      <c r="B564" t="s">
        <v>465</v>
      </c>
      <c r="C564" t="s">
        <v>75</v>
      </c>
      <c r="D564" t="s">
        <v>25</v>
      </c>
      <c r="E564">
        <v>44</v>
      </c>
      <c r="F564">
        <v>87117</v>
      </c>
      <c r="G564">
        <v>18</v>
      </c>
      <c r="H564" t="s">
        <v>1326</v>
      </c>
      <c r="I564" t="s">
        <v>62</v>
      </c>
      <c r="J564" t="s">
        <v>90</v>
      </c>
      <c r="K564" t="s">
        <v>29</v>
      </c>
      <c r="L564" t="str">
        <f t="array" ref="L564">_xlfn.IFS(HR_Data[[#This Row],[Experience]]&lt;2,"0-2 Years",HR_Data[[#This Row],[Experience]]&lt;5,"2-5 Years",HR_Data[[#This Row],[Experience]]&lt;10,"5-10 Years",TRUE(),"10+ Years")</f>
        <v>10+ Years</v>
      </c>
      <c r="M564" t="str">
        <f t="array" ref="M564">_xlfn.IFS(HR_Data[[#This Row],[Salary]]&lt;40000,"Low",HR_Data[[#This Row],[Salary]]&lt;70000,"Medium",HR_Data[[#This Row],[Salary]]&lt;100000,"High",TRUE(),"Very High")</f>
        <v>High</v>
      </c>
      <c r="N564" t="str">
        <f t="array" ref="N564">_xlfn.IFS(HR_Data[[#This Row],[Age]]&lt;25,"18-24",HR_Data[[#This Row],[Age]]&lt;35,"25-34",HR_Data[[#This Row],[Age]]&lt;45,"35-44",TRUE(),"45+")</f>
        <v>35-44</v>
      </c>
      <c r="O564">
        <f>YEAR(HR_Data[[#This Row],[Joining Date]])</f>
        <v>2022</v>
      </c>
      <c r="P564" t="str">
        <f>TEXT(HR_Data[[#This Row],[Joining Date]],"mmmm")</f>
        <v>January</v>
      </c>
      <c r="Q564">
        <f t="array" ref="Q564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564">
        <f>HR_Data[[#This Row],[Salary]]*HR_Data[[#This Row],[Bonus %]]</f>
        <v>0</v>
      </c>
      <c r="S564">
        <f>HR_Data[[#This Row],[Salary]]+HR_Data[[#This Row],[Bonus Amount]]</f>
        <v>87117</v>
      </c>
      <c r="T564" t="str">
        <f>IF(HR_Data[[#This Row],[Attrition]]="Yes","Inactive","Active")</f>
        <v>Active</v>
      </c>
      <c r="U564" t="str">
        <f t="array" ref="U564">_xlfn.IFS(HR_Data[[#This Row],[Salary]]&gt;=100000,"A",HR_Data[[#This Row],[Salary]]&gt;=70000,"B",HR_Data[[#This Row],[Salary]]&gt;=50000,"C",TRUE(),"D")</f>
        <v>B</v>
      </c>
      <c r="V564" t="str">
        <f t="array" ref="V564">_xlfn.IFS(HR_Data[[#This Row],[Experience]]&gt;=15,"Expert",HR_Data[[#This Row],[Experience]]&gt;=8,"Senior",HR_Data[[#This Row],[Experience]]&gt;=3,"Mid-Level",TRUE(),"Junior")</f>
        <v>Expert</v>
      </c>
    </row>
    <row r="565" spans="1:22" ht="14.25" customHeight="1" x14ac:dyDescent="0.3">
      <c r="A565" t="s">
        <v>1327</v>
      </c>
      <c r="B565" t="s">
        <v>264</v>
      </c>
      <c r="C565" t="s">
        <v>93</v>
      </c>
      <c r="D565" t="s">
        <v>33</v>
      </c>
      <c r="E565">
        <v>41</v>
      </c>
      <c r="F565">
        <v>80258</v>
      </c>
      <c r="G565">
        <v>17</v>
      </c>
      <c r="H565" t="s">
        <v>1328</v>
      </c>
      <c r="I565" t="s">
        <v>72</v>
      </c>
      <c r="J565" t="s">
        <v>46</v>
      </c>
      <c r="K565" t="s">
        <v>29</v>
      </c>
      <c r="L565" t="str">
        <f t="array" ref="L565">_xlfn.IFS(HR_Data[[#This Row],[Experience]]&lt;2,"0-2 Years",HR_Data[[#This Row],[Experience]]&lt;5,"2-5 Years",HR_Data[[#This Row],[Experience]]&lt;10,"5-10 Years",TRUE(),"10+ Years")</f>
        <v>10+ Years</v>
      </c>
      <c r="M565" t="str">
        <f t="array" ref="M565">_xlfn.IFS(HR_Data[[#This Row],[Salary]]&lt;40000,"Low",HR_Data[[#This Row],[Salary]]&lt;70000,"Medium",HR_Data[[#This Row],[Salary]]&lt;100000,"High",TRUE(),"Very High")</f>
        <v>High</v>
      </c>
      <c r="N565" t="str">
        <f t="array" ref="N565">_xlfn.IFS(HR_Data[[#This Row],[Age]]&lt;25,"18-24",HR_Data[[#This Row],[Age]]&lt;35,"25-34",HR_Data[[#This Row],[Age]]&lt;45,"35-44",TRUE(),"45+")</f>
        <v>35-44</v>
      </c>
      <c r="O565">
        <f>YEAR(HR_Data[[#This Row],[Joining Date]])</f>
        <v>2020</v>
      </c>
      <c r="P565" t="str">
        <f>TEXT(HR_Data[[#This Row],[Joining Date]],"mmmm")</f>
        <v>December</v>
      </c>
      <c r="Q565">
        <f t="array" ref="Q565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565">
        <f>HR_Data[[#This Row],[Salary]]*HR_Data[[#This Row],[Bonus %]]</f>
        <v>4012.9</v>
      </c>
      <c r="S565">
        <f>HR_Data[[#This Row],[Salary]]+HR_Data[[#This Row],[Bonus Amount]]</f>
        <v>84270.9</v>
      </c>
      <c r="T565" t="str">
        <f>IF(HR_Data[[#This Row],[Attrition]]="Yes","Inactive","Active")</f>
        <v>Active</v>
      </c>
      <c r="U565" t="str">
        <f t="array" ref="U565">_xlfn.IFS(HR_Data[[#This Row],[Salary]]&gt;=100000,"A",HR_Data[[#This Row],[Salary]]&gt;=70000,"B",HR_Data[[#This Row],[Salary]]&gt;=50000,"C",TRUE(),"D")</f>
        <v>B</v>
      </c>
      <c r="V565" t="str">
        <f t="array" ref="V565">_xlfn.IFS(HR_Data[[#This Row],[Experience]]&gt;=15,"Expert",HR_Data[[#This Row],[Experience]]&gt;=8,"Senior",HR_Data[[#This Row],[Experience]]&gt;=3,"Mid-Level",TRUE(),"Junior")</f>
        <v>Expert</v>
      </c>
    </row>
    <row r="566" spans="1:22" ht="14.25" customHeight="1" x14ac:dyDescent="0.3">
      <c r="A566" t="s">
        <v>1329</v>
      </c>
      <c r="B566" t="s">
        <v>74</v>
      </c>
      <c r="C566" t="s">
        <v>112</v>
      </c>
      <c r="D566" t="s">
        <v>25</v>
      </c>
      <c r="E566">
        <v>39</v>
      </c>
      <c r="F566">
        <v>66456</v>
      </c>
      <c r="G566">
        <v>12</v>
      </c>
      <c r="H566" t="s">
        <v>1330</v>
      </c>
      <c r="I566" t="s">
        <v>42</v>
      </c>
      <c r="J566" t="s">
        <v>28</v>
      </c>
      <c r="K566" t="s">
        <v>37</v>
      </c>
      <c r="L566" t="str">
        <f t="array" ref="L566">_xlfn.IFS(HR_Data[[#This Row],[Experience]]&lt;2,"0-2 Years",HR_Data[[#This Row],[Experience]]&lt;5,"2-5 Years",HR_Data[[#This Row],[Experience]]&lt;10,"5-10 Years",TRUE(),"10+ Years")</f>
        <v>10+ Years</v>
      </c>
      <c r="M566" t="str">
        <f t="array" ref="M566">_xlfn.IFS(HR_Data[[#This Row],[Salary]]&lt;40000,"Low",HR_Data[[#This Row],[Salary]]&lt;70000,"Medium",HR_Data[[#This Row],[Salary]]&lt;100000,"High",TRUE(),"Very High")</f>
        <v>Medium</v>
      </c>
      <c r="N566" t="str">
        <f t="array" ref="N566">_xlfn.IFS(HR_Data[[#This Row],[Age]]&lt;25,"18-24",HR_Data[[#This Row],[Age]]&lt;35,"25-34",HR_Data[[#This Row],[Age]]&lt;45,"35-44",TRUE(),"45+")</f>
        <v>35-44</v>
      </c>
      <c r="O566">
        <f>YEAR(HR_Data[[#This Row],[Joining Date]])</f>
        <v>2019</v>
      </c>
      <c r="P566" t="str">
        <f>TEXT(HR_Data[[#This Row],[Joining Date]],"mmmm")</f>
        <v>January</v>
      </c>
      <c r="Q566">
        <f t="array" ref="Q566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66">
        <f>HR_Data[[#This Row],[Salary]]*HR_Data[[#This Row],[Bonus %]]</f>
        <v>9968.4</v>
      </c>
      <c r="S566">
        <f>HR_Data[[#This Row],[Salary]]+HR_Data[[#This Row],[Bonus Amount]]</f>
        <v>76424.399999999994</v>
      </c>
      <c r="T566" t="str">
        <f>IF(HR_Data[[#This Row],[Attrition]]="Yes","Inactive","Active")</f>
        <v>Inactive</v>
      </c>
      <c r="U566" t="str">
        <f t="array" ref="U566">_xlfn.IFS(HR_Data[[#This Row],[Salary]]&gt;=100000,"A",HR_Data[[#This Row],[Salary]]&gt;=70000,"B",HR_Data[[#This Row],[Salary]]&gt;=50000,"C",TRUE(),"D")</f>
        <v>C</v>
      </c>
      <c r="V566" t="str">
        <f t="array" ref="V566">_xlfn.IFS(HR_Data[[#This Row],[Experience]]&gt;=15,"Expert",HR_Data[[#This Row],[Experience]]&gt;=8,"Senior",HR_Data[[#This Row],[Experience]]&gt;=3,"Mid-Level",TRUE(),"Junior")</f>
        <v>Senior</v>
      </c>
    </row>
    <row r="567" spans="1:22" ht="14.25" customHeight="1" x14ac:dyDescent="0.3">
      <c r="A567" t="s">
        <v>1331</v>
      </c>
      <c r="B567" t="s">
        <v>454</v>
      </c>
      <c r="C567" t="s">
        <v>112</v>
      </c>
      <c r="D567" t="s">
        <v>33</v>
      </c>
      <c r="E567">
        <v>53</v>
      </c>
      <c r="F567">
        <v>137212</v>
      </c>
      <c r="G567">
        <v>33</v>
      </c>
      <c r="H567" t="s">
        <v>1332</v>
      </c>
      <c r="I567" t="s">
        <v>27</v>
      </c>
      <c r="J567" t="s">
        <v>28</v>
      </c>
      <c r="K567" t="s">
        <v>29</v>
      </c>
      <c r="L567" t="str">
        <f t="array" ref="L567">_xlfn.IFS(HR_Data[[#This Row],[Experience]]&lt;2,"0-2 Years",HR_Data[[#This Row],[Experience]]&lt;5,"2-5 Years",HR_Data[[#This Row],[Experience]]&lt;10,"5-10 Years",TRUE(),"10+ Years")</f>
        <v>10+ Years</v>
      </c>
      <c r="M567" t="str">
        <f t="array" ref="M567">_xlfn.IFS(HR_Data[[#This Row],[Salary]]&lt;40000,"Low",HR_Data[[#This Row],[Salary]]&lt;70000,"Medium",HR_Data[[#This Row],[Salary]]&lt;100000,"High",TRUE(),"Very High")</f>
        <v>Very High</v>
      </c>
      <c r="N567" t="str">
        <f t="array" ref="N567">_xlfn.IFS(HR_Data[[#This Row],[Age]]&lt;25,"18-24",HR_Data[[#This Row],[Age]]&lt;35,"25-34",HR_Data[[#This Row],[Age]]&lt;45,"35-44",TRUE(),"45+")</f>
        <v>45+</v>
      </c>
      <c r="O567">
        <f>YEAR(HR_Data[[#This Row],[Joining Date]])</f>
        <v>2022</v>
      </c>
      <c r="P567" t="str">
        <f>TEXT(HR_Data[[#This Row],[Joining Date]],"mmmm")</f>
        <v>November</v>
      </c>
      <c r="Q567">
        <f t="array" ref="Q56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67">
        <f>HR_Data[[#This Row],[Salary]]*HR_Data[[#This Row],[Bonus %]]</f>
        <v>20581.8</v>
      </c>
      <c r="S567">
        <f>HR_Data[[#This Row],[Salary]]+HR_Data[[#This Row],[Bonus Amount]]</f>
        <v>157793.79999999999</v>
      </c>
      <c r="T567" t="str">
        <f>IF(HR_Data[[#This Row],[Attrition]]="Yes","Inactive","Active")</f>
        <v>Active</v>
      </c>
      <c r="U567" t="str">
        <f t="array" ref="U567">_xlfn.IFS(HR_Data[[#This Row],[Salary]]&gt;=100000,"A",HR_Data[[#This Row],[Salary]]&gt;=70000,"B",HR_Data[[#This Row],[Salary]]&gt;=50000,"C",TRUE(),"D")</f>
        <v>A</v>
      </c>
      <c r="V567" t="str">
        <f t="array" ref="V567">_xlfn.IFS(HR_Data[[#This Row],[Experience]]&gt;=15,"Expert",HR_Data[[#This Row],[Experience]]&gt;=8,"Senior",HR_Data[[#This Row],[Experience]]&gt;=3,"Mid-Level",TRUE(),"Junior")</f>
        <v>Expert</v>
      </c>
    </row>
    <row r="568" spans="1:22" ht="14.25" customHeight="1" x14ac:dyDescent="0.3">
      <c r="A568" t="s">
        <v>1333</v>
      </c>
      <c r="B568" t="s">
        <v>503</v>
      </c>
      <c r="C568" t="s">
        <v>70</v>
      </c>
      <c r="D568" t="s">
        <v>33</v>
      </c>
      <c r="E568">
        <v>41</v>
      </c>
      <c r="F568">
        <v>62590</v>
      </c>
      <c r="G568">
        <v>13</v>
      </c>
      <c r="H568" t="s">
        <v>1334</v>
      </c>
      <c r="I568" t="s">
        <v>132</v>
      </c>
      <c r="J568" t="s">
        <v>63</v>
      </c>
      <c r="K568" t="s">
        <v>29</v>
      </c>
      <c r="L568" t="str">
        <f t="array" ref="L568">_xlfn.IFS(HR_Data[[#This Row],[Experience]]&lt;2,"0-2 Years",HR_Data[[#This Row],[Experience]]&lt;5,"2-5 Years",HR_Data[[#This Row],[Experience]]&lt;10,"5-10 Years",TRUE(),"10+ Years")</f>
        <v>10+ Years</v>
      </c>
      <c r="M568" t="str">
        <f t="array" ref="M568">_xlfn.IFS(HR_Data[[#This Row],[Salary]]&lt;40000,"Low",HR_Data[[#This Row],[Salary]]&lt;70000,"Medium",HR_Data[[#This Row],[Salary]]&lt;100000,"High",TRUE(),"Very High")</f>
        <v>Medium</v>
      </c>
      <c r="N568" t="str">
        <f t="array" ref="N568">_xlfn.IFS(HR_Data[[#This Row],[Age]]&lt;25,"18-24",HR_Data[[#This Row],[Age]]&lt;35,"25-34",HR_Data[[#This Row],[Age]]&lt;45,"35-44",TRUE(),"45+")</f>
        <v>35-44</v>
      </c>
      <c r="O568">
        <f>YEAR(HR_Data[[#This Row],[Joining Date]])</f>
        <v>2017</v>
      </c>
      <c r="P568" t="str">
        <f>TEXT(HR_Data[[#This Row],[Joining Date]],"mmmm")</f>
        <v>September</v>
      </c>
      <c r="Q568">
        <f t="array" ref="Q568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568">
        <f>HR_Data[[#This Row],[Salary]]*HR_Data[[#This Row],[Bonus %]]</f>
        <v>12518</v>
      </c>
      <c r="S568">
        <f>HR_Data[[#This Row],[Salary]]+HR_Data[[#This Row],[Bonus Amount]]</f>
        <v>75108</v>
      </c>
      <c r="T568" t="str">
        <f>IF(HR_Data[[#This Row],[Attrition]]="Yes","Inactive","Active")</f>
        <v>Active</v>
      </c>
      <c r="U568" t="str">
        <f t="array" ref="U568">_xlfn.IFS(HR_Data[[#This Row],[Salary]]&gt;=100000,"A",HR_Data[[#This Row],[Salary]]&gt;=70000,"B",HR_Data[[#This Row],[Salary]]&gt;=50000,"C",TRUE(),"D")</f>
        <v>C</v>
      </c>
      <c r="V568" t="str">
        <f t="array" ref="V568">_xlfn.IFS(HR_Data[[#This Row],[Experience]]&gt;=15,"Expert",HR_Data[[#This Row],[Experience]]&gt;=8,"Senior",HR_Data[[#This Row],[Experience]]&gt;=3,"Mid-Level",TRUE(),"Junior")</f>
        <v>Senior</v>
      </c>
    </row>
    <row r="569" spans="1:22" ht="14.25" customHeight="1" x14ac:dyDescent="0.3">
      <c r="A569" t="s">
        <v>1335</v>
      </c>
      <c r="B569" t="s">
        <v>205</v>
      </c>
      <c r="C569" t="s">
        <v>55</v>
      </c>
      <c r="D569" t="s">
        <v>25</v>
      </c>
      <c r="E569">
        <v>39</v>
      </c>
      <c r="F569">
        <v>83501</v>
      </c>
      <c r="G569">
        <v>16</v>
      </c>
      <c r="H569" t="s">
        <v>1336</v>
      </c>
      <c r="I569" t="s">
        <v>132</v>
      </c>
      <c r="J569" t="s">
        <v>36</v>
      </c>
      <c r="K569" t="s">
        <v>29</v>
      </c>
      <c r="L569" t="str">
        <f t="array" ref="L569">_xlfn.IFS(HR_Data[[#This Row],[Experience]]&lt;2,"0-2 Years",HR_Data[[#This Row],[Experience]]&lt;5,"2-5 Years",HR_Data[[#This Row],[Experience]]&lt;10,"5-10 Years",TRUE(),"10+ Years")</f>
        <v>10+ Years</v>
      </c>
      <c r="M569" t="str">
        <f t="array" ref="M569">_xlfn.IFS(HR_Data[[#This Row],[Salary]]&lt;40000,"Low",HR_Data[[#This Row],[Salary]]&lt;70000,"Medium",HR_Data[[#This Row],[Salary]]&lt;100000,"High",TRUE(),"Very High")</f>
        <v>High</v>
      </c>
      <c r="N569" t="str">
        <f t="array" ref="N569">_xlfn.IFS(HR_Data[[#This Row],[Age]]&lt;25,"18-24",HR_Data[[#This Row],[Age]]&lt;35,"25-34",HR_Data[[#This Row],[Age]]&lt;45,"35-44",TRUE(),"45+")</f>
        <v>35-44</v>
      </c>
      <c r="O569">
        <f>YEAR(HR_Data[[#This Row],[Joining Date]])</f>
        <v>2016</v>
      </c>
      <c r="P569" t="str">
        <f>TEXT(HR_Data[[#This Row],[Joining Date]],"mmmm")</f>
        <v>September</v>
      </c>
      <c r="Q569">
        <f t="array" ref="Q56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69">
        <f>HR_Data[[#This Row],[Salary]]*HR_Data[[#This Row],[Bonus %]]</f>
        <v>8350.1</v>
      </c>
      <c r="S569">
        <f>HR_Data[[#This Row],[Salary]]+HR_Data[[#This Row],[Bonus Amount]]</f>
        <v>91851.1</v>
      </c>
      <c r="T569" t="str">
        <f>IF(HR_Data[[#This Row],[Attrition]]="Yes","Inactive","Active")</f>
        <v>Active</v>
      </c>
      <c r="U569" t="str">
        <f t="array" ref="U569">_xlfn.IFS(HR_Data[[#This Row],[Salary]]&gt;=100000,"A",HR_Data[[#This Row],[Salary]]&gt;=70000,"B",HR_Data[[#This Row],[Salary]]&gt;=50000,"C",TRUE(),"D")</f>
        <v>B</v>
      </c>
      <c r="V569" t="str">
        <f t="array" ref="V569">_xlfn.IFS(HR_Data[[#This Row],[Experience]]&gt;=15,"Expert",HR_Data[[#This Row],[Experience]]&gt;=8,"Senior",HR_Data[[#This Row],[Experience]]&gt;=3,"Mid-Level",TRUE(),"Junior")</f>
        <v>Expert</v>
      </c>
    </row>
    <row r="570" spans="1:22" ht="14.25" customHeight="1" x14ac:dyDescent="0.3">
      <c r="A570" t="s">
        <v>1337</v>
      </c>
      <c r="B570" t="s">
        <v>1010</v>
      </c>
      <c r="C570" t="s">
        <v>70</v>
      </c>
      <c r="D570" t="s">
        <v>25</v>
      </c>
      <c r="E570">
        <v>27</v>
      </c>
      <c r="F570">
        <v>31844</v>
      </c>
      <c r="G570">
        <v>4</v>
      </c>
      <c r="H570" t="s">
        <v>1338</v>
      </c>
      <c r="I570" t="s">
        <v>42</v>
      </c>
      <c r="J570" t="s">
        <v>28</v>
      </c>
      <c r="K570" t="s">
        <v>29</v>
      </c>
      <c r="L570" t="str">
        <f t="array" ref="L570">_xlfn.IFS(HR_Data[[#This Row],[Experience]]&lt;2,"0-2 Years",HR_Data[[#This Row],[Experience]]&lt;5,"2-5 Years",HR_Data[[#This Row],[Experience]]&lt;10,"5-10 Years",TRUE(),"10+ Years")</f>
        <v>2-5 Years</v>
      </c>
      <c r="M570" t="str">
        <f t="array" ref="M570">_xlfn.IFS(HR_Data[[#This Row],[Salary]]&lt;40000,"Low",HR_Data[[#This Row],[Salary]]&lt;70000,"Medium",HR_Data[[#This Row],[Salary]]&lt;100000,"High",TRUE(),"Very High")</f>
        <v>Low</v>
      </c>
      <c r="N570" t="str">
        <f t="array" ref="N570">_xlfn.IFS(HR_Data[[#This Row],[Age]]&lt;25,"18-24",HR_Data[[#This Row],[Age]]&lt;35,"25-34",HR_Data[[#This Row],[Age]]&lt;45,"35-44",TRUE(),"45+")</f>
        <v>25-34</v>
      </c>
      <c r="O570">
        <f>YEAR(HR_Data[[#This Row],[Joining Date]])</f>
        <v>2023</v>
      </c>
      <c r="P570" t="str">
        <f>TEXT(HR_Data[[#This Row],[Joining Date]],"mmmm")</f>
        <v>August</v>
      </c>
      <c r="Q570">
        <f t="array" ref="Q570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70">
        <f>HR_Data[[#This Row],[Salary]]*HR_Data[[#This Row],[Bonus %]]</f>
        <v>4776.5999999999995</v>
      </c>
      <c r="S570">
        <f>HR_Data[[#This Row],[Salary]]+HR_Data[[#This Row],[Bonus Amount]]</f>
        <v>36620.6</v>
      </c>
      <c r="T570" t="str">
        <f>IF(HR_Data[[#This Row],[Attrition]]="Yes","Inactive","Active")</f>
        <v>Active</v>
      </c>
      <c r="U570" t="str">
        <f t="array" ref="U570">_xlfn.IFS(HR_Data[[#This Row],[Salary]]&gt;=100000,"A",HR_Data[[#This Row],[Salary]]&gt;=70000,"B",HR_Data[[#This Row],[Salary]]&gt;=50000,"C",TRUE(),"D")</f>
        <v>D</v>
      </c>
      <c r="V570" t="str">
        <f t="array" ref="V570">_xlfn.IFS(HR_Data[[#This Row],[Experience]]&gt;=15,"Expert",HR_Data[[#This Row],[Experience]]&gt;=8,"Senior",HR_Data[[#This Row],[Experience]]&gt;=3,"Mid-Level",TRUE(),"Junior")</f>
        <v>Mid-Level</v>
      </c>
    </row>
    <row r="571" spans="1:22" ht="14.25" customHeight="1" x14ac:dyDescent="0.3">
      <c r="A571" t="s">
        <v>1339</v>
      </c>
      <c r="B571" t="s">
        <v>143</v>
      </c>
      <c r="C571" t="s">
        <v>32</v>
      </c>
      <c r="D571" t="s">
        <v>33</v>
      </c>
      <c r="E571">
        <v>53</v>
      </c>
      <c r="F571">
        <v>136198</v>
      </c>
      <c r="G571">
        <v>31</v>
      </c>
      <c r="H571" t="s">
        <v>1340</v>
      </c>
      <c r="I571" t="s">
        <v>72</v>
      </c>
      <c r="J571" t="s">
        <v>28</v>
      </c>
      <c r="K571" t="s">
        <v>29</v>
      </c>
      <c r="L571" t="str">
        <f t="array" ref="L571">_xlfn.IFS(HR_Data[[#This Row],[Experience]]&lt;2,"0-2 Years",HR_Data[[#This Row],[Experience]]&lt;5,"2-5 Years",HR_Data[[#This Row],[Experience]]&lt;10,"5-10 Years",TRUE(),"10+ Years")</f>
        <v>10+ Years</v>
      </c>
      <c r="M571" t="str">
        <f t="array" ref="M571">_xlfn.IFS(HR_Data[[#This Row],[Salary]]&lt;40000,"Low",HR_Data[[#This Row],[Salary]]&lt;70000,"Medium",HR_Data[[#This Row],[Salary]]&lt;100000,"High",TRUE(),"Very High")</f>
        <v>Very High</v>
      </c>
      <c r="N571" t="str">
        <f t="array" ref="N571">_xlfn.IFS(HR_Data[[#This Row],[Age]]&lt;25,"18-24",HR_Data[[#This Row],[Age]]&lt;35,"25-34",HR_Data[[#This Row],[Age]]&lt;45,"35-44",TRUE(),"45+")</f>
        <v>45+</v>
      </c>
      <c r="O571">
        <f>YEAR(HR_Data[[#This Row],[Joining Date]])</f>
        <v>2023</v>
      </c>
      <c r="P571" t="str">
        <f>TEXT(HR_Data[[#This Row],[Joining Date]],"mmmm")</f>
        <v>October</v>
      </c>
      <c r="Q571">
        <f t="array" ref="Q571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71">
        <f>HR_Data[[#This Row],[Salary]]*HR_Data[[#This Row],[Bonus %]]</f>
        <v>20429.7</v>
      </c>
      <c r="S571">
        <f>HR_Data[[#This Row],[Salary]]+HR_Data[[#This Row],[Bonus Amount]]</f>
        <v>156627.70000000001</v>
      </c>
      <c r="T571" t="str">
        <f>IF(HR_Data[[#This Row],[Attrition]]="Yes","Inactive","Active")</f>
        <v>Active</v>
      </c>
      <c r="U571" t="str">
        <f t="array" ref="U571">_xlfn.IFS(HR_Data[[#This Row],[Salary]]&gt;=100000,"A",HR_Data[[#This Row],[Salary]]&gt;=70000,"B",HR_Data[[#This Row],[Salary]]&gt;=50000,"C",TRUE(),"D")</f>
        <v>A</v>
      </c>
      <c r="V571" t="str">
        <f t="array" ref="V571">_xlfn.IFS(HR_Data[[#This Row],[Experience]]&gt;=15,"Expert",HR_Data[[#This Row],[Experience]]&gt;=8,"Senior",HR_Data[[#This Row],[Experience]]&gt;=3,"Mid-Level",TRUE(),"Junior")</f>
        <v>Expert</v>
      </c>
    </row>
    <row r="572" spans="1:22" ht="14.25" customHeight="1" x14ac:dyDescent="0.3">
      <c r="A572" t="s">
        <v>1341</v>
      </c>
      <c r="B572" t="s">
        <v>677</v>
      </c>
      <c r="C572" t="s">
        <v>112</v>
      </c>
      <c r="D572" t="s">
        <v>25</v>
      </c>
      <c r="E572">
        <v>32</v>
      </c>
      <c r="F572">
        <v>44686</v>
      </c>
      <c r="G572">
        <v>6</v>
      </c>
      <c r="H572" t="s">
        <v>1342</v>
      </c>
      <c r="I572" t="s">
        <v>132</v>
      </c>
      <c r="J572" t="s">
        <v>63</v>
      </c>
      <c r="K572" t="s">
        <v>37</v>
      </c>
      <c r="L572" t="str">
        <f t="array" ref="L572">_xlfn.IFS(HR_Data[[#This Row],[Experience]]&lt;2,"0-2 Years",HR_Data[[#This Row],[Experience]]&lt;5,"2-5 Years",HR_Data[[#This Row],[Experience]]&lt;10,"5-10 Years",TRUE(),"10+ Years")</f>
        <v>5-10 Years</v>
      </c>
      <c r="M572" t="str">
        <f t="array" ref="M572">_xlfn.IFS(HR_Data[[#This Row],[Salary]]&lt;40000,"Low",HR_Data[[#This Row],[Salary]]&lt;70000,"Medium",HR_Data[[#This Row],[Salary]]&lt;100000,"High",TRUE(),"Very High")</f>
        <v>Medium</v>
      </c>
      <c r="N572" t="str">
        <f t="array" ref="N572">_xlfn.IFS(HR_Data[[#This Row],[Age]]&lt;25,"18-24",HR_Data[[#This Row],[Age]]&lt;35,"25-34",HR_Data[[#This Row],[Age]]&lt;45,"35-44",TRUE(),"45+")</f>
        <v>25-34</v>
      </c>
      <c r="O572">
        <f>YEAR(HR_Data[[#This Row],[Joining Date]])</f>
        <v>2017</v>
      </c>
      <c r="P572" t="str">
        <f>TEXT(HR_Data[[#This Row],[Joining Date]],"mmmm")</f>
        <v>April</v>
      </c>
      <c r="Q572">
        <f t="array" ref="Q572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572">
        <f>HR_Data[[#This Row],[Salary]]*HR_Data[[#This Row],[Bonus %]]</f>
        <v>8937.2000000000007</v>
      </c>
      <c r="S572">
        <f>HR_Data[[#This Row],[Salary]]+HR_Data[[#This Row],[Bonus Amount]]</f>
        <v>53623.199999999997</v>
      </c>
      <c r="T572" t="str">
        <f>IF(HR_Data[[#This Row],[Attrition]]="Yes","Inactive","Active")</f>
        <v>Inactive</v>
      </c>
      <c r="U572" t="str">
        <f t="array" ref="U572">_xlfn.IFS(HR_Data[[#This Row],[Salary]]&gt;=100000,"A",HR_Data[[#This Row],[Salary]]&gt;=70000,"B",HR_Data[[#This Row],[Salary]]&gt;=50000,"C",TRUE(),"D")</f>
        <v>D</v>
      </c>
      <c r="V572" t="str">
        <f t="array" ref="V572">_xlfn.IFS(HR_Data[[#This Row],[Experience]]&gt;=15,"Expert",HR_Data[[#This Row],[Experience]]&gt;=8,"Senior",HR_Data[[#This Row],[Experience]]&gt;=3,"Mid-Level",TRUE(),"Junior")</f>
        <v>Mid-Level</v>
      </c>
    </row>
    <row r="573" spans="1:22" ht="14.25" customHeight="1" x14ac:dyDescent="0.3">
      <c r="A573" t="s">
        <v>1343</v>
      </c>
      <c r="B573" t="s">
        <v>503</v>
      </c>
      <c r="C573" t="s">
        <v>112</v>
      </c>
      <c r="D573" t="s">
        <v>25</v>
      </c>
      <c r="E573">
        <v>21</v>
      </c>
      <c r="F573">
        <v>29795</v>
      </c>
      <c r="G573">
        <v>0</v>
      </c>
      <c r="H573" t="s">
        <v>1344</v>
      </c>
      <c r="I573" t="s">
        <v>35</v>
      </c>
      <c r="J573" t="s">
        <v>28</v>
      </c>
      <c r="K573" t="s">
        <v>29</v>
      </c>
      <c r="L573" t="str">
        <f t="array" ref="L573">_xlfn.IFS(HR_Data[[#This Row],[Experience]]&lt;2,"0-2 Years",HR_Data[[#This Row],[Experience]]&lt;5,"2-5 Years",HR_Data[[#This Row],[Experience]]&lt;10,"5-10 Years",TRUE(),"10+ Years")</f>
        <v>0-2 Years</v>
      </c>
      <c r="M573" t="str">
        <f t="array" ref="M573">_xlfn.IFS(HR_Data[[#This Row],[Salary]]&lt;40000,"Low",HR_Data[[#This Row],[Salary]]&lt;70000,"Medium",HR_Data[[#This Row],[Salary]]&lt;100000,"High",TRUE(),"Very High")</f>
        <v>Low</v>
      </c>
      <c r="N573" t="str">
        <f t="array" ref="N573">_xlfn.IFS(HR_Data[[#This Row],[Age]]&lt;25,"18-24",HR_Data[[#This Row],[Age]]&lt;35,"25-34",HR_Data[[#This Row],[Age]]&lt;45,"35-44",TRUE(),"45+")</f>
        <v>18-24</v>
      </c>
      <c r="O573">
        <f>YEAR(HR_Data[[#This Row],[Joining Date]])</f>
        <v>2020</v>
      </c>
      <c r="P573" t="str">
        <f>TEXT(HR_Data[[#This Row],[Joining Date]],"mmmm")</f>
        <v>December</v>
      </c>
      <c r="Q573">
        <f t="array" ref="Q57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73">
        <f>HR_Data[[#This Row],[Salary]]*HR_Data[[#This Row],[Bonus %]]</f>
        <v>4469.25</v>
      </c>
      <c r="S573">
        <f>HR_Data[[#This Row],[Salary]]+HR_Data[[#This Row],[Bonus Amount]]</f>
        <v>34264.25</v>
      </c>
      <c r="T573" t="str">
        <f>IF(HR_Data[[#This Row],[Attrition]]="Yes","Inactive","Active")</f>
        <v>Active</v>
      </c>
      <c r="U573" t="str">
        <f t="array" ref="U573">_xlfn.IFS(HR_Data[[#This Row],[Salary]]&gt;=100000,"A",HR_Data[[#This Row],[Salary]]&gt;=70000,"B",HR_Data[[#This Row],[Salary]]&gt;=50000,"C",TRUE(),"D")</f>
        <v>D</v>
      </c>
      <c r="V573" t="str">
        <f t="array" ref="V573">_xlfn.IFS(HR_Data[[#This Row],[Experience]]&gt;=15,"Expert",HR_Data[[#This Row],[Experience]]&gt;=8,"Senior",HR_Data[[#This Row],[Experience]]&gt;=3,"Mid-Level",TRUE(),"Junior")</f>
        <v>Junior</v>
      </c>
    </row>
    <row r="574" spans="1:22" ht="14.25" customHeight="1" x14ac:dyDescent="0.3">
      <c r="A574" t="s">
        <v>1345</v>
      </c>
      <c r="B574" t="s">
        <v>245</v>
      </c>
      <c r="C574" t="s">
        <v>24</v>
      </c>
      <c r="D574" t="s">
        <v>25</v>
      </c>
      <c r="E574">
        <v>52</v>
      </c>
      <c r="F574">
        <v>105697</v>
      </c>
      <c r="G574">
        <v>27</v>
      </c>
      <c r="H574" t="s">
        <v>1346</v>
      </c>
      <c r="I574" t="s">
        <v>67</v>
      </c>
      <c r="J574" t="s">
        <v>63</v>
      </c>
      <c r="K574" t="s">
        <v>29</v>
      </c>
      <c r="L574" t="str">
        <f t="array" ref="L574">_xlfn.IFS(HR_Data[[#This Row],[Experience]]&lt;2,"0-2 Years",HR_Data[[#This Row],[Experience]]&lt;5,"2-5 Years",HR_Data[[#This Row],[Experience]]&lt;10,"5-10 Years",TRUE(),"10+ Years")</f>
        <v>10+ Years</v>
      </c>
      <c r="M574" t="str">
        <f t="array" ref="M574">_xlfn.IFS(HR_Data[[#This Row],[Salary]]&lt;40000,"Low",HR_Data[[#This Row],[Salary]]&lt;70000,"Medium",HR_Data[[#This Row],[Salary]]&lt;100000,"High",TRUE(),"Very High")</f>
        <v>Very High</v>
      </c>
      <c r="N574" t="str">
        <f t="array" ref="N574">_xlfn.IFS(HR_Data[[#This Row],[Age]]&lt;25,"18-24",HR_Data[[#This Row],[Age]]&lt;35,"25-34",HR_Data[[#This Row],[Age]]&lt;45,"35-44",TRUE(),"45+")</f>
        <v>45+</v>
      </c>
      <c r="O574">
        <f>YEAR(HR_Data[[#This Row],[Joining Date]])</f>
        <v>2020</v>
      </c>
      <c r="P574" t="str">
        <f>TEXT(HR_Data[[#This Row],[Joining Date]],"mmmm")</f>
        <v>January</v>
      </c>
      <c r="Q574">
        <f t="array" ref="Q574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574">
        <f>HR_Data[[#This Row],[Salary]]*HR_Data[[#This Row],[Bonus %]]</f>
        <v>21139.4</v>
      </c>
      <c r="S574">
        <f>HR_Data[[#This Row],[Salary]]+HR_Data[[#This Row],[Bonus Amount]]</f>
        <v>126836.4</v>
      </c>
      <c r="T574" t="str">
        <f>IF(HR_Data[[#This Row],[Attrition]]="Yes","Inactive","Active")</f>
        <v>Active</v>
      </c>
      <c r="U574" t="str">
        <f t="array" ref="U574">_xlfn.IFS(HR_Data[[#This Row],[Salary]]&gt;=100000,"A",HR_Data[[#This Row],[Salary]]&gt;=70000,"B",HR_Data[[#This Row],[Salary]]&gt;=50000,"C",TRUE(),"D")</f>
        <v>A</v>
      </c>
      <c r="V574" t="str">
        <f t="array" ref="V574">_xlfn.IFS(HR_Data[[#This Row],[Experience]]&gt;=15,"Expert",HR_Data[[#This Row],[Experience]]&gt;=8,"Senior",HR_Data[[#This Row],[Experience]]&gt;=3,"Mid-Level",TRUE(),"Junior")</f>
        <v>Expert</v>
      </c>
    </row>
    <row r="575" spans="1:22" ht="14.25" customHeight="1" x14ac:dyDescent="0.3">
      <c r="A575" t="s">
        <v>1347</v>
      </c>
      <c r="B575" t="s">
        <v>39</v>
      </c>
      <c r="C575" t="s">
        <v>93</v>
      </c>
      <c r="D575" t="s">
        <v>25</v>
      </c>
      <c r="E575">
        <v>44</v>
      </c>
      <c r="F575">
        <v>79608</v>
      </c>
      <c r="G575">
        <v>19</v>
      </c>
      <c r="H575" t="s">
        <v>1348</v>
      </c>
      <c r="I575" t="s">
        <v>57</v>
      </c>
      <c r="J575" t="s">
        <v>28</v>
      </c>
      <c r="K575" t="s">
        <v>29</v>
      </c>
      <c r="L575" t="str">
        <f t="array" ref="L575">_xlfn.IFS(HR_Data[[#This Row],[Experience]]&lt;2,"0-2 Years",HR_Data[[#This Row],[Experience]]&lt;5,"2-5 Years",HR_Data[[#This Row],[Experience]]&lt;10,"5-10 Years",TRUE(),"10+ Years")</f>
        <v>10+ Years</v>
      </c>
      <c r="M575" t="str">
        <f t="array" ref="M575">_xlfn.IFS(HR_Data[[#This Row],[Salary]]&lt;40000,"Low",HR_Data[[#This Row],[Salary]]&lt;70000,"Medium",HR_Data[[#This Row],[Salary]]&lt;100000,"High",TRUE(),"Very High")</f>
        <v>High</v>
      </c>
      <c r="N575" t="str">
        <f t="array" ref="N575">_xlfn.IFS(HR_Data[[#This Row],[Age]]&lt;25,"18-24",HR_Data[[#This Row],[Age]]&lt;35,"25-34",HR_Data[[#This Row],[Age]]&lt;45,"35-44",TRUE(),"45+")</f>
        <v>35-44</v>
      </c>
      <c r="O575">
        <f>YEAR(HR_Data[[#This Row],[Joining Date]])</f>
        <v>2017</v>
      </c>
      <c r="P575" t="str">
        <f>TEXT(HR_Data[[#This Row],[Joining Date]],"mmmm")</f>
        <v>January</v>
      </c>
      <c r="Q575">
        <f t="array" ref="Q575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75">
        <f>HR_Data[[#This Row],[Salary]]*HR_Data[[#This Row],[Bonus %]]</f>
        <v>11941.199999999999</v>
      </c>
      <c r="S575">
        <f>HR_Data[[#This Row],[Salary]]+HR_Data[[#This Row],[Bonus Amount]]</f>
        <v>91549.2</v>
      </c>
      <c r="T575" t="str">
        <f>IF(HR_Data[[#This Row],[Attrition]]="Yes","Inactive","Active")</f>
        <v>Active</v>
      </c>
      <c r="U575" t="str">
        <f t="array" ref="U575">_xlfn.IFS(HR_Data[[#This Row],[Salary]]&gt;=100000,"A",HR_Data[[#This Row],[Salary]]&gt;=70000,"B",HR_Data[[#This Row],[Salary]]&gt;=50000,"C",TRUE(),"D")</f>
        <v>B</v>
      </c>
      <c r="V575" t="str">
        <f t="array" ref="V575">_xlfn.IFS(HR_Data[[#This Row],[Experience]]&gt;=15,"Expert",HR_Data[[#This Row],[Experience]]&gt;=8,"Senior",HR_Data[[#This Row],[Experience]]&gt;=3,"Mid-Level",TRUE(),"Junior")</f>
        <v>Expert</v>
      </c>
    </row>
    <row r="576" spans="1:22" ht="14.25" customHeight="1" x14ac:dyDescent="0.3">
      <c r="A576" t="s">
        <v>1349</v>
      </c>
      <c r="B576" t="s">
        <v>1350</v>
      </c>
      <c r="C576" t="s">
        <v>55</v>
      </c>
      <c r="D576" t="s">
        <v>25</v>
      </c>
      <c r="E576">
        <v>38</v>
      </c>
      <c r="F576">
        <v>53488</v>
      </c>
      <c r="G576">
        <v>11</v>
      </c>
      <c r="H576" t="s">
        <v>1351</v>
      </c>
      <c r="I576" t="s">
        <v>42</v>
      </c>
      <c r="J576" t="s">
        <v>36</v>
      </c>
      <c r="K576" t="s">
        <v>29</v>
      </c>
      <c r="L576" t="str">
        <f t="array" ref="L576">_xlfn.IFS(HR_Data[[#This Row],[Experience]]&lt;2,"0-2 Years",HR_Data[[#This Row],[Experience]]&lt;5,"2-5 Years",HR_Data[[#This Row],[Experience]]&lt;10,"5-10 Years",TRUE(),"10+ Years")</f>
        <v>10+ Years</v>
      </c>
      <c r="M576" t="str">
        <f t="array" ref="M576">_xlfn.IFS(HR_Data[[#This Row],[Salary]]&lt;40000,"Low",HR_Data[[#This Row],[Salary]]&lt;70000,"Medium",HR_Data[[#This Row],[Salary]]&lt;100000,"High",TRUE(),"Very High")</f>
        <v>Medium</v>
      </c>
      <c r="N576" t="str">
        <f t="array" ref="N576">_xlfn.IFS(HR_Data[[#This Row],[Age]]&lt;25,"18-24",HR_Data[[#This Row],[Age]]&lt;35,"25-34",HR_Data[[#This Row],[Age]]&lt;45,"35-44",TRUE(),"45+")</f>
        <v>35-44</v>
      </c>
      <c r="O576">
        <f>YEAR(HR_Data[[#This Row],[Joining Date]])</f>
        <v>2023</v>
      </c>
      <c r="P576" t="str">
        <f>TEXT(HR_Data[[#This Row],[Joining Date]],"mmmm")</f>
        <v>August</v>
      </c>
      <c r="Q576">
        <f t="array" ref="Q57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76">
        <f>HR_Data[[#This Row],[Salary]]*HR_Data[[#This Row],[Bonus %]]</f>
        <v>5348.8</v>
      </c>
      <c r="S576">
        <f>HR_Data[[#This Row],[Salary]]+HR_Data[[#This Row],[Bonus Amount]]</f>
        <v>58836.800000000003</v>
      </c>
      <c r="T576" t="str">
        <f>IF(HR_Data[[#This Row],[Attrition]]="Yes","Inactive","Active")</f>
        <v>Active</v>
      </c>
      <c r="U576" t="str">
        <f t="array" ref="U576">_xlfn.IFS(HR_Data[[#This Row],[Salary]]&gt;=100000,"A",HR_Data[[#This Row],[Salary]]&gt;=70000,"B",HR_Data[[#This Row],[Salary]]&gt;=50000,"C",TRUE(),"D")</f>
        <v>C</v>
      </c>
      <c r="V576" t="str">
        <f t="array" ref="V576">_xlfn.IFS(HR_Data[[#This Row],[Experience]]&gt;=15,"Expert",HR_Data[[#This Row],[Experience]]&gt;=8,"Senior",HR_Data[[#This Row],[Experience]]&gt;=3,"Mid-Level",TRUE(),"Junior")</f>
        <v>Senior</v>
      </c>
    </row>
    <row r="577" spans="1:22" ht="14.25" customHeight="1" x14ac:dyDescent="0.3">
      <c r="A577" t="s">
        <v>1352</v>
      </c>
      <c r="B577" t="s">
        <v>210</v>
      </c>
      <c r="C577" t="s">
        <v>93</v>
      </c>
      <c r="D577" t="s">
        <v>25</v>
      </c>
      <c r="E577">
        <v>58</v>
      </c>
      <c r="F577">
        <v>112808</v>
      </c>
      <c r="G577">
        <v>28</v>
      </c>
      <c r="H577" t="s">
        <v>1353</v>
      </c>
      <c r="I577" t="s">
        <v>42</v>
      </c>
      <c r="J577" t="s">
        <v>63</v>
      </c>
      <c r="K577" t="s">
        <v>37</v>
      </c>
      <c r="L577" t="str">
        <f t="array" ref="L577">_xlfn.IFS(HR_Data[[#This Row],[Experience]]&lt;2,"0-2 Years",HR_Data[[#This Row],[Experience]]&lt;5,"2-5 Years",HR_Data[[#This Row],[Experience]]&lt;10,"5-10 Years",TRUE(),"10+ Years")</f>
        <v>10+ Years</v>
      </c>
      <c r="M577" t="str">
        <f t="array" ref="M577">_xlfn.IFS(HR_Data[[#This Row],[Salary]]&lt;40000,"Low",HR_Data[[#This Row],[Salary]]&lt;70000,"Medium",HR_Data[[#This Row],[Salary]]&lt;100000,"High",TRUE(),"Very High")</f>
        <v>Very High</v>
      </c>
      <c r="N577" t="str">
        <f t="array" ref="N577">_xlfn.IFS(HR_Data[[#This Row],[Age]]&lt;25,"18-24",HR_Data[[#This Row],[Age]]&lt;35,"25-34",HR_Data[[#This Row],[Age]]&lt;45,"35-44",TRUE(),"45+")</f>
        <v>45+</v>
      </c>
      <c r="O577">
        <f>YEAR(HR_Data[[#This Row],[Joining Date]])</f>
        <v>2018</v>
      </c>
      <c r="P577" t="str">
        <f>TEXT(HR_Data[[#This Row],[Joining Date]],"mmmm")</f>
        <v>February</v>
      </c>
      <c r="Q577">
        <f t="array" ref="Q577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577">
        <f>HR_Data[[#This Row],[Salary]]*HR_Data[[#This Row],[Bonus %]]</f>
        <v>22561.600000000002</v>
      </c>
      <c r="S577">
        <f>HR_Data[[#This Row],[Salary]]+HR_Data[[#This Row],[Bonus Amount]]</f>
        <v>135369.60000000001</v>
      </c>
      <c r="T577" t="str">
        <f>IF(HR_Data[[#This Row],[Attrition]]="Yes","Inactive","Active")</f>
        <v>Inactive</v>
      </c>
      <c r="U577" t="str">
        <f t="array" ref="U577">_xlfn.IFS(HR_Data[[#This Row],[Salary]]&gt;=100000,"A",HR_Data[[#This Row],[Salary]]&gt;=70000,"B",HR_Data[[#This Row],[Salary]]&gt;=50000,"C",TRUE(),"D")</f>
        <v>A</v>
      </c>
      <c r="V577" t="str">
        <f t="array" ref="V577">_xlfn.IFS(HR_Data[[#This Row],[Experience]]&gt;=15,"Expert",HR_Data[[#This Row],[Experience]]&gt;=8,"Senior",HR_Data[[#This Row],[Experience]]&gt;=3,"Mid-Level",TRUE(),"Junior")</f>
        <v>Expert</v>
      </c>
    </row>
    <row r="578" spans="1:22" ht="14.25" customHeight="1" x14ac:dyDescent="0.3">
      <c r="A578" t="s">
        <v>1354</v>
      </c>
      <c r="B578" t="s">
        <v>273</v>
      </c>
      <c r="C578" t="s">
        <v>112</v>
      </c>
      <c r="D578" t="s">
        <v>25</v>
      </c>
      <c r="E578">
        <v>60</v>
      </c>
      <c r="F578">
        <v>135883</v>
      </c>
      <c r="G578">
        <v>34</v>
      </c>
      <c r="H578" t="s">
        <v>1355</v>
      </c>
      <c r="I578" t="s">
        <v>27</v>
      </c>
      <c r="J578" t="s">
        <v>36</v>
      </c>
      <c r="K578" t="s">
        <v>29</v>
      </c>
      <c r="L578" t="str">
        <f t="array" ref="L578">_xlfn.IFS(HR_Data[[#This Row],[Experience]]&lt;2,"0-2 Years",HR_Data[[#This Row],[Experience]]&lt;5,"2-5 Years",HR_Data[[#This Row],[Experience]]&lt;10,"5-10 Years",TRUE(),"10+ Years")</f>
        <v>10+ Years</v>
      </c>
      <c r="M578" t="str">
        <f t="array" ref="M578">_xlfn.IFS(HR_Data[[#This Row],[Salary]]&lt;40000,"Low",HR_Data[[#This Row],[Salary]]&lt;70000,"Medium",HR_Data[[#This Row],[Salary]]&lt;100000,"High",TRUE(),"Very High")</f>
        <v>Very High</v>
      </c>
      <c r="N578" t="str">
        <f t="array" ref="N578">_xlfn.IFS(HR_Data[[#This Row],[Age]]&lt;25,"18-24",HR_Data[[#This Row],[Age]]&lt;35,"25-34",HR_Data[[#This Row],[Age]]&lt;45,"35-44",TRUE(),"45+")</f>
        <v>45+</v>
      </c>
      <c r="O578">
        <f>YEAR(HR_Data[[#This Row],[Joining Date]])</f>
        <v>2026</v>
      </c>
      <c r="P578" t="str">
        <f>TEXT(HR_Data[[#This Row],[Joining Date]],"mmmm")</f>
        <v>March</v>
      </c>
      <c r="Q578">
        <f t="array" ref="Q57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78">
        <f>HR_Data[[#This Row],[Salary]]*HR_Data[[#This Row],[Bonus %]]</f>
        <v>13588.300000000001</v>
      </c>
      <c r="S578">
        <f>HR_Data[[#This Row],[Salary]]+HR_Data[[#This Row],[Bonus Amount]]</f>
        <v>149471.29999999999</v>
      </c>
      <c r="T578" t="str">
        <f>IF(HR_Data[[#This Row],[Attrition]]="Yes","Inactive","Active")</f>
        <v>Active</v>
      </c>
      <c r="U578" t="str">
        <f t="array" ref="U578">_xlfn.IFS(HR_Data[[#This Row],[Salary]]&gt;=100000,"A",HR_Data[[#This Row],[Salary]]&gt;=70000,"B",HR_Data[[#This Row],[Salary]]&gt;=50000,"C",TRUE(),"D")</f>
        <v>A</v>
      </c>
      <c r="V578" t="str">
        <f t="array" ref="V578">_xlfn.IFS(HR_Data[[#This Row],[Experience]]&gt;=15,"Expert",HR_Data[[#This Row],[Experience]]&gt;=8,"Senior",HR_Data[[#This Row],[Experience]]&gt;=3,"Mid-Level",TRUE(),"Junior")</f>
        <v>Expert</v>
      </c>
    </row>
    <row r="579" spans="1:22" ht="14.25" customHeight="1" x14ac:dyDescent="0.3">
      <c r="A579" t="s">
        <v>1356</v>
      </c>
      <c r="B579" t="s">
        <v>506</v>
      </c>
      <c r="C579" t="s">
        <v>75</v>
      </c>
      <c r="D579" t="s">
        <v>33</v>
      </c>
      <c r="E579">
        <v>51</v>
      </c>
      <c r="F579">
        <v>85602</v>
      </c>
      <c r="G579">
        <v>21</v>
      </c>
      <c r="H579" t="s">
        <v>1054</v>
      </c>
      <c r="I579" t="s">
        <v>72</v>
      </c>
      <c r="J579" t="s">
        <v>63</v>
      </c>
      <c r="K579" t="s">
        <v>29</v>
      </c>
      <c r="L579" t="str">
        <f t="array" ref="L579">_xlfn.IFS(HR_Data[[#This Row],[Experience]]&lt;2,"0-2 Years",HR_Data[[#This Row],[Experience]]&lt;5,"2-5 Years",HR_Data[[#This Row],[Experience]]&lt;10,"5-10 Years",TRUE(),"10+ Years")</f>
        <v>10+ Years</v>
      </c>
      <c r="M579" t="str">
        <f t="array" ref="M579">_xlfn.IFS(HR_Data[[#This Row],[Salary]]&lt;40000,"Low",HR_Data[[#This Row],[Salary]]&lt;70000,"Medium",HR_Data[[#This Row],[Salary]]&lt;100000,"High",TRUE(),"Very High")</f>
        <v>High</v>
      </c>
      <c r="N579" t="str">
        <f t="array" ref="N579">_xlfn.IFS(HR_Data[[#This Row],[Age]]&lt;25,"18-24",HR_Data[[#This Row],[Age]]&lt;35,"25-34",HR_Data[[#This Row],[Age]]&lt;45,"35-44",TRUE(),"45+")</f>
        <v>45+</v>
      </c>
      <c r="O579">
        <f>YEAR(HR_Data[[#This Row],[Joining Date]])</f>
        <v>2024</v>
      </c>
      <c r="P579" t="str">
        <f>TEXT(HR_Data[[#This Row],[Joining Date]],"mmmm")</f>
        <v>February</v>
      </c>
      <c r="Q579">
        <f t="array" ref="Q579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579">
        <f>HR_Data[[#This Row],[Salary]]*HR_Data[[#This Row],[Bonus %]]</f>
        <v>17120.400000000001</v>
      </c>
      <c r="S579">
        <f>HR_Data[[#This Row],[Salary]]+HR_Data[[#This Row],[Bonus Amount]]</f>
        <v>102722.4</v>
      </c>
      <c r="T579" t="str">
        <f>IF(HR_Data[[#This Row],[Attrition]]="Yes","Inactive","Active")</f>
        <v>Active</v>
      </c>
      <c r="U579" t="str">
        <f t="array" ref="U579">_xlfn.IFS(HR_Data[[#This Row],[Salary]]&gt;=100000,"A",HR_Data[[#This Row],[Salary]]&gt;=70000,"B",HR_Data[[#This Row],[Salary]]&gt;=50000,"C",TRUE(),"D")</f>
        <v>B</v>
      </c>
      <c r="V579" t="str">
        <f t="array" ref="V579">_xlfn.IFS(HR_Data[[#This Row],[Experience]]&gt;=15,"Expert",HR_Data[[#This Row],[Experience]]&gt;=8,"Senior",HR_Data[[#This Row],[Experience]]&gt;=3,"Mid-Level",TRUE(),"Junior")</f>
        <v>Expert</v>
      </c>
    </row>
    <row r="580" spans="1:22" ht="14.25" customHeight="1" x14ac:dyDescent="0.3">
      <c r="A580" t="s">
        <v>1357</v>
      </c>
      <c r="B580" t="s">
        <v>582</v>
      </c>
      <c r="C580" t="s">
        <v>60</v>
      </c>
      <c r="D580" t="s">
        <v>33</v>
      </c>
      <c r="E580">
        <v>34</v>
      </c>
      <c r="F580">
        <v>63008</v>
      </c>
      <c r="G580">
        <v>14</v>
      </c>
      <c r="H580" t="s">
        <v>1358</v>
      </c>
      <c r="I580" t="s">
        <v>27</v>
      </c>
      <c r="J580" t="s">
        <v>36</v>
      </c>
      <c r="K580" t="s">
        <v>37</v>
      </c>
      <c r="L580" t="str">
        <f t="array" ref="L580">_xlfn.IFS(HR_Data[[#This Row],[Experience]]&lt;2,"0-2 Years",HR_Data[[#This Row],[Experience]]&lt;5,"2-5 Years",HR_Data[[#This Row],[Experience]]&lt;10,"5-10 Years",TRUE(),"10+ Years")</f>
        <v>10+ Years</v>
      </c>
      <c r="M580" t="str">
        <f t="array" ref="M580">_xlfn.IFS(HR_Data[[#This Row],[Salary]]&lt;40000,"Low",HR_Data[[#This Row],[Salary]]&lt;70000,"Medium",HR_Data[[#This Row],[Salary]]&lt;100000,"High",TRUE(),"Very High")</f>
        <v>Medium</v>
      </c>
      <c r="N580" t="str">
        <f t="array" ref="N580">_xlfn.IFS(HR_Data[[#This Row],[Age]]&lt;25,"18-24",HR_Data[[#This Row],[Age]]&lt;35,"25-34",HR_Data[[#This Row],[Age]]&lt;45,"35-44",TRUE(),"45+")</f>
        <v>25-34</v>
      </c>
      <c r="O580">
        <f>YEAR(HR_Data[[#This Row],[Joining Date]])</f>
        <v>2018</v>
      </c>
      <c r="P580" t="str">
        <f>TEXT(HR_Data[[#This Row],[Joining Date]],"mmmm")</f>
        <v>March</v>
      </c>
      <c r="Q580">
        <f t="array" ref="Q58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80">
        <f>HR_Data[[#This Row],[Salary]]*HR_Data[[#This Row],[Bonus %]]</f>
        <v>6300.8</v>
      </c>
      <c r="S580">
        <f>HR_Data[[#This Row],[Salary]]+HR_Data[[#This Row],[Bonus Amount]]</f>
        <v>69308.800000000003</v>
      </c>
      <c r="T580" t="str">
        <f>IF(HR_Data[[#This Row],[Attrition]]="Yes","Inactive","Active")</f>
        <v>Inactive</v>
      </c>
      <c r="U580" t="str">
        <f t="array" ref="U580">_xlfn.IFS(HR_Data[[#This Row],[Salary]]&gt;=100000,"A",HR_Data[[#This Row],[Salary]]&gt;=70000,"B",HR_Data[[#This Row],[Salary]]&gt;=50000,"C",TRUE(),"D")</f>
        <v>C</v>
      </c>
      <c r="V580" t="str">
        <f t="array" ref="V580">_xlfn.IFS(HR_Data[[#This Row],[Experience]]&gt;=15,"Expert",HR_Data[[#This Row],[Experience]]&gt;=8,"Senior",HR_Data[[#This Row],[Experience]]&gt;=3,"Mid-Level",TRUE(),"Junior")</f>
        <v>Senior</v>
      </c>
    </row>
    <row r="581" spans="1:22" ht="14.25" customHeight="1" x14ac:dyDescent="0.3">
      <c r="A581" t="s">
        <v>1359</v>
      </c>
      <c r="B581" t="s">
        <v>412</v>
      </c>
      <c r="C581" t="s">
        <v>24</v>
      </c>
      <c r="D581" t="s">
        <v>33</v>
      </c>
      <c r="E581">
        <v>40</v>
      </c>
      <c r="F581">
        <v>53837</v>
      </c>
      <c r="G581">
        <v>11</v>
      </c>
      <c r="H581" t="s">
        <v>1360</v>
      </c>
      <c r="I581" t="s">
        <v>42</v>
      </c>
      <c r="J581" t="s">
        <v>46</v>
      </c>
      <c r="K581" t="s">
        <v>37</v>
      </c>
      <c r="L581" t="str">
        <f t="array" ref="L581">_xlfn.IFS(HR_Data[[#This Row],[Experience]]&lt;2,"0-2 Years",HR_Data[[#This Row],[Experience]]&lt;5,"2-5 Years",HR_Data[[#This Row],[Experience]]&lt;10,"5-10 Years",TRUE(),"10+ Years")</f>
        <v>10+ Years</v>
      </c>
      <c r="M581" t="str">
        <f t="array" ref="M581">_xlfn.IFS(HR_Data[[#This Row],[Salary]]&lt;40000,"Low",HR_Data[[#This Row],[Salary]]&lt;70000,"Medium",HR_Data[[#This Row],[Salary]]&lt;100000,"High",TRUE(),"Very High")</f>
        <v>Medium</v>
      </c>
      <c r="N581" t="str">
        <f t="array" ref="N581">_xlfn.IFS(HR_Data[[#This Row],[Age]]&lt;25,"18-24",HR_Data[[#This Row],[Age]]&lt;35,"25-34",HR_Data[[#This Row],[Age]]&lt;45,"35-44",TRUE(),"45+")</f>
        <v>35-44</v>
      </c>
      <c r="O581">
        <f>YEAR(HR_Data[[#This Row],[Joining Date]])</f>
        <v>2021</v>
      </c>
      <c r="P581" t="str">
        <f>TEXT(HR_Data[[#This Row],[Joining Date]],"mmmm")</f>
        <v>November</v>
      </c>
      <c r="Q581">
        <f t="array" ref="Q581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581">
        <f>HR_Data[[#This Row],[Salary]]*HR_Data[[#This Row],[Bonus %]]</f>
        <v>2691.8500000000004</v>
      </c>
      <c r="S581">
        <f>HR_Data[[#This Row],[Salary]]+HR_Data[[#This Row],[Bonus Amount]]</f>
        <v>56528.85</v>
      </c>
      <c r="T581" t="str">
        <f>IF(HR_Data[[#This Row],[Attrition]]="Yes","Inactive","Active")</f>
        <v>Inactive</v>
      </c>
      <c r="U581" t="str">
        <f t="array" ref="U581">_xlfn.IFS(HR_Data[[#This Row],[Salary]]&gt;=100000,"A",HR_Data[[#This Row],[Salary]]&gt;=70000,"B",HR_Data[[#This Row],[Salary]]&gt;=50000,"C",TRUE(),"D")</f>
        <v>C</v>
      </c>
      <c r="V581" t="str">
        <f t="array" ref="V581">_xlfn.IFS(HR_Data[[#This Row],[Experience]]&gt;=15,"Expert",HR_Data[[#This Row],[Experience]]&gt;=8,"Senior",HR_Data[[#This Row],[Experience]]&gt;=3,"Mid-Level",TRUE(),"Junior")</f>
        <v>Senior</v>
      </c>
    </row>
    <row r="582" spans="1:22" ht="14.25" customHeight="1" x14ac:dyDescent="0.3">
      <c r="A582" t="s">
        <v>1361</v>
      </c>
      <c r="B582" t="s">
        <v>267</v>
      </c>
      <c r="C582" t="s">
        <v>55</v>
      </c>
      <c r="D582" t="s">
        <v>33</v>
      </c>
      <c r="E582">
        <v>33</v>
      </c>
      <c r="F582">
        <v>58896</v>
      </c>
      <c r="G582">
        <v>7</v>
      </c>
      <c r="H582" t="s">
        <v>1362</v>
      </c>
      <c r="I582" t="s">
        <v>72</v>
      </c>
      <c r="J582" t="s">
        <v>63</v>
      </c>
      <c r="K582" t="s">
        <v>29</v>
      </c>
      <c r="L582" t="str">
        <f t="array" ref="L582">_xlfn.IFS(HR_Data[[#This Row],[Experience]]&lt;2,"0-2 Years",HR_Data[[#This Row],[Experience]]&lt;5,"2-5 Years",HR_Data[[#This Row],[Experience]]&lt;10,"5-10 Years",TRUE(),"10+ Years")</f>
        <v>5-10 Years</v>
      </c>
      <c r="M582" t="str">
        <f t="array" ref="M582">_xlfn.IFS(HR_Data[[#This Row],[Salary]]&lt;40000,"Low",HR_Data[[#This Row],[Salary]]&lt;70000,"Medium",HR_Data[[#This Row],[Salary]]&lt;100000,"High",TRUE(),"Very High")</f>
        <v>Medium</v>
      </c>
      <c r="N582" t="str">
        <f t="array" ref="N582">_xlfn.IFS(HR_Data[[#This Row],[Age]]&lt;25,"18-24",HR_Data[[#This Row],[Age]]&lt;35,"25-34",HR_Data[[#This Row],[Age]]&lt;45,"35-44",TRUE(),"45+")</f>
        <v>25-34</v>
      </c>
      <c r="O582">
        <f>YEAR(HR_Data[[#This Row],[Joining Date]])</f>
        <v>2019</v>
      </c>
      <c r="P582" t="str">
        <f>TEXT(HR_Data[[#This Row],[Joining Date]],"mmmm")</f>
        <v>December</v>
      </c>
      <c r="Q582">
        <f t="array" ref="Q582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582">
        <f>HR_Data[[#This Row],[Salary]]*HR_Data[[#This Row],[Bonus %]]</f>
        <v>11779.2</v>
      </c>
      <c r="S582">
        <f>HR_Data[[#This Row],[Salary]]+HR_Data[[#This Row],[Bonus Amount]]</f>
        <v>70675.199999999997</v>
      </c>
      <c r="T582" t="str">
        <f>IF(HR_Data[[#This Row],[Attrition]]="Yes","Inactive","Active")</f>
        <v>Active</v>
      </c>
      <c r="U582" t="str">
        <f t="array" ref="U582">_xlfn.IFS(HR_Data[[#This Row],[Salary]]&gt;=100000,"A",HR_Data[[#This Row],[Salary]]&gt;=70000,"B",HR_Data[[#This Row],[Salary]]&gt;=50000,"C",TRUE(),"D")</f>
        <v>C</v>
      </c>
      <c r="V582" t="str">
        <f t="array" ref="V582">_xlfn.IFS(HR_Data[[#This Row],[Experience]]&gt;=15,"Expert",HR_Data[[#This Row],[Experience]]&gt;=8,"Senior",HR_Data[[#This Row],[Experience]]&gt;=3,"Mid-Level",TRUE(),"Junior")</f>
        <v>Mid-Level</v>
      </c>
    </row>
    <row r="583" spans="1:22" ht="14.25" customHeight="1" x14ac:dyDescent="0.3">
      <c r="A583" t="s">
        <v>1363</v>
      </c>
      <c r="B583" t="s">
        <v>39</v>
      </c>
      <c r="C583" t="s">
        <v>40</v>
      </c>
      <c r="D583" t="s">
        <v>25</v>
      </c>
      <c r="E583">
        <v>55</v>
      </c>
      <c r="F583">
        <v>136337</v>
      </c>
      <c r="G583">
        <v>34</v>
      </c>
      <c r="H583" t="s">
        <v>1364</v>
      </c>
      <c r="I583" t="s">
        <v>132</v>
      </c>
      <c r="J583" t="s">
        <v>46</v>
      </c>
      <c r="K583" t="s">
        <v>29</v>
      </c>
      <c r="L583" t="str">
        <f t="array" ref="L583">_xlfn.IFS(HR_Data[[#This Row],[Experience]]&lt;2,"0-2 Years",HR_Data[[#This Row],[Experience]]&lt;5,"2-5 Years",HR_Data[[#This Row],[Experience]]&lt;10,"5-10 Years",TRUE(),"10+ Years")</f>
        <v>10+ Years</v>
      </c>
      <c r="M583" t="str">
        <f t="array" ref="M583">_xlfn.IFS(HR_Data[[#This Row],[Salary]]&lt;40000,"Low",HR_Data[[#This Row],[Salary]]&lt;70000,"Medium",HR_Data[[#This Row],[Salary]]&lt;100000,"High",TRUE(),"Very High")</f>
        <v>Very High</v>
      </c>
      <c r="N583" t="str">
        <f t="array" ref="N583">_xlfn.IFS(HR_Data[[#This Row],[Age]]&lt;25,"18-24",HR_Data[[#This Row],[Age]]&lt;35,"25-34",HR_Data[[#This Row],[Age]]&lt;45,"35-44",TRUE(),"45+")</f>
        <v>45+</v>
      </c>
      <c r="O583">
        <f>YEAR(HR_Data[[#This Row],[Joining Date]])</f>
        <v>2019</v>
      </c>
      <c r="P583" t="str">
        <f>TEXT(HR_Data[[#This Row],[Joining Date]],"mmmm")</f>
        <v>October</v>
      </c>
      <c r="Q583">
        <f t="array" ref="Q583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583">
        <f>HR_Data[[#This Row],[Salary]]*HR_Data[[#This Row],[Bonus %]]</f>
        <v>6816.85</v>
      </c>
      <c r="S583">
        <f>HR_Data[[#This Row],[Salary]]+HR_Data[[#This Row],[Bonus Amount]]</f>
        <v>143153.85</v>
      </c>
      <c r="T583" t="str">
        <f>IF(HR_Data[[#This Row],[Attrition]]="Yes","Inactive","Active")</f>
        <v>Active</v>
      </c>
      <c r="U583" t="str">
        <f t="array" ref="U583">_xlfn.IFS(HR_Data[[#This Row],[Salary]]&gt;=100000,"A",HR_Data[[#This Row],[Salary]]&gt;=70000,"B",HR_Data[[#This Row],[Salary]]&gt;=50000,"C",TRUE(),"D")</f>
        <v>A</v>
      </c>
      <c r="V583" t="str">
        <f t="array" ref="V583">_xlfn.IFS(HR_Data[[#This Row],[Experience]]&gt;=15,"Expert",HR_Data[[#This Row],[Experience]]&gt;=8,"Senior",HR_Data[[#This Row],[Experience]]&gt;=3,"Mid-Level",TRUE(),"Junior")</f>
        <v>Expert</v>
      </c>
    </row>
    <row r="584" spans="1:22" ht="14.25" customHeight="1" x14ac:dyDescent="0.3">
      <c r="A584" t="s">
        <v>1365</v>
      </c>
      <c r="B584" t="s">
        <v>585</v>
      </c>
      <c r="C584" t="s">
        <v>40</v>
      </c>
      <c r="D584" t="s">
        <v>25</v>
      </c>
      <c r="E584">
        <v>47</v>
      </c>
      <c r="F584">
        <v>112321</v>
      </c>
      <c r="G584">
        <v>26</v>
      </c>
      <c r="H584" t="s">
        <v>1366</v>
      </c>
      <c r="I584" t="s">
        <v>132</v>
      </c>
      <c r="J584" t="s">
        <v>36</v>
      </c>
      <c r="K584" t="s">
        <v>29</v>
      </c>
      <c r="L584" t="str">
        <f t="array" ref="L584">_xlfn.IFS(HR_Data[[#This Row],[Experience]]&lt;2,"0-2 Years",HR_Data[[#This Row],[Experience]]&lt;5,"2-5 Years",HR_Data[[#This Row],[Experience]]&lt;10,"5-10 Years",TRUE(),"10+ Years")</f>
        <v>10+ Years</v>
      </c>
      <c r="M584" t="str">
        <f t="array" ref="M584">_xlfn.IFS(HR_Data[[#This Row],[Salary]]&lt;40000,"Low",HR_Data[[#This Row],[Salary]]&lt;70000,"Medium",HR_Data[[#This Row],[Salary]]&lt;100000,"High",TRUE(),"Very High")</f>
        <v>Very High</v>
      </c>
      <c r="N584" t="str">
        <f t="array" ref="N584">_xlfn.IFS(HR_Data[[#This Row],[Age]]&lt;25,"18-24",HR_Data[[#This Row],[Age]]&lt;35,"25-34",HR_Data[[#This Row],[Age]]&lt;45,"35-44",TRUE(),"45+")</f>
        <v>45+</v>
      </c>
      <c r="O584">
        <f>YEAR(HR_Data[[#This Row],[Joining Date]])</f>
        <v>2018</v>
      </c>
      <c r="P584" t="str">
        <f>TEXT(HR_Data[[#This Row],[Joining Date]],"mmmm")</f>
        <v>September</v>
      </c>
      <c r="Q584">
        <f t="array" ref="Q584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84">
        <f>HR_Data[[#This Row],[Salary]]*HR_Data[[#This Row],[Bonus %]]</f>
        <v>11232.1</v>
      </c>
      <c r="S584">
        <f>HR_Data[[#This Row],[Salary]]+HR_Data[[#This Row],[Bonus Amount]]</f>
        <v>123553.1</v>
      </c>
      <c r="T584" t="str">
        <f>IF(HR_Data[[#This Row],[Attrition]]="Yes","Inactive","Active")</f>
        <v>Active</v>
      </c>
      <c r="U584" t="str">
        <f t="array" ref="U584">_xlfn.IFS(HR_Data[[#This Row],[Salary]]&gt;=100000,"A",HR_Data[[#This Row],[Salary]]&gt;=70000,"B",HR_Data[[#This Row],[Salary]]&gt;=50000,"C",TRUE(),"D")</f>
        <v>A</v>
      </c>
      <c r="V584" t="str">
        <f t="array" ref="V584">_xlfn.IFS(HR_Data[[#This Row],[Experience]]&gt;=15,"Expert",HR_Data[[#This Row],[Experience]]&gt;=8,"Senior",HR_Data[[#This Row],[Experience]]&gt;=3,"Mid-Level",TRUE(),"Junior")</f>
        <v>Expert</v>
      </c>
    </row>
    <row r="585" spans="1:22" ht="14.25" customHeight="1" x14ac:dyDescent="0.3">
      <c r="A585" t="s">
        <v>1367</v>
      </c>
      <c r="B585" t="s">
        <v>307</v>
      </c>
      <c r="C585" t="s">
        <v>32</v>
      </c>
      <c r="D585" t="s">
        <v>25</v>
      </c>
      <c r="E585">
        <v>27</v>
      </c>
      <c r="F585">
        <v>25000</v>
      </c>
      <c r="G585">
        <v>1</v>
      </c>
      <c r="H585" t="s">
        <v>612</v>
      </c>
      <c r="I585" t="s">
        <v>132</v>
      </c>
      <c r="J585" t="s">
        <v>63</v>
      </c>
      <c r="K585" t="s">
        <v>29</v>
      </c>
      <c r="L585" t="str">
        <f t="array" ref="L585">_xlfn.IFS(HR_Data[[#This Row],[Experience]]&lt;2,"0-2 Years",HR_Data[[#This Row],[Experience]]&lt;5,"2-5 Years",HR_Data[[#This Row],[Experience]]&lt;10,"5-10 Years",TRUE(),"10+ Years")</f>
        <v>0-2 Years</v>
      </c>
      <c r="M585" t="str">
        <f t="array" ref="M585">_xlfn.IFS(HR_Data[[#This Row],[Salary]]&lt;40000,"Low",HR_Data[[#This Row],[Salary]]&lt;70000,"Medium",HR_Data[[#This Row],[Salary]]&lt;100000,"High",TRUE(),"Very High")</f>
        <v>Low</v>
      </c>
      <c r="N585" t="str">
        <f t="array" ref="N585">_xlfn.IFS(HR_Data[[#This Row],[Age]]&lt;25,"18-24",HR_Data[[#This Row],[Age]]&lt;35,"25-34",HR_Data[[#This Row],[Age]]&lt;45,"35-44",TRUE(),"45+")</f>
        <v>25-34</v>
      </c>
      <c r="O585">
        <f>YEAR(HR_Data[[#This Row],[Joining Date]])</f>
        <v>2015</v>
      </c>
      <c r="P585" t="str">
        <f>TEXT(HR_Data[[#This Row],[Joining Date]],"mmmm")</f>
        <v>February</v>
      </c>
      <c r="Q585">
        <f t="array" ref="Q585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585">
        <f>HR_Data[[#This Row],[Salary]]*HR_Data[[#This Row],[Bonus %]]</f>
        <v>5000</v>
      </c>
      <c r="S585">
        <f>HR_Data[[#This Row],[Salary]]+HR_Data[[#This Row],[Bonus Amount]]</f>
        <v>30000</v>
      </c>
      <c r="T585" t="str">
        <f>IF(HR_Data[[#This Row],[Attrition]]="Yes","Inactive","Active")</f>
        <v>Active</v>
      </c>
      <c r="U585" t="str">
        <f t="array" ref="U585">_xlfn.IFS(HR_Data[[#This Row],[Salary]]&gt;=100000,"A",HR_Data[[#This Row],[Salary]]&gt;=70000,"B",HR_Data[[#This Row],[Salary]]&gt;=50000,"C",TRUE(),"D")</f>
        <v>D</v>
      </c>
      <c r="V585" t="str">
        <f t="array" ref="V585">_xlfn.IFS(HR_Data[[#This Row],[Experience]]&gt;=15,"Expert",HR_Data[[#This Row],[Experience]]&gt;=8,"Senior",HR_Data[[#This Row],[Experience]]&gt;=3,"Mid-Level",TRUE(),"Junior")</f>
        <v>Junior</v>
      </c>
    </row>
    <row r="586" spans="1:22" ht="14.25" customHeight="1" x14ac:dyDescent="0.3">
      <c r="A586" t="s">
        <v>1368</v>
      </c>
      <c r="B586" t="s">
        <v>582</v>
      </c>
      <c r="C586" t="s">
        <v>24</v>
      </c>
      <c r="D586" t="s">
        <v>33</v>
      </c>
      <c r="E586">
        <v>34</v>
      </c>
      <c r="F586">
        <v>67478</v>
      </c>
      <c r="G586">
        <v>13</v>
      </c>
      <c r="H586" t="s">
        <v>1369</v>
      </c>
      <c r="I586" t="s">
        <v>35</v>
      </c>
      <c r="J586" t="s">
        <v>36</v>
      </c>
      <c r="K586" t="s">
        <v>29</v>
      </c>
      <c r="L586" t="str">
        <f t="array" ref="L586">_xlfn.IFS(HR_Data[[#This Row],[Experience]]&lt;2,"0-2 Years",HR_Data[[#This Row],[Experience]]&lt;5,"2-5 Years",HR_Data[[#This Row],[Experience]]&lt;10,"5-10 Years",TRUE(),"10+ Years")</f>
        <v>10+ Years</v>
      </c>
      <c r="M586" t="str">
        <f t="array" ref="M586">_xlfn.IFS(HR_Data[[#This Row],[Salary]]&lt;40000,"Low",HR_Data[[#This Row],[Salary]]&lt;70000,"Medium",HR_Data[[#This Row],[Salary]]&lt;100000,"High",TRUE(),"Very High")</f>
        <v>Medium</v>
      </c>
      <c r="N586" t="str">
        <f t="array" ref="N586">_xlfn.IFS(HR_Data[[#This Row],[Age]]&lt;25,"18-24",HR_Data[[#This Row],[Age]]&lt;35,"25-34",HR_Data[[#This Row],[Age]]&lt;45,"35-44",TRUE(),"45+")</f>
        <v>25-34</v>
      </c>
      <c r="O586">
        <f>YEAR(HR_Data[[#This Row],[Joining Date]])</f>
        <v>2025</v>
      </c>
      <c r="P586" t="str">
        <f>TEXT(HR_Data[[#This Row],[Joining Date]],"mmmm")</f>
        <v>February</v>
      </c>
      <c r="Q586">
        <f t="array" ref="Q58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86">
        <f>HR_Data[[#This Row],[Salary]]*HR_Data[[#This Row],[Bonus %]]</f>
        <v>6747.8</v>
      </c>
      <c r="S586">
        <f>HR_Data[[#This Row],[Salary]]+HR_Data[[#This Row],[Bonus Amount]]</f>
        <v>74225.8</v>
      </c>
      <c r="T586" t="str">
        <f>IF(HR_Data[[#This Row],[Attrition]]="Yes","Inactive","Active")</f>
        <v>Active</v>
      </c>
      <c r="U586" t="str">
        <f t="array" ref="U586">_xlfn.IFS(HR_Data[[#This Row],[Salary]]&gt;=100000,"A",HR_Data[[#This Row],[Salary]]&gt;=70000,"B",HR_Data[[#This Row],[Salary]]&gt;=50000,"C",TRUE(),"D")</f>
        <v>C</v>
      </c>
      <c r="V586" t="str">
        <f t="array" ref="V586">_xlfn.IFS(HR_Data[[#This Row],[Experience]]&gt;=15,"Expert",HR_Data[[#This Row],[Experience]]&gt;=8,"Senior",HR_Data[[#This Row],[Experience]]&gt;=3,"Mid-Level",TRUE(),"Junior")</f>
        <v>Senior</v>
      </c>
    </row>
    <row r="587" spans="1:22" ht="14.25" customHeight="1" x14ac:dyDescent="0.3">
      <c r="A587" t="s">
        <v>1370</v>
      </c>
      <c r="B587" t="s">
        <v>190</v>
      </c>
      <c r="C587" t="s">
        <v>75</v>
      </c>
      <c r="D587" t="s">
        <v>33</v>
      </c>
      <c r="E587">
        <v>34</v>
      </c>
      <c r="F587">
        <v>42869</v>
      </c>
      <c r="G587">
        <v>5</v>
      </c>
      <c r="H587" t="s">
        <v>1371</v>
      </c>
      <c r="I587" t="s">
        <v>72</v>
      </c>
      <c r="J587" t="s">
        <v>36</v>
      </c>
      <c r="K587" t="s">
        <v>29</v>
      </c>
      <c r="L587" t="str">
        <f t="array" ref="L587">_xlfn.IFS(HR_Data[[#This Row],[Experience]]&lt;2,"0-2 Years",HR_Data[[#This Row],[Experience]]&lt;5,"2-5 Years",HR_Data[[#This Row],[Experience]]&lt;10,"5-10 Years",TRUE(),"10+ Years")</f>
        <v>5-10 Years</v>
      </c>
      <c r="M587" t="str">
        <f t="array" ref="M587">_xlfn.IFS(HR_Data[[#This Row],[Salary]]&lt;40000,"Low",HR_Data[[#This Row],[Salary]]&lt;70000,"Medium",HR_Data[[#This Row],[Salary]]&lt;100000,"High",TRUE(),"Very High")</f>
        <v>Medium</v>
      </c>
      <c r="N587" t="str">
        <f t="array" ref="N587">_xlfn.IFS(HR_Data[[#This Row],[Age]]&lt;25,"18-24",HR_Data[[#This Row],[Age]]&lt;35,"25-34",HR_Data[[#This Row],[Age]]&lt;45,"35-44",TRUE(),"45+")</f>
        <v>25-34</v>
      </c>
      <c r="O587">
        <f>YEAR(HR_Data[[#This Row],[Joining Date]])</f>
        <v>2022</v>
      </c>
      <c r="P587" t="str">
        <f>TEXT(HR_Data[[#This Row],[Joining Date]],"mmmm")</f>
        <v>October</v>
      </c>
      <c r="Q587">
        <f t="array" ref="Q587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87">
        <f>HR_Data[[#This Row],[Salary]]*HR_Data[[#This Row],[Bonus %]]</f>
        <v>4286.9000000000005</v>
      </c>
      <c r="S587">
        <f>HR_Data[[#This Row],[Salary]]+HR_Data[[#This Row],[Bonus Amount]]</f>
        <v>47155.9</v>
      </c>
      <c r="T587" t="str">
        <f>IF(HR_Data[[#This Row],[Attrition]]="Yes","Inactive","Active")</f>
        <v>Active</v>
      </c>
      <c r="U587" t="str">
        <f t="array" ref="U587">_xlfn.IFS(HR_Data[[#This Row],[Salary]]&gt;=100000,"A",HR_Data[[#This Row],[Salary]]&gt;=70000,"B",HR_Data[[#This Row],[Salary]]&gt;=50000,"C",TRUE(),"D")</f>
        <v>D</v>
      </c>
      <c r="V587" t="str">
        <f t="array" ref="V587">_xlfn.IFS(HR_Data[[#This Row],[Experience]]&gt;=15,"Expert",HR_Data[[#This Row],[Experience]]&gt;=8,"Senior",HR_Data[[#This Row],[Experience]]&gt;=3,"Mid-Level",TRUE(),"Junior")</f>
        <v>Mid-Level</v>
      </c>
    </row>
    <row r="588" spans="1:22" ht="14.25" customHeight="1" x14ac:dyDescent="0.3">
      <c r="A588" t="s">
        <v>1372</v>
      </c>
      <c r="B588" t="s">
        <v>137</v>
      </c>
      <c r="C588" t="s">
        <v>112</v>
      </c>
      <c r="D588" t="s">
        <v>33</v>
      </c>
      <c r="E588">
        <v>50</v>
      </c>
      <c r="F588">
        <v>107231</v>
      </c>
      <c r="G588">
        <v>23</v>
      </c>
      <c r="H588" t="s">
        <v>1373</v>
      </c>
      <c r="I588" t="s">
        <v>42</v>
      </c>
      <c r="J588" t="s">
        <v>36</v>
      </c>
      <c r="K588" t="s">
        <v>29</v>
      </c>
      <c r="L588" t="str">
        <f t="array" ref="L588">_xlfn.IFS(HR_Data[[#This Row],[Experience]]&lt;2,"0-2 Years",HR_Data[[#This Row],[Experience]]&lt;5,"2-5 Years",HR_Data[[#This Row],[Experience]]&lt;10,"5-10 Years",TRUE(),"10+ Years")</f>
        <v>10+ Years</v>
      </c>
      <c r="M588" t="str">
        <f t="array" ref="M588">_xlfn.IFS(HR_Data[[#This Row],[Salary]]&lt;40000,"Low",HR_Data[[#This Row],[Salary]]&lt;70000,"Medium",HR_Data[[#This Row],[Salary]]&lt;100000,"High",TRUE(),"Very High")</f>
        <v>Very High</v>
      </c>
      <c r="N588" t="str">
        <f t="array" ref="N588">_xlfn.IFS(HR_Data[[#This Row],[Age]]&lt;25,"18-24",HR_Data[[#This Row],[Age]]&lt;35,"25-34",HR_Data[[#This Row],[Age]]&lt;45,"35-44",TRUE(),"45+")</f>
        <v>45+</v>
      </c>
      <c r="O588">
        <f>YEAR(HR_Data[[#This Row],[Joining Date]])</f>
        <v>2019</v>
      </c>
      <c r="P588" t="str">
        <f>TEXT(HR_Data[[#This Row],[Joining Date]],"mmmm")</f>
        <v>December</v>
      </c>
      <c r="Q588">
        <f t="array" ref="Q58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88">
        <f>HR_Data[[#This Row],[Salary]]*HR_Data[[#This Row],[Bonus %]]</f>
        <v>10723.1</v>
      </c>
      <c r="S588">
        <f>HR_Data[[#This Row],[Salary]]+HR_Data[[#This Row],[Bonus Amount]]</f>
        <v>117954.1</v>
      </c>
      <c r="T588" t="str">
        <f>IF(HR_Data[[#This Row],[Attrition]]="Yes","Inactive","Active")</f>
        <v>Active</v>
      </c>
      <c r="U588" t="str">
        <f t="array" ref="U588">_xlfn.IFS(HR_Data[[#This Row],[Salary]]&gt;=100000,"A",HR_Data[[#This Row],[Salary]]&gt;=70000,"B",HR_Data[[#This Row],[Salary]]&gt;=50000,"C",TRUE(),"D")</f>
        <v>A</v>
      </c>
      <c r="V588" t="str">
        <f t="array" ref="V588">_xlfn.IFS(HR_Data[[#This Row],[Experience]]&gt;=15,"Expert",HR_Data[[#This Row],[Experience]]&gt;=8,"Senior",HR_Data[[#This Row],[Experience]]&gt;=3,"Mid-Level",TRUE(),"Junior")</f>
        <v>Expert</v>
      </c>
    </row>
    <row r="589" spans="1:22" ht="14.25" customHeight="1" x14ac:dyDescent="0.3">
      <c r="A589" t="s">
        <v>1374</v>
      </c>
      <c r="B589" t="s">
        <v>905</v>
      </c>
      <c r="C589" t="s">
        <v>55</v>
      </c>
      <c r="D589" t="s">
        <v>25</v>
      </c>
      <c r="E589">
        <v>38</v>
      </c>
      <c r="F589">
        <v>61345</v>
      </c>
      <c r="G589">
        <v>9</v>
      </c>
      <c r="H589" t="s">
        <v>1375</v>
      </c>
      <c r="I589" t="s">
        <v>57</v>
      </c>
      <c r="J589" t="s">
        <v>28</v>
      </c>
      <c r="K589" t="s">
        <v>29</v>
      </c>
      <c r="L589" t="str">
        <f t="array" ref="L589">_xlfn.IFS(HR_Data[[#This Row],[Experience]]&lt;2,"0-2 Years",HR_Data[[#This Row],[Experience]]&lt;5,"2-5 Years",HR_Data[[#This Row],[Experience]]&lt;10,"5-10 Years",TRUE(),"10+ Years")</f>
        <v>5-10 Years</v>
      </c>
      <c r="M589" t="str">
        <f t="array" ref="M589">_xlfn.IFS(HR_Data[[#This Row],[Salary]]&lt;40000,"Low",HR_Data[[#This Row],[Salary]]&lt;70000,"Medium",HR_Data[[#This Row],[Salary]]&lt;100000,"High",TRUE(),"Very High")</f>
        <v>Medium</v>
      </c>
      <c r="N589" t="str">
        <f t="array" ref="N589">_xlfn.IFS(HR_Data[[#This Row],[Age]]&lt;25,"18-24",HR_Data[[#This Row],[Age]]&lt;35,"25-34",HR_Data[[#This Row],[Age]]&lt;45,"35-44",TRUE(),"45+")</f>
        <v>35-44</v>
      </c>
      <c r="O589">
        <f>YEAR(HR_Data[[#This Row],[Joining Date]])</f>
        <v>2026</v>
      </c>
      <c r="P589" t="str">
        <f>TEXT(HR_Data[[#This Row],[Joining Date]],"mmmm")</f>
        <v>February</v>
      </c>
      <c r="Q589">
        <f t="array" ref="Q58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89">
        <f>HR_Data[[#This Row],[Salary]]*HR_Data[[#This Row],[Bonus %]]</f>
        <v>9201.75</v>
      </c>
      <c r="S589">
        <f>HR_Data[[#This Row],[Salary]]+HR_Data[[#This Row],[Bonus Amount]]</f>
        <v>70546.75</v>
      </c>
      <c r="T589" t="str">
        <f>IF(HR_Data[[#This Row],[Attrition]]="Yes","Inactive","Active")</f>
        <v>Active</v>
      </c>
      <c r="U589" t="str">
        <f t="array" ref="U589">_xlfn.IFS(HR_Data[[#This Row],[Salary]]&gt;=100000,"A",HR_Data[[#This Row],[Salary]]&gt;=70000,"B",HR_Data[[#This Row],[Salary]]&gt;=50000,"C",TRUE(),"D")</f>
        <v>C</v>
      </c>
      <c r="V589" t="str">
        <f t="array" ref="V589">_xlfn.IFS(HR_Data[[#This Row],[Experience]]&gt;=15,"Expert",HR_Data[[#This Row],[Experience]]&gt;=8,"Senior",HR_Data[[#This Row],[Experience]]&gt;=3,"Mid-Level",TRUE(),"Junior")</f>
        <v>Senior</v>
      </c>
    </row>
    <row r="590" spans="1:22" ht="14.25" customHeight="1" x14ac:dyDescent="0.3">
      <c r="A590" t="s">
        <v>1376</v>
      </c>
      <c r="B590" t="s">
        <v>239</v>
      </c>
      <c r="C590" t="s">
        <v>70</v>
      </c>
      <c r="D590" t="s">
        <v>33</v>
      </c>
      <c r="E590">
        <v>50</v>
      </c>
      <c r="F590">
        <v>114354</v>
      </c>
      <c r="G590">
        <v>27</v>
      </c>
      <c r="H590" t="s">
        <v>1377</v>
      </c>
      <c r="I590" t="s">
        <v>35</v>
      </c>
      <c r="J590" t="s">
        <v>63</v>
      </c>
      <c r="K590" t="s">
        <v>29</v>
      </c>
      <c r="L590" t="str">
        <f t="array" ref="L590">_xlfn.IFS(HR_Data[[#This Row],[Experience]]&lt;2,"0-2 Years",HR_Data[[#This Row],[Experience]]&lt;5,"2-5 Years",HR_Data[[#This Row],[Experience]]&lt;10,"5-10 Years",TRUE(),"10+ Years")</f>
        <v>10+ Years</v>
      </c>
      <c r="M590" t="str">
        <f t="array" ref="M590">_xlfn.IFS(HR_Data[[#This Row],[Salary]]&lt;40000,"Low",HR_Data[[#This Row],[Salary]]&lt;70000,"Medium",HR_Data[[#This Row],[Salary]]&lt;100000,"High",TRUE(),"Very High")</f>
        <v>Very High</v>
      </c>
      <c r="N590" t="str">
        <f t="array" ref="N590">_xlfn.IFS(HR_Data[[#This Row],[Age]]&lt;25,"18-24",HR_Data[[#This Row],[Age]]&lt;35,"25-34",HR_Data[[#This Row],[Age]]&lt;45,"35-44",TRUE(),"45+")</f>
        <v>45+</v>
      </c>
      <c r="O590">
        <f>YEAR(HR_Data[[#This Row],[Joining Date]])</f>
        <v>2025</v>
      </c>
      <c r="P590" t="str">
        <f>TEXT(HR_Data[[#This Row],[Joining Date]],"mmmm")</f>
        <v>March</v>
      </c>
      <c r="Q590">
        <f t="array" ref="Q590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590">
        <f>HR_Data[[#This Row],[Salary]]*HR_Data[[#This Row],[Bonus %]]</f>
        <v>22870.800000000003</v>
      </c>
      <c r="S590">
        <f>HR_Data[[#This Row],[Salary]]+HR_Data[[#This Row],[Bonus Amount]]</f>
        <v>137224.79999999999</v>
      </c>
      <c r="T590" t="str">
        <f>IF(HR_Data[[#This Row],[Attrition]]="Yes","Inactive","Active")</f>
        <v>Active</v>
      </c>
      <c r="U590" t="str">
        <f t="array" ref="U590">_xlfn.IFS(HR_Data[[#This Row],[Salary]]&gt;=100000,"A",HR_Data[[#This Row],[Salary]]&gt;=70000,"B",HR_Data[[#This Row],[Salary]]&gt;=50000,"C",TRUE(),"D")</f>
        <v>A</v>
      </c>
      <c r="V590" t="str">
        <f t="array" ref="V590">_xlfn.IFS(HR_Data[[#This Row],[Experience]]&gt;=15,"Expert",HR_Data[[#This Row],[Experience]]&gt;=8,"Senior",HR_Data[[#This Row],[Experience]]&gt;=3,"Mid-Level",TRUE(),"Junior")</f>
        <v>Expert</v>
      </c>
    </row>
    <row r="591" spans="1:22" ht="14.25" customHeight="1" x14ac:dyDescent="0.3">
      <c r="A591" t="s">
        <v>1378</v>
      </c>
      <c r="B591" t="s">
        <v>267</v>
      </c>
      <c r="C591" t="s">
        <v>60</v>
      </c>
      <c r="D591" t="s">
        <v>25</v>
      </c>
      <c r="E591">
        <v>52</v>
      </c>
      <c r="F591">
        <v>121721</v>
      </c>
      <c r="G591">
        <v>32</v>
      </c>
      <c r="H591" t="s">
        <v>1379</v>
      </c>
      <c r="I591" t="s">
        <v>57</v>
      </c>
      <c r="J591" t="s">
        <v>36</v>
      </c>
      <c r="K591" t="s">
        <v>29</v>
      </c>
      <c r="L591" t="str">
        <f t="array" ref="L591">_xlfn.IFS(HR_Data[[#This Row],[Experience]]&lt;2,"0-2 Years",HR_Data[[#This Row],[Experience]]&lt;5,"2-5 Years",HR_Data[[#This Row],[Experience]]&lt;10,"5-10 Years",TRUE(),"10+ Years")</f>
        <v>10+ Years</v>
      </c>
      <c r="M591" t="str">
        <f t="array" ref="M591">_xlfn.IFS(HR_Data[[#This Row],[Salary]]&lt;40000,"Low",HR_Data[[#This Row],[Salary]]&lt;70000,"Medium",HR_Data[[#This Row],[Salary]]&lt;100000,"High",TRUE(),"Very High")</f>
        <v>Very High</v>
      </c>
      <c r="N591" t="str">
        <f t="array" ref="N591">_xlfn.IFS(HR_Data[[#This Row],[Age]]&lt;25,"18-24",HR_Data[[#This Row],[Age]]&lt;35,"25-34",HR_Data[[#This Row],[Age]]&lt;45,"35-44",TRUE(),"45+")</f>
        <v>45+</v>
      </c>
      <c r="O591">
        <f>YEAR(HR_Data[[#This Row],[Joining Date]])</f>
        <v>2020</v>
      </c>
      <c r="P591" t="str">
        <f>TEXT(HR_Data[[#This Row],[Joining Date]],"mmmm")</f>
        <v>April</v>
      </c>
      <c r="Q591">
        <f t="array" ref="Q59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591">
        <f>HR_Data[[#This Row],[Salary]]*HR_Data[[#This Row],[Bonus %]]</f>
        <v>12172.1</v>
      </c>
      <c r="S591">
        <f>HR_Data[[#This Row],[Salary]]+HR_Data[[#This Row],[Bonus Amount]]</f>
        <v>133893.1</v>
      </c>
      <c r="T591" t="str">
        <f>IF(HR_Data[[#This Row],[Attrition]]="Yes","Inactive","Active")</f>
        <v>Active</v>
      </c>
      <c r="U591" t="str">
        <f t="array" ref="U591">_xlfn.IFS(HR_Data[[#This Row],[Salary]]&gt;=100000,"A",HR_Data[[#This Row],[Salary]]&gt;=70000,"B",HR_Data[[#This Row],[Salary]]&gt;=50000,"C",TRUE(),"D")</f>
        <v>A</v>
      </c>
      <c r="V591" t="str">
        <f t="array" ref="V591">_xlfn.IFS(HR_Data[[#This Row],[Experience]]&gt;=15,"Expert",HR_Data[[#This Row],[Experience]]&gt;=8,"Senior",HR_Data[[#This Row],[Experience]]&gt;=3,"Mid-Level",TRUE(),"Junior")</f>
        <v>Expert</v>
      </c>
    </row>
    <row r="592" spans="1:22" ht="14.25" customHeight="1" x14ac:dyDescent="0.3">
      <c r="A592" t="s">
        <v>1380</v>
      </c>
      <c r="B592" t="s">
        <v>111</v>
      </c>
      <c r="C592" t="s">
        <v>60</v>
      </c>
      <c r="D592" t="s">
        <v>33</v>
      </c>
      <c r="E592">
        <v>31</v>
      </c>
      <c r="F592">
        <v>46863</v>
      </c>
      <c r="G592">
        <v>7</v>
      </c>
      <c r="H592" t="s">
        <v>1381</v>
      </c>
      <c r="I592" t="s">
        <v>35</v>
      </c>
      <c r="J592" t="s">
        <v>28</v>
      </c>
      <c r="K592" t="s">
        <v>29</v>
      </c>
      <c r="L592" t="str">
        <f t="array" ref="L592">_xlfn.IFS(HR_Data[[#This Row],[Experience]]&lt;2,"0-2 Years",HR_Data[[#This Row],[Experience]]&lt;5,"2-5 Years",HR_Data[[#This Row],[Experience]]&lt;10,"5-10 Years",TRUE(),"10+ Years")</f>
        <v>5-10 Years</v>
      </c>
      <c r="M592" t="str">
        <f t="array" ref="M592">_xlfn.IFS(HR_Data[[#This Row],[Salary]]&lt;40000,"Low",HR_Data[[#This Row],[Salary]]&lt;70000,"Medium",HR_Data[[#This Row],[Salary]]&lt;100000,"High",TRUE(),"Very High")</f>
        <v>Medium</v>
      </c>
      <c r="N592" t="str">
        <f t="array" ref="N592">_xlfn.IFS(HR_Data[[#This Row],[Age]]&lt;25,"18-24",HR_Data[[#This Row],[Age]]&lt;35,"25-34",HR_Data[[#This Row],[Age]]&lt;45,"35-44",TRUE(),"45+")</f>
        <v>25-34</v>
      </c>
      <c r="O592">
        <f>YEAR(HR_Data[[#This Row],[Joining Date]])</f>
        <v>2017</v>
      </c>
      <c r="P592" t="str">
        <f>TEXT(HR_Data[[#This Row],[Joining Date]],"mmmm")</f>
        <v>March</v>
      </c>
      <c r="Q592">
        <f t="array" ref="Q592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92">
        <f>HR_Data[[#This Row],[Salary]]*HR_Data[[#This Row],[Bonus %]]</f>
        <v>7029.45</v>
      </c>
      <c r="S592">
        <f>HR_Data[[#This Row],[Salary]]+HR_Data[[#This Row],[Bonus Amount]]</f>
        <v>53892.45</v>
      </c>
      <c r="T592" t="str">
        <f>IF(HR_Data[[#This Row],[Attrition]]="Yes","Inactive","Active")</f>
        <v>Active</v>
      </c>
      <c r="U592" t="str">
        <f t="array" ref="U592">_xlfn.IFS(HR_Data[[#This Row],[Salary]]&gt;=100000,"A",HR_Data[[#This Row],[Salary]]&gt;=70000,"B",HR_Data[[#This Row],[Salary]]&gt;=50000,"C",TRUE(),"D")</f>
        <v>D</v>
      </c>
      <c r="V592" t="str">
        <f t="array" ref="V592">_xlfn.IFS(HR_Data[[#This Row],[Experience]]&gt;=15,"Expert",HR_Data[[#This Row],[Experience]]&gt;=8,"Senior",HR_Data[[#This Row],[Experience]]&gt;=3,"Mid-Level",TRUE(),"Junior")</f>
        <v>Mid-Level</v>
      </c>
    </row>
    <row r="593" spans="1:22" ht="14.25" customHeight="1" x14ac:dyDescent="0.3">
      <c r="A593" t="s">
        <v>1382</v>
      </c>
      <c r="B593" t="s">
        <v>558</v>
      </c>
      <c r="C593" t="s">
        <v>55</v>
      </c>
      <c r="D593" t="s">
        <v>33</v>
      </c>
      <c r="E593">
        <v>50</v>
      </c>
      <c r="F593">
        <v>130482</v>
      </c>
      <c r="G593">
        <v>31</v>
      </c>
      <c r="H593" t="s">
        <v>1383</v>
      </c>
      <c r="I593" t="s">
        <v>35</v>
      </c>
      <c r="J593" t="s">
        <v>28</v>
      </c>
      <c r="K593" t="s">
        <v>29</v>
      </c>
      <c r="L593" t="str">
        <f t="array" ref="L593">_xlfn.IFS(HR_Data[[#This Row],[Experience]]&lt;2,"0-2 Years",HR_Data[[#This Row],[Experience]]&lt;5,"2-5 Years",HR_Data[[#This Row],[Experience]]&lt;10,"5-10 Years",TRUE(),"10+ Years")</f>
        <v>10+ Years</v>
      </c>
      <c r="M593" t="str">
        <f t="array" ref="M593">_xlfn.IFS(HR_Data[[#This Row],[Salary]]&lt;40000,"Low",HR_Data[[#This Row],[Salary]]&lt;70000,"Medium",HR_Data[[#This Row],[Salary]]&lt;100000,"High",TRUE(),"Very High")</f>
        <v>Very High</v>
      </c>
      <c r="N593" t="str">
        <f t="array" ref="N593">_xlfn.IFS(HR_Data[[#This Row],[Age]]&lt;25,"18-24",HR_Data[[#This Row],[Age]]&lt;35,"25-34",HR_Data[[#This Row],[Age]]&lt;45,"35-44",TRUE(),"45+")</f>
        <v>45+</v>
      </c>
      <c r="O593">
        <f>YEAR(HR_Data[[#This Row],[Joining Date]])</f>
        <v>2018</v>
      </c>
      <c r="P593" t="str">
        <f>TEXT(HR_Data[[#This Row],[Joining Date]],"mmmm")</f>
        <v>April</v>
      </c>
      <c r="Q593">
        <f t="array" ref="Q59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93">
        <f>HR_Data[[#This Row],[Salary]]*HR_Data[[#This Row],[Bonus %]]</f>
        <v>19572.3</v>
      </c>
      <c r="S593">
        <f>HR_Data[[#This Row],[Salary]]+HR_Data[[#This Row],[Bonus Amount]]</f>
        <v>150054.29999999999</v>
      </c>
      <c r="T593" t="str">
        <f>IF(HR_Data[[#This Row],[Attrition]]="Yes","Inactive","Active")</f>
        <v>Active</v>
      </c>
      <c r="U593" t="str">
        <f t="array" ref="U593">_xlfn.IFS(HR_Data[[#This Row],[Salary]]&gt;=100000,"A",HR_Data[[#This Row],[Salary]]&gt;=70000,"B",HR_Data[[#This Row],[Salary]]&gt;=50000,"C",TRUE(),"D")</f>
        <v>A</v>
      </c>
      <c r="V593" t="str">
        <f t="array" ref="V593">_xlfn.IFS(HR_Data[[#This Row],[Experience]]&gt;=15,"Expert",HR_Data[[#This Row],[Experience]]&gt;=8,"Senior",HR_Data[[#This Row],[Experience]]&gt;=3,"Mid-Level",TRUE(),"Junior")</f>
        <v>Expert</v>
      </c>
    </row>
    <row r="594" spans="1:22" ht="14.25" customHeight="1" x14ac:dyDescent="0.3">
      <c r="A594" t="s">
        <v>1384</v>
      </c>
      <c r="B594" t="s">
        <v>193</v>
      </c>
      <c r="C594" t="s">
        <v>134</v>
      </c>
      <c r="D594" t="s">
        <v>33</v>
      </c>
      <c r="E594">
        <v>41</v>
      </c>
      <c r="F594">
        <v>67150</v>
      </c>
      <c r="G594">
        <v>12</v>
      </c>
      <c r="H594" t="s">
        <v>1385</v>
      </c>
      <c r="I594" t="s">
        <v>42</v>
      </c>
      <c r="J594" t="s">
        <v>28</v>
      </c>
      <c r="K594" t="s">
        <v>29</v>
      </c>
      <c r="L594" t="str">
        <f t="array" ref="L594">_xlfn.IFS(HR_Data[[#This Row],[Experience]]&lt;2,"0-2 Years",HR_Data[[#This Row],[Experience]]&lt;5,"2-5 Years",HR_Data[[#This Row],[Experience]]&lt;10,"5-10 Years",TRUE(),"10+ Years")</f>
        <v>10+ Years</v>
      </c>
      <c r="M594" t="str">
        <f t="array" ref="M594">_xlfn.IFS(HR_Data[[#This Row],[Salary]]&lt;40000,"Low",HR_Data[[#This Row],[Salary]]&lt;70000,"Medium",HR_Data[[#This Row],[Salary]]&lt;100000,"High",TRUE(),"Very High")</f>
        <v>Medium</v>
      </c>
      <c r="N594" t="str">
        <f t="array" ref="N594">_xlfn.IFS(HR_Data[[#This Row],[Age]]&lt;25,"18-24",HR_Data[[#This Row],[Age]]&lt;35,"25-34",HR_Data[[#This Row],[Age]]&lt;45,"35-44",TRUE(),"45+")</f>
        <v>35-44</v>
      </c>
      <c r="O594">
        <f>YEAR(HR_Data[[#This Row],[Joining Date]])</f>
        <v>2021</v>
      </c>
      <c r="P594" t="str">
        <f>TEXT(HR_Data[[#This Row],[Joining Date]],"mmmm")</f>
        <v>January</v>
      </c>
      <c r="Q594">
        <f t="array" ref="Q594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94">
        <f>HR_Data[[#This Row],[Salary]]*HR_Data[[#This Row],[Bonus %]]</f>
        <v>10072.5</v>
      </c>
      <c r="S594">
        <f>HR_Data[[#This Row],[Salary]]+HR_Data[[#This Row],[Bonus Amount]]</f>
        <v>77222.5</v>
      </c>
      <c r="T594" t="str">
        <f>IF(HR_Data[[#This Row],[Attrition]]="Yes","Inactive","Active")</f>
        <v>Active</v>
      </c>
      <c r="U594" t="str">
        <f t="array" ref="U594">_xlfn.IFS(HR_Data[[#This Row],[Salary]]&gt;=100000,"A",HR_Data[[#This Row],[Salary]]&gt;=70000,"B",HR_Data[[#This Row],[Salary]]&gt;=50000,"C",TRUE(),"D")</f>
        <v>C</v>
      </c>
      <c r="V594" t="str">
        <f t="array" ref="V594">_xlfn.IFS(HR_Data[[#This Row],[Experience]]&gt;=15,"Expert",HR_Data[[#This Row],[Experience]]&gt;=8,"Senior",HR_Data[[#This Row],[Experience]]&gt;=3,"Mid-Level",TRUE(),"Junior")</f>
        <v>Senior</v>
      </c>
    </row>
    <row r="595" spans="1:22" ht="14.25" customHeight="1" x14ac:dyDescent="0.3">
      <c r="A595" t="s">
        <v>1386</v>
      </c>
      <c r="B595" t="s">
        <v>231</v>
      </c>
      <c r="C595" t="s">
        <v>70</v>
      </c>
      <c r="D595" t="s">
        <v>33</v>
      </c>
      <c r="E595">
        <v>55</v>
      </c>
      <c r="F595">
        <v>123504</v>
      </c>
      <c r="G595">
        <v>29</v>
      </c>
      <c r="H595" t="s">
        <v>1387</v>
      </c>
      <c r="I595" t="s">
        <v>72</v>
      </c>
      <c r="J595" t="s">
        <v>46</v>
      </c>
      <c r="K595" t="s">
        <v>29</v>
      </c>
      <c r="L595" t="str">
        <f t="array" ref="L595">_xlfn.IFS(HR_Data[[#This Row],[Experience]]&lt;2,"0-2 Years",HR_Data[[#This Row],[Experience]]&lt;5,"2-5 Years",HR_Data[[#This Row],[Experience]]&lt;10,"5-10 Years",TRUE(),"10+ Years")</f>
        <v>10+ Years</v>
      </c>
      <c r="M595" t="str">
        <f t="array" ref="M595">_xlfn.IFS(HR_Data[[#This Row],[Salary]]&lt;40000,"Low",HR_Data[[#This Row],[Salary]]&lt;70000,"Medium",HR_Data[[#This Row],[Salary]]&lt;100000,"High",TRUE(),"Very High")</f>
        <v>Very High</v>
      </c>
      <c r="N595" t="str">
        <f t="array" ref="N595">_xlfn.IFS(HR_Data[[#This Row],[Age]]&lt;25,"18-24",HR_Data[[#This Row],[Age]]&lt;35,"25-34",HR_Data[[#This Row],[Age]]&lt;45,"35-44",TRUE(),"45+")</f>
        <v>45+</v>
      </c>
      <c r="O595">
        <f>YEAR(HR_Data[[#This Row],[Joining Date]])</f>
        <v>2018</v>
      </c>
      <c r="P595" t="str">
        <f>TEXT(HR_Data[[#This Row],[Joining Date]],"mmmm")</f>
        <v>November</v>
      </c>
      <c r="Q595">
        <f t="array" ref="Q595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595">
        <f>HR_Data[[#This Row],[Salary]]*HR_Data[[#This Row],[Bonus %]]</f>
        <v>6175.2000000000007</v>
      </c>
      <c r="S595">
        <f>HR_Data[[#This Row],[Salary]]+HR_Data[[#This Row],[Bonus Amount]]</f>
        <v>129679.2</v>
      </c>
      <c r="T595" t="str">
        <f>IF(HR_Data[[#This Row],[Attrition]]="Yes","Inactive","Active")</f>
        <v>Active</v>
      </c>
      <c r="U595" t="str">
        <f t="array" ref="U595">_xlfn.IFS(HR_Data[[#This Row],[Salary]]&gt;=100000,"A",HR_Data[[#This Row],[Salary]]&gt;=70000,"B",HR_Data[[#This Row],[Salary]]&gt;=50000,"C",TRUE(),"D")</f>
        <v>A</v>
      </c>
      <c r="V595" t="str">
        <f t="array" ref="V595">_xlfn.IFS(HR_Data[[#This Row],[Experience]]&gt;=15,"Expert",HR_Data[[#This Row],[Experience]]&gt;=8,"Senior",HR_Data[[#This Row],[Experience]]&gt;=3,"Mid-Level",TRUE(),"Junior")</f>
        <v>Expert</v>
      </c>
    </row>
    <row r="596" spans="1:22" ht="14.25" customHeight="1" x14ac:dyDescent="0.3">
      <c r="A596" t="s">
        <v>1388</v>
      </c>
      <c r="B596" t="s">
        <v>342</v>
      </c>
      <c r="C596" t="s">
        <v>93</v>
      </c>
      <c r="D596" t="s">
        <v>25</v>
      </c>
      <c r="E596">
        <v>57</v>
      </c>
      <c r="F596">
        <v>131833</v>
      </c>
      <c r="G596">
        <v>35</v>
      </c>
      <c r="H596" t="s">
        <v>1389</v>
      </c>
      <c r="I596" t="s">
        <v>80</v>
      </c>
      <c r="J596" t="s">
        <v>46</v>
      </c>
      <c r="K596" t="s">
        <v>29</v>
      </c>
      <c r="L596" t="str">
        <f t="array" ref="L596">_xlfn.IFS(HR_Data[[#This Row],[Experience]]&lt;2,"0-2 Years",HR_Data[[#This Row],[Experience]]&lt;5,"2-5 Years",HR_Data[[#This Row],[Experience]]&lt;10,"5-10 Years",TRUE(),"10+ Years")</f>
        <v>10+ Years</v>
      </c>
      <c r="M596" t="str">
        <f t="array" ref="M596">_xlfn.IFS(HR_Data[[#This Row],[Salary]]&lt;40000,"Low",HR_Data[[#This Row],[Salary]]&lt;70000,"Medium",HR_Data[[#This Row],[Salary]]&lt;100000,"High",TRUE(),"Very High")</f>
        <v>Very High</v>
      </c>
      <c r="N596" t="str">
        <f t="array" ref="N596">_xlfn.IFS(HR_Data[[#This Row],[Age]]&lt;25,"18-24",HR_Data[[#This Row],[Age]]&lt;35,"25-34",HR_Data[[#This Row],[Age]]&lt;45,"35-44",TRUE(),"45+")</f>
        <v>45+</v>
      </c>
      <c r="O596">
        <f>YEAR(HR_Data[[#This Row],[Joining Date]])</f>
        <v>2024</v>
      </c>
      <c r="P596" t="str">
        <f>TEXT(HR_Data[[#This Row],[Joining Date]],"mmmm")</f>
        <v>March</v>
      </c>
      <c r="Q596">
        <f t="array" ref="Q596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596">
        <f>HR_Data[[#This Row],[Salary]]*HR_Data[[#This Row],[Bonus %]]</f>
        <v>6591.6500000000005</v>
      </c>
      <c r="S596">
        <f>HR_Data[[#This Row],[Salary]]+HR_Data[[#This Row],[Bonus Amount]]</f>
        <v>138424.65</v>
      </c>
      <c r="T596" t="str">
        <f>IF(HR_Data[[#This Row],[Attrition]]="Yes","Inactive","Active")</f>
        <v>Active</v>
      </c>
      <c r="U596" t="str">
        <f t="array" ref="U596">_xlfn.IFS(HR_Data[[#This Row],[Salary]]&gt;=100000,"A",HR_Data[[#This Row],[Salary]]&gt;=70000,"B",HR_Data[[#This Row],[Salary]]&gt;=50000,"C",TRUE(),"D")</f>
        <v>A</v>
      </c>
      <c r="V596" t="str">
        <f t="array" ref="V596">_xlfn.IFS(HR_Data[[#This Row],[Experience]]&gt;=15,"Expert",HR_Data[[#This Row],[Experience]]&gt;=8,"Senior",HR_Data[[#This Row],[Experience]]&gt;=3,"Mid-Level",TRUE(),"Junior")</f>
        <v>Expert</v>
      </c>
    </row>
    <row r="597" spans="1:22" ht="14.25" customHeight="1" x14ac:dyDescent="0.3">
      <c r="A597" t="s">
        <v>1390</v>
      </c>
      <c r="B597" t="s">
        <v>1391</v>
      </c>
      <c r="C597" t="s">
        <v>70</v>
      </c>
      <c r="D597" t="s">
        <v>33</v>
      </c>
      <c r="E597">
        <v>30</v>
      </c>
      <c r="F597">
        <v>31028</v>
      </c>
      <c r="G597">
        <v>0</v>
      </c>
      <c r="H597" t="s">
        <v>1392</v>
      </c>
      <c r="I597" t="s">
        <v>62</v>
      </c>
      <c r="J597" t="s">
        <v>28</v>
      </c>
      <c r="K597" t="s">
        <v>29</v>
      </c>
      <c r="L597" t="str">
        <f t="array" ref="L597">_xlfn.IFS(HR_Data[[#This Row],[Experience]]&lt;2,"0-2 Years",HR_Data[[#This Row],[Experience]]&lt;5,"2-5 Years",HR_Data[[#This Row],[Experience]]&lt;10,"5-10 Years",TRUE(),"10+ Years")</f>
        <v>0-2 Years</v>
      </c>
      <c r="M597" t="str">
        <f t="array" ref="M597">_xlfn.IFS(HR_Data[[#This Row],[Salary]]&lt;40000,"Low",HR_Data[[#This Row],[Salary]]&lt;70000,"Medium",HR_Data[[#This Row],[Salary]]&lt;100000,"High",TRUE(),"Very High")</f>
        <v>Low</v>
      </c>
      <c r="N597" t="str">
        <f t="array" ref="N597">_xlfn.IFS(HR_Data[[#This Row],[Age]]&lt;25,"18-24",HR_Data[[#This Row],[Age]]&lt;35,"25-34",HR_Data[[#This Row],[Age]]&lt;45,"35-44",TRUE(),"45+")</f>
        <v>25-34</v>
      </c>
      <c r="O597">
        <f>YEAR(HR_Data[[#This Row],[Joining Date]])</f>
        <v>2020</v>
      </c>
      <c r="P597" t="str">
        <f>TEXT(HR_Data[[#This Row],[Joining Date]],"mmmm")</f>
        <v>July</v>
      </c>
      <c r="Q597">
        <f t="array" ref="Q59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597">
        <f>HR_Data[[#This Row],[Salary]]*HR_Data[[#This Row],[Bonus %]]</f>
        <v>4654.2</v>
      </c>
      <c r="S597">
        <f>HR_Data[[#This Row],[Salary]]+HR_Data[[#This Row],[Bonus Amount]]</f>
        <v>35682.199999999997</v>
      </c>
      <c r="T597" t="str">
        <f>IF(HR_Data[[#This Row],[Attrition]]="Yes","Inactive","Active")</f>
        <v>Active</v>
      </c>
      <c r="U597" t="str">
        <f t="array" ref="U597">_xlfn.IFS(HR_Data[[#This Row],[Salary]]&gt;=100000,"A",HR_Data[[#This Row],[Salary]]&gt;=70000,"B",HR_Data[[#This Row],[Salary]]&gt;=50000,"C",TRUE(),"D")</f>
        <v>D</v>
      </c>
      <c r="V597" t="str">
        <f t="array" ref="V597">_xlfn.IFS(HR_Data[[#This Row],[Experience]]&gt;=15,"Expert",HR_Data[[#This Row],[Experience]]&gt;=8,"Senior",HR_Data[[#This Row],[Experience]]&gt;=3,"Mid-Level",TRUE(),"Junior")</f>
        <v>Junior</v>
      </c>
    </row>
    <row r="598" spans="1:22" ht="14.25" customHeight="1" x14ac:dyDescent="0.3">
      <c r="A598" t="s">
        <v>1393</v>
      </c>
      <c r="B598" t="s">
        <v>245</v>
      </c>
      <c r="C598" t="s">
        <v>93</v>
      </c>
      <c r="D598" t="s">
        <v>25</v>
      </c>
      <c r="E598">
        <v>21</v>
      </c>
      <c r="F598">
        <v>38822</v>
      </c>
      <c r="G598">
        <v>2</v>
      </c>
      <c r="H598" t="s">
        <v>934</v>
      </c>
      <c r="I598" t="s">
        <v>57</v>
      </c>
      <c r="J598" t="s">
        <v>63</v>
      </c>
      <c r="K598" t="s">
        <v>29</v>
      </c>
      <c r="L598" t="str">
        <f t="array" ref="L598">_xlfn.IFS(HR_Data[[#This Row],[Experience]]&lt;2,"0-2 Years",HR_Data[[#This Row],[Experience]]&lt;5,"2-5 Years",HR_Data[[#This Row],[Experience]]&lt;10,"5-10 Years",TRUE(),"10+ Years")</f>
        <v>2-5 Years</v>
      </c>
      <c r="M598" t="str">
        <f t="array" ref="M598">_xlfn.IFS(HR_Data[[#This Row],[Salary]]&lt;40000,"Low",HR_Data[[#This Row],[Salary]]&lt;70000,"Medium",HR_Data[[#This Row],[Salary]]&lt;100000,"High",TRUE(),"Very High")</f>
        <v>Low</v>
      </c>
      <c r="N598" t="str">
        <f t="array" ref="N598">_xlfn.IFS(HR_Data[[#This Row],[Age]]&lt;25,"18-24",HR_Data[[#This Row],[Age]]&lt;35,"25-34",HR_Data[[#This Row],[Age]]&lt;45,"35-44",TRUE(),"45+")</f>
        <v>18-24</v>
      </c>
      <c r="O598">
        <f>YEAR(HR_Data[[#This Row],[Joining Date]])</f>
        <v>2026</v>
      </c>
      <c r="P598" t="str">
        <f>TEXT(HR_Data[[#This Row],[Joining Date]],"mmmm")</f>
        <v>April</v>
      </c>
      <c r="Q598">
        <f t="array" ref="Q598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598">
        <f>HR_Data[[#This Row],[Salary]]*HR_Data[[#This Row],[Bonus %]]</f>
        <v>7764.4000000000005</v>
      </c>
      <c r="S598">
        <f>HR_Data[[#This Row],[Salary]]+HR_Data[[#This Row],[Bonus Amount]]</f>
        <v>46586.400000000001</v>
      </c>
      <c r="T598" t="str">
        <f>IF(HR_Data[[#This Row],[Attrition]]="Yes","Inactive","Active")</f>
        <v>Active</v>
      </c>
      <c r="U598" t="str">
        <f t="array" ref="U598">_xlfn.IFS(HR_Data[[#This Row],[Salary]]&gt;=100000,"A",HR_Data[[#This Row],[Salary]]&gt;=70000,"B",HR_Data[[#This Row],[Salary]]&gt;=50000,"C",TRUE(),"D")</f>
        <v>D</v>
      </c>
      <c r="V598" t="str">
        <f t="array" ref="V598">_xlfn.IFS(HR_Data[[#This Row],[Experience]]&gt;=15,"Expert",HR_Data[[#This Row],[Experience]]&gt;=8,"Senior",HR_Data[[#This Row],[Experience]]&gt;=3,"Mid-Level",TRUE(),"Junior")</f>
        <v>Junior</v>
      </c>
    </row>
    <row r="599" spans="1:22" ht="14.25" customHeight="1" x14ac:dyDescent="0.3">
      <c r="A599" t="s">
        <v>1394</v>
      </c>
      <c r="B599" t="s">
        <v>313</v>
      </c>
      <c r="C599" t="s">
        <v>40</v>
      </c>
      <c r="D599" t="s">
        <v>33</v>
      </c>
      <c r="E599">
        <v>32</v>
      </c>
      <c r="F599">
        <v>33407</v>
      </c>
      <c r="G599">
        <v>5</v>
      </c>
      <c r="H599" t="s">
        <v>1395</v>
      </c>
      <c r="I599" t="s">
        <v>35</v>
      </c>
      <c r="J599" t="s">
        <v>90</v>
      </c>
      <c r="K599" t="s">
        <v>29</v>
      </c>
      <c r="L599" t="str">
        <f t="array" ref="L599">_xlfn.IFS(HR_Data[[#This Row],[Experience]]&lt;2,"0-2 Years",HR_Data[[#This Row],[Experience]]&lt;5,"2-5 Years",HR_Data[[#This Row],[Experience]]&lt;10,"5-10 Years",TRUE(),"10+ Years")</f>
        <v>5-10 Years</v>
      </c>
      <c r="M599" t="str">
        <f t="array" ref="M599">_xlfn.IFS(HR_Data[[#This Row],[Salary]]&lt;40000,"Low",HR_Data[[#This Row],[Salary]]&lt;70000,"Medium",HR_Data[[#This Row],[Salary]]&lt;100000,"High",TRUE(),"Very High")</f>
        <v>Low</v>
      </c>
      <c r="N599" t="str">
        <f t="array" ref="N599">_xlfn.IFS(HR_Data[[#This Row],[Age]]&lt;25,"18-24",HR_Data[[#This Row],[Age]]&lt;35,"25-34",HR_Data[[#This Row],[Age]]&lt;45,"35-44",TRUE(),"45+")</f>
        <v>25-34</v>
      </c>
      <c r="O599">
        <f>YEAR(HR_Data[[#This Row],[Joining Date]])</f>
        <v>2024</v>
      </c>
      <c r="P599" t="str">
        <f>TEXT(HR_Data[[#This Row],[Joining Date]],"mmmm")</f>
        <v>February</v>
      </c>
      <c r="Q599">
        <f t="array" ref="Q599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599">
        <f>HR_Data[[#This Row],[Salary]]*HR_Data[[#This Row],[Bonus %]]</f>
        <v>0</v>
      </c>
      <c r="S599">
        <f>HR_Data[[#This Row],[Salary]]+HR_Data[[#This Row],[Bonus Amount]]</f>
        <v>33407</v>
      </c>
      <c r="T599" t="str">
        <f>IF(HR_Data[[#This Row],[Attrition]]="Yes","Inactive","Active")</f>
        <v>Active</v>
      </c>
      <c r="U599" t="str">
        <f t="array" ref="U599">_xlfn.IFS(HR_Data[[#This Row],[Salary]]&gt;=100000,"A",HR_Data[[#This Row],[Salary]]&gt;=70000,"B",HR_Data[[#This Row],[Salary]]&gt;=50000,"C",TRUE(),"D")</f>
        <v>D</v>
      </c>
      <c r="V599" t="str">
        <f t="array" ref="V599">_xlfn.IFS(HR_Data[[#This Row],[Experience]]&gt;=15,"Expert",HR_Data[[#This Row],[Experience]]&gt;=8,"Senior",HR_Data[[#This Row],[Experience]]&gt;=3,"Mid-Level",TRUE(),"Junior")</f>
        <v>Mid-Level</v>
      </c>
    </row>
    <row r="600" spans="1:22" ht="14.25" customHeight="1" x14ac:dyDescent="0.3">
      <c r="A600" t="s">
        <v>1396</v>
      </c>
      <c r="B600" t="s">
        <v>594</v>
      </c>
      <c r="C600" t="s">
        <v>70</v>
      </c>
      <c r="D600" t="s">
        <v>25</v>
      </c>
      <c r="E600">
        <v>40</v>
      </c>
      <c r="F600">
        <v>92849</v>
      </c>
      <c r="G600">
        <v>19</v>
      </c>
      <c r="H600" t="s">
        <v>1397</v>
      </c>
      <c r="I600" t="s">
        <v>35</v>
      </c>
      <c r="J600" t="s">
        <v>90</v>
      </c>
      <c r="K600" t="s">
        <v>29</v>
      </c>
      <c r="L600" t="str">
        <f t="array" ref="L600">_xlfn.IFS(HR_Data[[#This Row],[Experience]]&lt;2,"0-2 Years",HR_Data[[#This Row],[Experience]]&lt;5,"2-5 Years",HR_Data[[#This Row],[Experience]]&lt;10,"5-10 Years",TRUE(),"10+ Years")</f>
        <v>10+ Years</v>
      </c>
      <c r="M600" t="str">
        <f t="array" ref="M600">_xlfn.IFS(HR_Data[[#This Row],[Salary]]&lt;40000,"Low",HR_Data[[#This Row],[Salary]]&lt;70000,"Medium",HR_Data[[#This Row],[Salary]]&lt;100000,"High",TRUE(),"Very High")</f>
        <v>High</v>
      </c>
      <c r="N600" t="str">
        <f t="array" ref="N600">_xlfn.IFS(HR_Data[[#This Row],[Age]]&lt;25,"18-24",HR_Data[[#This Row],[Age]]&lt;35,"25-34",HR_Data[[#This Row],[Age]]&lt;45,"35-44",TRUE(),"45+")</f>
        <v>35-44</v>
      </c>
      <c r="O600">
        <f>YEAR(HR_Data[[#This Row],[Joining Date]])</f>
        <v>2015</v>
      </c>
      <c r="P600" t="str">
        <f>TEXT(HR_Data[[#This Row],[Joining Date]],"mmmm")</f>
        <v>July</v>
      </c>
      <c r="Q600">
        <f t="array" ref="Q600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600">
        <f>HR_Data[[#This Row],[Salary]]*HR_Data[[#This Row],[Bonus %]]</f>
        <v>0</v>
      </c>
      <c r="S600">
        <f>HR_Data[[#This Row],[Salary]]+HR_Data[[#This Row],[Bonus Amount]]</f>
        <v>92849</v>
      </c>
      <c r="T600" t="str">
        <f>IF(HR_Data[[#This Row],[Attrition]]="Yes","Inactive","Active")</f>
        <v>Active</v>
      </c>
      <c r="U600" t="str">
        <f t="array" ref="U600">_xlfn.IFS(HR_Data[[#This Row],[Salary]]&gt;=100000,"A",HR_Data[[#This Row],[Salary]]&gt;=70000,"B",HR_Data[[#This Row],[Salary]]&gt;=50000,"C",TRUE(),"D")</f>
        <v>B</v>
      </c>
      <c r="V600" t="str">
        <f t="array" ref="V600">_xlfn.IFS(HR_Data[[#This Row],[Experience]]&gt;=15,"Expert",HR_Data[[#This Row],[Experience]]&gt;=8,"Senior",HR_Data[[#This Row],[Experience]]&gt;=3,"Mid-Level",TRUE(),"Junior")</f>
        <v>Expert</v>
      </c>
    </row>
    <row r="601" spans="1:22" ht="14.25" customHeight="1" x14ac:dyDescent="0.3">
      <c r="A601" t="s">
        <v>1398</v>
      </c>
      <c r="B601" t="s">
        <v>316</v>
      </c>
      <c r="C601" t="s">
        <v>32</v>
      </c>
      <c r="D601" t="s">
        <v>25</v>
      </c>
      <c r="E601">
        <v>29</v>
      </c>
      <c r="F601">
        <v>25000</v>
      </c>
      <c r="G601">
        <v>0</v>
      </c>
      <c r="H601" t="s">
        <v>1125</v>
      </c>
      <c r="I601" t="s">
        <v>72</v>
      </c>
      <c r="J601" t="s">
        <v>46</v>
      </c>
      <c r="K601" t="s">
        <v>29</v>
      </c>
      <c r="L601" t="str">
        <f t="array" ref="L601">_xlfn.IFS(HR_Data[[#This Row],[Experience]]&lt;2,"0-2 Years",HR_Data[[#This Row],[Experience]]&lt;5,"2-5 Years",HR_Data[[#This Row],[Experience]]&lt;10,"5-10 Years",TRUE(),"10+ Years")</f>
        <v>0-2 Years</v>
      </c>
      <c r="M601" t="str">
        <f t="array" ref="M601">_xlfn.IFS(HR_Data[[#This Row],[Salary]]&lt;40000,"Low",HR_Data[[#This Row],[Salary]]&lt;70000,"Medium",HR_Data[[#This Row],[Salary]]&lt;100000,"High",TRUE(),"Very High")</f>
        <v>Low</v>
      </c>
      <c r="N601" t="str">
        <f t="array" ref="N601">_xlfn.IFS(HR_Data[[#This Row],[Age]]&lt;25,"18-24",HR_Data[[#This Row],[Age]]&lt;35,"25-34",HR_Data[[#This Row],[Age]]&lt;45,"35-44",TRUE(),"45+")</f>
        <v>25-34</v>
      </c>
      <c r="O601">
        <f>YEAR(HR_Data[[#This Row],[Joining Date]])</f>
        <v>2023</v>
      </c>
      <c r="P601" t="str">
        <f>TEXT(HR_Data[[#This Row],[Joining Date]],"mmmm")</f>
        <v>August</v>
      </c>
      <c r="Q601">
        <f t="array" ref="Q601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601">
        <f>HR_Data[[#This Row],[Salary]]*HR_Data[[#This Row],[Bonus %]]</f>
        <v>1250</v>
      </c>
      <c r="S601">
        <f>HR_Data[[#This Row],[Salary]]+HR_Data[[#This Row],[Bonus Amount]]</f>
        <v>26250</v>
      </c>
      <c r="T601" t="str">
        <f>IF(HR_Data[[#This Row],[Attrition]]="Yes","Inactive","Active")</f>
        <v>Active</v>
      </c>
      <c r="U601" t="str">
        <f t="array" ref="U601">_xlfn.IFS(HR_Data[[#This Row],[Salary]]&gt;=100000,"A",HR_Data[[#This Row],[Salary]]&gt;=70000,"B",HR_Data[[#This Row],[Salary]]&gt;=50000,"C",TRUE(),"D")</f>
        <v>D</v>
      </c>
      <c r="V601" t="str">
        <f t="array" ref="V601">_xlfn.IFS(HR_Data[[#This Row],[Experience]]&gt;=15,"Expert",HR_Data[[#This Row],[Experience]]&gt;=8,"Senior",HR_Data[[#This Row],[Experience]]&gt;=3,"Mid-Level",TRUE(),"Junior")</f>
        <v>Junior</v>
      </c>
    </row>
    <row r="602" spans="1:22" ht="14.25" customHeight="1" x14ac:dyDescent="0.3">
      <c r="A602" t="s">
        <v>1399</v>
      </c>
      <c r="B602" t="s">
        <v>831</v>
      </c>
      <c r="C602" t="s">
        <v>55</v>
      </c>
      <c r="D602" t="s">
        <v>33</v>
      </c>
      <c r="E602">
        <v>60</v>
      </c>
      <c r="F602">
        <v>132587</v>
      </c>
      <c r="G602">
        <v>34</v>
      </c>
      <c r="H602" t="s">
        <v>1400</v>
      </c>
      <c r="I602" t="s">
        <v>42</v>
      </c>
      <c r="J602" t="s">
        <v>36</v>
      </c>
      <c r="K602" t="s">
        <v>29</v>
      </c>
      <c r="L602" t="str">
        <f t="array" ref="L602">_xlfn.IFS(HR_Data[[#This Row],[Experience]]&lt;2,"0-2 Years",HR_Data[[#This Row],[Experience]]&lt;5,"2-5 Years",HR_Data[[#This Row],[Experience]]&lt;10,"5-10 Years",TRUE(),"10+ Years")</f>
        <v>10+ Years</v>
      </c>
      <c r="M602" t="str">
        <f t="array" ref="M602">_xlfn.IFS(HR_Data[[#This Row],[Salary]]&lt;40000,"Low",HR_Data[[#This Row],[Salary]]&lt;70000,"Medium",HR_Data[[#This Row],[Salary]]&lt;100000,"High",TRUE(),"Very High")</f>
        <v>Very High</v>
      </c>
      <c r="N602" t="str">
        <f t="array" ref="N602">_xlfn.IFS(HR_Data[[#This Row],[Age]]&lt;25,"18-24",HR_Data[[#This Row],[Age]]&lt;35,"25-34",HR_Data[[#This Row],[Age]]&lt;45,"35-44",TRUE(),"45+")</f>
        <v>45+</v>
      </c>
      <c r="O602">
        <f>YEAR(HR_Data[[#This Row],[Joining Date]])</f>
        <v>2016</v>
      </c>
      <c r="P602" t="str">
        <f>TEXT(HR_Data[[#This Row],[Joining Date]],"mmmm")</f>
        <v>October</v>
      </c>
      <c r="Q602">
        <f t="array" ref="Q60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02">
        <f>HR_Data[[#This Row],[Salary]]*HR_Data[[#This Row],[Bonus %]]</f>
        <v>13258.7</v>
      </c>
      <c r="S602">
        <f>HR_Data[[#This Row],[Salary]]+HR_Data[[#This Row],[Bonus Amount]]</f>
        <v>145845.70000000001</v>
      </c>
      <c r="T602" t="str">
        <f>IF(HR_Data[[#This Row],[Attrition]]="Yes","Inactive","Active")</f>
        <v>Active</v>
      </c>
      <c r="U602" t="str">
        <f t="array" ref="U602">_xlfn.IFS(HR_Data[[#This Row],[Salary]]&gt;=100000,"A",HR_Data[[#This Row],[Salary]]&gt;=70000,"B",HR_Data[[#This Row],[Salary]]&gt;=50000,"C",TRUE(),"D")</f>
        <v>A</v>
      </c>
      <c r="V602" t="str">
        <f t="array" ref="V602">_xlfn.IFS(HR_Data[[#This Row],[Experience]]&gt;=15,"Expert",HR_Data[[#This Row],[Experience]]&gt;=8,"Senior",HR_Data[[#This Row],[Experience]]&gt;=3,"Mid-Level",TRUE(),"Junior")</f>
        <v>Expert</v>
      </c>
    </row>
    <row r="603" spans="1:22" ht="14.25" customHeight="1" x14ac:dyDescent="0.3">
      <c r="A603" t="s">
        <v>1401</v>
      </c>
      <c r="B603" t="s">
        <v>23</v>
      </c>
      <c r="C603" t="s">
        <v>75</v>
      </c>
      <c r="D603" t="s">
        <v>33</v>
      </c>
      <c r="E603">
        <v>48</v>
      </c>
      <c r="F603">
        <v>109048</v>
      </c>
      <c r="G603">
        <v>24</v>
      </c>
      <c r="H603" t="s">
        <v>1402</v>
      </c>
      <c r="I603" t="s">
        <v>132</v>
      </c>
      <c r="J603" t="s">
        <v>28</v>
      </c>
      <c r="K603" t="s">
        <v>29</v>
      </c>
      <c r="L603" t="str">
        <f t="array" ref="L603">_xlfn.IFS(HR_Data[[#This Row],[Experience]]&lt;2,"0-2 Years",HR_Data[[#This Row],[Experience]]&lt;5,"2-5 Years",HR_Data[[#This Row],[Experience]]&lt;10,"5-10 Years",TRUE(),"10+ Years")</f>
        <v>10+ Years</v>
      </c>
      <c r="M603" t="str">
        <f t="array" ref="M603">_xlfn.IFS(HR_Data[[#This Row],[Salary]]&lt;40000,"Low",HR_Data[[#This Row],[Salary]]&lt;70000,"Medium",HR_Data[[#This Row],[Salary]]&lt;100000,"High",TRUE(),"Very High")</f>
        <v>Very High</v>
      </c>
      <c r="N603" t="str">
        <f t="array" ref="N603">_xlfn.IFS(HR_Data[[#This Row],[Age]]&lt;25,"18-24",HR_Data[[#This Row],[Age]]&lt;35,"25-34",HR_Data[[#This Row],[Age]]&lt;45,"35-44",TRUE(),"45+")</f>
        <v>45+</v>
      </c>
      <c r="O603">
        <f>YEAR(HR_Data[[#This Row],[Joining Date]])</f>
        <v>2015</v>
      </c>
      <c r="P603" t="str">
        <f>TEXT(HR_Data[[#This Row],[Joining Date]],"mmmm")</f>
        <v>December</v>
      </c>
      <c r="Q603">
        <f t="array" ref="Q60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603">
        <f>HR_Data[[#This Row],[Salary]]*HR_Data[[#This Row],[Bonus %]]</f>
        <v>16357.199999999999</v>
      </c>
      <c r="S603">
        <f>HR_Data[[#This Row],[Salary]]+HR_Data[[#This Row],[Bonus Amount]]</f>
        <v>125405.2</v>
      </c>
      <c r="T603" t="str">
        <f>IF(HR_Data[[#This Row],[Attrition]]="Yes","Inactive","Active")</f>
        <v>Active</v>
      </c>
      <c r="U603" t="str">
        <f t="array" ref="U603">_xlfn.IFS(HR_Data[[#This Row],[Salary]]&gt;=100000,"A",HR_Data[[#This Row],[Salary]]&gt;=70000,"B",HR_Data[[#This Row],[Salary]]&gt;=50000,"C",TRUE(),"D")</f>
        <v>A</v>
      </c>
      <c r="V603" t="str">
        <f t="array" ref="V603">_xlfn.IFS(HR_Data[[#This Row],[Experience]]&gt;=15,"Expert",HR_Data[[#This Row],[Experience]]&gt;=8,"Senior",HR_Data[[#This Row],[Experience]]&gt;=3,"Mid-Level",TRUE(),"Junior")</f>
        <v>Expert</v>
      </c>
    </row>
    <row r="604" spans="1:22" ht="14.25" customHeight="1" x14ac:dyDescent="0.3">
      <c r="A604" t="s">
        <v>1403</v>
      </c>
      <c r="B604" t="s">
        <v>210</v>
      </c>
      <c r="C604" t="s">
        <v>60</v>
      </c>
      <c r="D604" t="s">
        <v>25</v>
      </c>
      <c r="E604">
        <v>43</v>
      </c>
      <c r="F604">
        <v>101882</v>
      </c>
      <c r="G604">
        <v>21</v>
      </c>
      <c r="H604" t="s">
        <v>1404</v>
      </c>
      <c r="I604" t="s">
        <v>67</v>
      </c>
      <c r="J604" t="s">
        <v>36</v>
      </c>
      <c r="K604" t="s">
        <v>29</v>
      </c>
      <c r="L604" t="str">
        <f t="array" ref="L604">_xlfn.IFS(HR_Data[[#This Row],[Experience]]&lt;2,"0-2 Years",HR_Data[[#This Row],[Experience]]&lt;5,"2-5 Years",HR_Data[[#This Row],[Experience]]&lt;10,"5-10 Years",TRUE(),"10+ Years")</f>
        <v>10+ Years</v>
      </c>
      <c r="M604" t="str">
        <f t="array" ref="M604">_xlfn.IFS(HR_Data[[#This Row],[Salary]]&lt;40000,"Low",HR_Data[[#This Row],[Salary]]&lt;70000,"Medium",HR_Data[[#This Row],[Salary]]&lt;100000,"High",TRUE(),"Very High")</f>
        <v>Very High</v>
      </c>
      <c r="N604" t="str">
        <f t="array" ref="N604">_xlfn.IFS(HR_Data[[#This Row],[Age]]&lt;25,"18-24",HR_Data[[#This Row],[Age]]&lt;35,"25-34",HR_Data[[#This Row],[Age]]&lt;45,"35-44",TRUE(),"45+")</f>
        <v>35-44</v>
      </c>
      <c r="O604">
        <f>YEAR(HR_Data[[#This Row],[Joining Date]])</f>
        <v>2017</v>
      </c>
      <c r="P604" t="str">
        <f>TEXT(HR_Data[[#This Row],[Joining Date]],"mmmm")</f>
        <v>July</v>
      </c>
      <c r="Q604">
        <f t="array" ref="Q604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04">
        <f>HR_Data[[#This Row],[Salary]]*HR_Data[[#This Row],[Bonus %]]</f>
        <v>10188.200000000001</v>
      </c>
      <c r="S604">
        <f>HR_Data[[#This Row],[Salary]]+HR_Data[[#This Row],[Bonus Amount]]</f>
        <v>112070.2</v>
      </c>
      <c r="T604" t="str">
        <f>IF(HR_Data[[#This Row],[Attrition]]="Yes","Inactive","Active")</f>
        <v>Active</v>
      </c>
      <c r="U604" t="str">
        <f t="array" ref="U604">_xlfn.IFS(HR_Data[[#This Row],[Salary]]&gt;=100000,"A",HR_Data[[#This Row],[Salary]]&gt;=70000,"B",HR_Data[[#This Row],[Salary]]&gt;=50000,"C",TRUE(),"D")</f>
        <v>A</v>
      </c>
      <c r="V604" t="str">
        <f t="array" ref="V604">_xlfn.IFS(HR_Data[[#This Row],[Experience]]&gt;=15,"Expert",HR_Data[[#This Row],[Experience]]&gt;=8,"Senior",HR_Data[[#This Row],[Experience]]&gt;=3,"Mid-Level",TRUE(),"Junior")</f>
        <v>Expert</v>
      </c>
    </row>
    <row r="605" spans="1:22" ht="14.25" customHeight="1" x14ac:dyDescent="0.3">
      <c r="A605" t="s">
        <v>1405</v>
      </c>
      <c r="B605" t="s">
        <v>689</v>
      </c>
      <c r="C605" t="s">
        <v>75</v>
      </c>
      <c r="D605" t="s">
        <v>33</v>
      </c>
      <c r="E605">
        <v>44</v>
      </c>
      <c r="F605">
        <v>85258</v>
      </c>
      <c r="G605">
        <v>17</v>
      </c>
      <c r="H605" t="s">
        <v>1406</v>
      </c>
      <c r="I605" t="s">
        <v>35</v>
      </c>
      <c r="J605" t="s">
        <v>63</v>
      </c>
      <c r="K605" t="s">
        <v>29</v>
      </c>
      <c r="L605" t="str">
        <f t="array" ref="L605">_xlfn.IFS(HR_Data[[#This Row],[Experience]]&lt;2,"0-2 Years",HR_Data[[#This Row],[Experience]]&lt;5,"2-5 Years",HR_Data[[#This Row],[Experience]]&lt;10,"5-10 Years",TRUE(),"10+ Years")</f>
        <v>10+ Years</v>
      </c>
      <c r="M605" t="str">
        <f t="array" ref="M605">_xlfn.IFS(HR_Data[[#This Row],[Salary]]&lt;40000,"Low",HR_Data[[#This Row],[Salary]]&lt;70000,"Medium",HR_Data[[#This Row],[Salary]]&lt;100000,"High",TRUE(),"Very High")</f>
        <v>High</v>
      </c>
      <c r="N605" t="str">
        <f t="array" ref="N605">_xlfn.IFS(HR_Data[[#This Row],[Age]]&lt;25,"18-24",HR_Data[[#This Row],[Age]]&lt;35,"25-34",HR_Data[[#This Row],[Age]]&lt;45,"35-44",TRUE(),"45+")</f>
        <v>35-44</v>
      </c>
      <c r="O605">
        <f>YEAR(HR_Data[[#This Row],[Joining Date]])</f>
        <v>2021</v>
      </c>
      <c r="P605" t="str">
        <f>TEXT(HR_Data[[#This Row],[Joining Date]],"mmmm")</f>
        <v>March</v>
      </c>
      <c r="Q605">
        <f t="array" ref="Q605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605">
        <f>HR_Data[[#This Row],[Salary]]*HR_Data[[#This Row],[Bonus %]]</f>
        <v>17051.600000000002</v>
      </c>
      <c r="S605">
        <f>HR_Data[[#This Row],[Salary]]+HR_Data[[#This Row],[Bonus Amount]]</f>
        <v>102309.6</v>
      </c>
      <c r="T605" t="str">
        <f>IF(HR_Data[[#This Row],[Attrition]]="Yes","Inactive","Active")</f>
        <v>Active</v>
      </c>
      <c r="U605" t="str">
        <f t="array" ref="U605">_xlfn.IFS(HR_Data[[#This Row],[Salary]]&gt;=100000,"A",HR_Data[[#This Row],[Salary]]&gt;=70000,"B",HR_Data[[#This Row],[Salary]]&gt;=50000,"C",TRUE(),"D")</f>
        <v>B</v>
      </c>
      <c r="V605" t="str">
        <f t="array" ref="V605">_xlfn.IFS(HR_Data[[#This Row],[Experience]]&gt;=15,"Expert",HR_Data[[#This Row],[Experience]]&gt;=8,"Senior",HR_Data[[#This Row],[Experience]]&gt;=3,"Mid-Level",TRUE(),"Junior")</f>
        <v>Expert</v>
      </c>
    </row>
    <row r="606" spans="1:22" ht="14.25" customHeight="1" x14ac:dyDescent="0.3">
      <c r="A606" t="s">
        <v>1407</v>
      </c>
      <c r="B606" t="s">
        <v>130</v>
      </c>
      <c r="C606" t="s">
        <v>93</v>
      </c>
      <c r="D606" t="s">
        <v>33</v>
      </c>
      <c r="E606">
        <v>60</v>
      </c>
      <c r="F606">
        <v>143260</v>
      </c>
      <c r="G606">
        <v>34</v>
      </c>
      <c r="H606" t="s">
        <v>1408</v>
      </c>
      <c r="I606" t="s">
        <v>42</v>
      </c>
      <c r="J606" t="s">
        <v>36</v>
      </c>
      <c r="K606" t="s">
        <v>29</v>
      </c>
      <c r="L606" t="str">
        <f t="array" ref="L606">_xlfn.IFS(HR_Data[[#This Row],[Experience]]&lt;2,"0-2 Years",HR_Data[[#This Row],[Experience]]&lt;5,"2-5 Years",HR_Data[[#This Row],[Experience]]&lt;10,"5-10 Years",TRUE(),"10+ Years")</f>
        <v>10+ Years</v>
      </c>
      <c r="M606" t="str">
        <f t="array" ref="M606">_xlfn.IFS(HR_Data[[#This Row],[Salary]]&lt;40000,"Low",HR_Data[[#This Row],[Salary]]&lt;70000,"Medium",HR_Data[[#This Row],[Salary]]&lt;100000,"High",TRUE(),"Very High")</f>
        <v>Very High</v>
      </c>
      <c r="N606" t="str">
        <f t="array" ref="N606">_xlfn.IFS(HR_Data[[#This Row],[Age]]&lt;25,"18-24",HR_Data[[#This Row],[Age]]&lt;35,"25-34",HR_Data[[#This Row],[Age]]&lt;45,"35-44",TRUE(),"45+")</f>
        <v>45+</v>
      </c>
      <c r="O606">
        <f>YEAR(HR_Data[[#This Row],[Joining Date]])</f>
        <v>2021</v>
      </c>
      <c r="P606" t="str">
        <f>TEXT(HR_Data[[#This Row],[Joining Date]],"mmmm")</f>
        <v>July</v>
      </c>
      <c r="Q606">
        <f t="array" ref="Q60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06">
        <f>HR_Data[[#This Row],[Salary]]*HR_Data[[#This Row],[Bonus %]]</f>
        <v>14326</v>
      </c>
      <c r="S606">
        <f>HR_Data[[#This Row],[Salary]]+HR_Data[[#This Row],[Bonus Amount]]</f>
        <v>157586</v>
      </c>
      <c r="T606" t="str">
        <f>IF(HR_Data[[#This Row],[Attrition]]="Yes","Inactive","Active")</f>
        <v>Active</v>
      </c>
      <c r="U606" t="str">
        <f t="array" ref="U606">_xlfn.IFS(HR_Data[[#This Row],[Salary]]&gt;=100000,"A",HR_Data[[#This Row],[Salary]]&gt;=70000,"B",HR_Data[[#This Row],[Salary]]&gt;=50000,"C",TRUE(),"D")</f>
        <v>A</v>
      </c>
      <c r="V606" t="str">
        <f t="array" ref="V606">_xlfn.IFS(HR_Data[[#This Row],[Experience]]&gt;=15,"Expert",HR_Data[[#This Row],[Experience]]&gt;=8,"Senior",HR_Data[[#This Row],[Experience]]&gt;=3,"Mid-Level",TRUE(),"Junior")</f>
        <v>Expert</v>
      </c>
    </row>
    <row r="607" spans="1:22" ht="14.25" customHeight="1" x14ac:dyDescent="0.3">
      <c r="A607" t="s">
        <v>1409</v>
      </c>
      <c r="B607" t="s">
        <v>182</v>
      </c>
      <c r="C607" t="s">
        <v>70</v>
      </c>
      <c r="D607" t="s">
        <v>33</v>
      </c>
      <c r="E607">
        <v>46</v>
      </c>
      <c r="F607">
        <v>106449</v>
      </c>
      <c r="G607">
        <v>25</v>
      </c>
      <c r="H607" t="s">
        <v>1410</v>
      </c>
      <c r="I607" t="s">
        <v>45</v>
      </c>
      <c r="J607" t="s">
        <v>63</v>
      </c>
      <c r="K607" t="s">
        <v>29</v>
      </c>
      <c r="L607" t="str">
        <f t="array" ref="L607">_xlfn.IFS(HR_Data[[#This Row],[Experience]]&lt;2,"0-2 Years",HR_Data[[#This Row],[Experience]]&lt;5,"2-5 Years",HR_Data[[#This Row],[Experience]]&lt;10,"5-10 Years",TRUE(),"10+ Years")</f>
        <v>10+ Years</v>
      </c>
      <c r="M607" t="str">
        <f t="array" ref="M607">_xlfn.IFS(HR_Data[[#This Row],[Salary]]&lt;40000,"Low",HR_Data[[#This Row],[Salary]]&lt;70000,"Medium",HR_Data[[#This Row],[Salary]]&lt;100000,"High",TRUE(),"Very High")</f>
        <v>Very High</v>
      </c>
      <c r="N607" t="str">
        <f t="array" ref="N607">_xlfn.IFS(HR_Data[[#This Row],[Age]]&lt;25,"18-24",HR_Data[[#This Row],[Age]]&lt;35,"25-34",HR_Data[[#This Row],[Age]]&lt;45,"35-44",TRUE(),"45+")</f>
        <v>45+</v>
      </c>
      <c r="O607">
        <f>YEAR(HR_Data[[#This Row],[Joining Date]])</f>
        <v>2016</v>
      </c>
      <c r="P607" t="str">
        <f>TEXT(HR_Data[[#This Row],[Joining Date]],"mmmm")</f>
        <v>September</v>
      </c>
      <c r="Q607">
        <f t="array" ref="Q607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607">
        <f>HR_Data[[#This Row],[Salary]]*HR_Data[[#This Row],[Bonus %]]</f>
        <v>21289.800000000003</v>
      </c>
      <c r="S607">
        <f>HR_Data[[#This Row],[Salary]]+HR_Data[[#This Row],[Bonus Amount]]</f>
        <v>127738.8</v>
      </c>
      <c r="T607" t="str">
        <f>IF(HR_Data[[#This Row],[Attrition]]="Yes","Inactive","Active")</f>
        <v>Active</v>
      </c>
      <c r="U607" t="str">
        <f t="array" ref="U607">_xlfn.IFS(HR_Data[[#This Row],[Salary]]&gt;=100000,"A",HR_Data[[#This Row],[Salary]]&gt;=70000,"B",HR_Data[[#This Row],[Salary]]&gt;=50000,"C",TRUE(),"D")</f>
        <v>A</v>
      </c>
      <c r="V607" t="str">
        <f t="array" ref="V607">_xlfn.IFS(HR_Data[[#This Row],[Experience]]&gt;=15,"Expert",HR_Data[[#This Row],[Experience]]&gt;=8,"Senior",HR_Data[[#This Row],[Experience]]&gt;=3,"Mid-Level",TRUE(),"Junior")</f>
        <v>Expert</v>
      </c>
    </row>
    <row r="608" spans="1:22" ht="14.25" customHeight="1" x14ac:dyDescent="0.3">
      <c r="A608" t="s">
        <v>1411</v>
      </c>
      <c r="B608" t="s">
        <v>1412</v>
      </c>
      <c r="C608" t="s">
        <v>60</v>
      </c>
      <c r="D608" t="s">
        <v>33</v>
      </c>
      <c r="E608">
        <v>24</v>
      </c>
      <c r="F608">
        <v>33849</v>
      </c>
      <c r="G608">
        <v>1</v>
      </c>
      <c r="H608" t="s">
        <v>1413</v>
      </c>
      <c r="I608" t="s">
        <v>27</v>
      </c>
      <c r="J608" t="s">
        <v>36</v>
      </c>
      <c r="K608" t="s">
        <v>29</v>
      </c>
      <c r="L608" t="str">
        <f t="array" ref="L608">_xlfn.IFS(HR_Data[[#This Row],[Experience]]&lt;2,"0-2 Years",HR_Data[[#This Row],[Experience]]&lt;5,"2-5 Years",HR_Data[[#This Row],[Experience]]&lt;10,"5-10 Years",TRUE(),"10+ Years")</f>
        <v>0-2 Years</v>
      </c>
      <c r="M608" t="str">
        <f t="array" ref="M608">_xlfn.IFS(HR_Data[[#This Row],[Salary]]&lt;40000,"Low",HR_Data[[#This Row],[Salary]]&lt;70000,"Medium",HR_Data[[#This Row],[Salary]]&lt;100000,"High",TRUE(),"Very High")</f>
        <v>Low</v>
      </c>
      <c r="N608" t="str">
        <f t="array" ref="N608">_xlfn.IFS(HR_Data[[#This Row],[Age]]&lt;25,"18-24",HR_Data[[#This Row],[Age]]&lt;35,"25-34",HR_Data[[#This Row],[Age]]&lt;45,"35-44",TRUE(),"45+")</f>
        <v>18-24</v>
      </c>
      <c r="O608">
        <f>YEAR(HR_Data[[#This Row],[Joining Date]])</f>
        <v>2017</v>
      </c>
      <c r="P608" t="str">
        <f>TEXT(HR_Data[[#This Row],[Joining Date]],"mmmm")</f>
        <v>December</v>
      </c>
      <c r="Q608">
        <f t="array" ref="Q60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08">
        <f>HR_Data[[#This Row],[Salary]]*HR_Data[[#This Row],[Bonus %]]</f>
        <v>3384.9</v>
      </c>
      <c r="S608">
        <f>HR_Data[[#This Row],[Salary]]+HR_Data[[#This Row],[Bonus Amount]]</f>
        <v>37233.9</v>
      </c>
      <c r="T608" t="str">
        <f>IF(HR_Data[[#This Row],[Attrition]]="Yes","Inactive","Active")</f>
        <v>Active</v>
      </c>
      <c r="U608" t="str">
        <f t="array" ref="U608">_xlfn.IFS(HR_Data[[#This Row],[Salary]]&gt;=100000,"A",HR_Data[[#This Row],[Salary]]&gt;=70000,"B",HR_Data[[#This Row],[Salary]]&gt;=50000,"C",TRUE(),"D")</f>
        <v>D</v>
      </c>
      <c r="V608" t="str">
        <f t="array" ref="V608">_xlfn.IFS(HR_Data[[#This Row],[Experience]]&gt;=15,"Expert",HR_Data[[#This Row],[Experience]]&gt;=8,"Senior",HR_Data[[#This Row],[Experience]]&gt;=3,"Mid-Level",TRUE(),"Junior")</f>
        <v>Junior</v>
      </c>
    </row>
    <row r="609" spans="1:22" ht="14.25" customHeight="1" x14ac:dyDescent="0.3">
      <c r="A609" t="s">
        <v>1414</v>
      </c>
      <c r="B609" t="s">
        <v>1068</v>
      </c>
      <c r="C609" t="s">
        <v>24</v>
      </c>
      <c r="D609" t="s">
        <v>25</v>
      </c>
      <c r="E609">
        <v>41</v>
      </c>
      <c r="F609">
        <v>72806</v>
      </c>
      <c r="G609">
        <v>14</v>
      </c>
      <c r="H609" t="s">
        <v>1389</v>
      </c>
      <c r="I609" t="s">
        <v>35</v>
      </c>
      <c r="J609" t="s">
        <v>36</v>
      </c>
      <c r="K609" t="s">
        <v>29</v>
      </c>
      <c r="L609" t="str">
        <f t="array" ref="L609">_xlfn.IFS(HR_Data[[#This Row],[Experience]]&lt;2,"0-2 Years",HR_Data[[#This Row],[Experience]]&lt;5,"2-5 Years",HR_Data[[#This Row],[Experience]]&lt;10,"5-10 Years",TRUE(),"10+ Years")</f>
        <v>10+ Years</v>
      </c>
      <c r="M609" t="str">
        <f t="array" ref="M609">_xlfn.IFS(HR_Data[[#This Row],[Salary]]&lt;40000,"Low",HR_Data[[#This Row],[Salary]]&lt;70000,"Medium",HR_Data[[#This Row],[Salary]]&lt;100000,"High",TRUE(),"Very High")</f>
        <v>High</v>
      </c>
      <c r="N609" t="str">
        <f t="array" ref="N609">_xlfn.IFS(HR_Data[[#This Row],[Age]]&lt;25,"18-24",HR_Data[[#This Row],[Age]]&lt;35,"25-34",HR_Data[[#This Row],[Age]]&lt;45,"35-44",TRUE(),"45+")</f>
        <v>35-44</v>
      </c>
      <c r="O609">
        <f>YEAR(HR_Data[[#This Row],[Joining Date]])</f>
        <v>2024</v>
      </c>
      <c r="P609" t="str">
        <f>TEXT(HR_Data[[#This Row],[Joining Date]],"mmmm")</f>
        <v>March</v>
      </c>
      <c r="Q609">
        <f t="array" ref="Q60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09">
        <f>HR_Data[[#This Row],[Salary]]*HR_Data[[#This Row],[Bonus %]]</f>
        <v>7280.6</v>
      </c>
      <c r="S609">
        <f>HR_Data[[#This Row],[Salary]]+HR_Data[[#This Row],[Bonus Amount]]</f>
        <v>80086.600000000006</v>
      </c>
      <c r="T609" t="str">
        <f>IF(HR_Data[[#This Row],[Attrition]]="Yes","Inactive","Active")</f>
        <v>Active</v>
      </c>
      <c r="U609" t="str">
        <f t="array" ref="U609">_xlfn.IFS(HR_Data[[#This Row],[Salary]]&gt;=100000,"A",HR_Data[[#This Row],[Salary]]&gt;=70000,"B",HR_Data[[#This Row],[Salary]]&gt;=50000,"C",TRUE(),"D")</f>
        <v>B</v>
      </c>
      <c r="V609" t="str">
        <f t="array" ref="V609">_xlfn.IFS(HR_Data[[#This Row],[Experience]]&gt;=15,"Expert",HR_Data[[#This Row],[Experience]]&gt;=8,"Senior",HR_Data[[#This Row],[Experience]]&gt;=3,"Mid-Level",TRUE(),"Junior")</f>
        <v>Senior</v>
      </c>
    </row>
    <row r="610" spans="1:22" ht="14.25" customHeight="1" x14ac:dyDescent="0.3">
      <c r="A610" t="s">
        <v>1415</v>
      </c>
      <c r="B610" t="s">
        <v>287</v>
      </c>
      <c r="C610" t="s">
        <v>134</v>
      </c>
      <c r="D610" t="s">
        <v>33</v>
      </c>
      <c r="E610">
        <v>47</v>
      </c>
      <c r="F610">
        <v>82123</v>
      </c>
      <c r="G610">
        <v>19</v>
      </c>
      <c r="H610" t="s">
        <v>1416</v>
      </c>
      <c r="I610" t="s">
        <v>132</v>
      </c>
      <c r="J610" t="s">
        <v>28</v>
      </c>
      <c r="K610" t="s">
        <v>29</v>
      </c>
      <c r="L610" t="str">
        <f t="array" ref="L610">_xlfn.IFS(HR_Data[[#This Row],[Experience]]&lt;2,"0-2 Years",HR_Data[[#This Row],[Experience]]&lt;5,"2-5 Years",HR_Data[[#This Row],[Experience]]&lt;10,"5-10 Years",TRUE(),"10+ Years")</f>
        <v>10+ Years</v>
      </c>
      <c r="M610" t="str">
        <f t="array" ref="M610">_xlfn.IFS(HR_Data[[#This Row],[Salary]]&lt;40000,"Low",HR_Data[[#This Row],[Salary]]&lt;70000,"Medium",HR_Data[[#This Row],[Salary]]&lt;100000,"High",TRUE(),"Very High")</f>
        <v>High</v>
      </c>
      <c r="N610" t="str">
        <f t="array" ref="N610">_xlfn.IFS(HR_Data[[#This Row],[Age]]&lt;25,"18-24",HR_Data[[#This Row],[Age]]&lt;35,"25-34",HR_Data[[#This Row],[Age]]&lt;45,"35-44",TRUE(),"45+")</f>
        <v>45+</v>
      </c>
      <c r="O610">
        <f>YEAR(HR_Data[[#This Row],[Joining Date]])</f>
        <v>2021</v>
      </c>
      <c r="P610" t="str">
        <f>TEXT(HR_Data[[#This Row],[Joining Date]],"mmmm")</f>
        <v>November</v>
      </c>
      <c r="Q610">
        <f t="array" ref="Q610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610">
        <f>HR_Data[[#This Row],[Salary]]*HR_Data[[#This Row],[Bonus %]]</f>
        <v>12318.449999999999</v>
      </c>
      <c r="S610">
        <f>HR_Data[[#This Row],[Salary]]+HR_Data[[#This Row],[Bonus Amount]]</f>
        <v>94441.45</v>
      </c>
      <c r="T610" t="str">
        <f>IF(HR_Data[[#This Row],[Attrition]]="Yes","Inactive","Active")</f>
        <v>Active</v>
      </c>
      <c r="U610" t="str">
        <f t="array" ref="U610">_xlfn.IFS(HR_Data[[#This Row],[Salary]]&gt;=100000,"A",HR_Data[[#This Row],[Salary]]&gt;=70000,"B",HR_Data[[#This Row],[Salary]]&gt;=50000,"C",TRUE(),"D")</f>
        <v>B</v>
      </c>
      <c r="V610" t="str">
        <f t="array" ref="V610">_xlfn.IFS(HR_Data[[#This Row],[Experience]]&gt;=15,"Expert",HR_Data[[#This Row],[Experience]]&gt;=8,"Senior",HR_Data[[#This Row],[Experience]]&gt;=3,"Mid-Level",TRUE(),"Junior")</f>
        <v>Expert</v>
      </c>
    </row>
    <row r="611" spans="1:22" ht="14.25" customHeight="1" x14ac:dyDescent="0.3">
      <c r="A611" t="s">
        <v>1417</v>
      </c>
      <c r="B611" t="s">
        <v>513</v>
      </c>
      <c r="C611" t="s">
        <v>70</v>
      </c>
      <c r="D611" t="s">
        <v>33</v>
      </c>
      <c r="E611">
        <v>45</v>
      </c>
      <c r="F611">
        <v>102339</v>
      </c>
      <c r="G611">
        <v>22</v>
      </c>
      <c r="H611" t="s">
        <v>1418</v>
      </c>
      <c r="I611" t="s">
        <v>132</v>
      </c>
      <c r="J611" t="s">
        <v>36</v>
      </c>
      <c r="K611" t="s">
        <v>29</v>
      </c>
      <c r="L611" t="str">
        <f t="array" ref="L611">_xlfn.IFS(HR_Data[[#This Row],[Experience]]&lt;2,"0-2 Years",HR_Data[[#This Row],[Experience]]&lt;5,"2-5 Years",HR_Data[[#This Row],[Experience]]&lt;10,"5-10 Years",TRUE(),"10+ Years")</f>
        <v>10+ Years</v>
      </c>
      <c r="M611" t="str">
        <f t="array" ref="M611">_xlfn.IFS(HR_Data[[#This Row],[Salary]]&lt;40000,"Low",HR_Data[[#This Row],[Salary]]&lt;70000,"Medium",HR_Data[[#This Row],[Salary]]&lt;100000,"High",TRUE(),"Very High")</f>
        <v>Very High</v>
      </c>
      <c r="N611" t="str">
        <f t="array" ref="N611">_xlfn.IFS(HR_Data[[#This Row],[Age]]&lt;25,"18-24",HR_Data[[#This Row],[Age]]&lt;35,"25-34",HR_Data[[#This Row],[Age]]&lt;45,"35-44",TRUE(),"45+")</f>
        <v>45+</v>
      </c>
      <c r="O611">
        <f>YEAR(HR_Data[[#This Row],[Joining Date]])</f>
        <v>2018</v>
      </c>
      <c r="P611" t="str">
        <f>TEXT(HR_Data[[#This Row],[Joining Date]],"mmmm")</f>
        <v>September</v>
      </c>
      <c r="Q611">
        <f t="array" ref="Q61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11">
        <f>HR_Data[[#This Row],[Salary]]*HR_Data[[#This Row],[Bonus %]]</f>
        <v>10233.900000000001</v>
      </c>
      <c r="S611">
        <f>HR_Data[[#This Row],[Salary]]+HR_Data[[#This Row],[Bonus Amount]]</f>
        <v>112572.9</v>
      </c>
      <c r="T611" t="str">
        <f>IF(HR_Data[[#This Row],[Attrition]]="Yes","Inactive","Active")</f>
        <v>Active</v>
      </c>
      <c r="U611" t="str">
        <f t="array" ref="U611">_xlfn.IFS(HR_Data[[#This Row],[Salary]]&gt;=100000,"A",HR_Data[[#This Row],[Salary]]&gt;=70000,"B",HR_Data[[#This Row],[Salary]]&gt;=50000,"C",TRUE(),"D")</f>
        <v>A</v>
      </c>
      <c r="V611" t="str">
        <f t="array" ref="V611">_xlfn.IFS(HR_Data[[#This Row],[Experience]]&gt;=15,"Expert",HR_Data[[#This Row],[Experience]]&gt;=8,"Senior",HR_Data[[#This Row],[Experience]]&gt;=3,"Mid-Level",TRUE(),"Junior")</f>
        <v>Expert</v>
      </c>
    </row>
    <row r="612" spans="1:22" ht="14.25" customHeight="1" x14ac:dyDescent="0.3">
      <c r="A612" t="s">
        <v>1419</v>
      </c>
      <c r="B612" t="s">
        <v>304</v>
      </c>
      <c r="C612" t="s">
        <v>55</v>
      </c>
      <c r="D612" t="s">
        <v>33</v>
      </c>
      <c r="E612">
        <v>32</v>
      </c>
      <c r="F612">
        <v>52831</v>
      </c>
      <c r="G612">
        <v>10</v>
      </c>
      <c r="H612" t="s">
        <v>1420</v>
      </c>
      <c r="I612" t="s">
        <v>57</v>
      </c>
      <c r="J612" t="s">
        <v>90</v>
      </c>
      <c r="K612" t="s">
        <v>29</v>
      </c>
      <c r="L612" t="str">
        <f t="array" ref="L612">_xlfn.IFS(HR_Data[[#This Row],[Experience]]&lt;2,"0-2 Years",HR_Data[[#This Row],[Experience]]&lt;5,"2-5 Years",HR_Data[[#This Row],[Experience]]&lt;10,"5-10 Years",TRUE(),"10+ Years")</f>
        <v>10+ Years</v>
      </c>
      <c r="M612" t="str">
        <f t="array" ref="M612">_xlfn.IFS(HR_Data[[#This Row],[Salary]]&lt;40000,"Low",HR_Data[[#This Row],[Salary]]&lt;70000,"Medium",HR_Data[[#This Row],[Salary]]&lt;100000,"High",TRUE(),"Very High")</f>
        <v>Medium</v>
      </c>
      <c r="N612" t="str">
        <f t="array" ref="N612">_xlfn.IFS(HR_Data[[#This Row],[Age]]&lt;25,"18-24",HR_Data[[#This Row],[Age]]&lt;35,"25-34",HR_Data[[#This Row],[Age]]&lt;45,"35-44",TRUE(),"45+")</f>
        <v>25-34</v>
      </c>
      <c r="O612">
        <f>YEAR(HR_Data[[#This Row],[Joining Date]])</f>
        <v>2015</v>
      </c>
      <c r="P612" t="str">
        <f>TEXT(HR_Data[[#This Row],[Joining Date]],"mmmm")</f>
        <v>December</v>
      </c>
      <c r="Q612">
        <f t="array" ref="Q612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612">
        <f>HR_Data[[#This Row],[Salary]]*HR_Data[[#This Row],[Bonus %]]</f>
        <v>0</v>
      </c>
      <c r="S612">
        <f>HR_Data[[#This Row],[Salary]]+HR_Data[[#This Row],[Bonus Amount]]</f>
        <v>52831</v>
      </c>
      <c r="T612" t="str">
        <f>IF(HR_Data[[#This Row],[Attrition]]="Yes","Inactive","Active")</f>
        <v>Active</v>
      </c>
      <c r="U612" t="str">
        <f t="array" ref="U612">_xlfn.IFS(HR_Data[[#This Row],[Salary]]&gt;=100000,"A",HR_Data[[#This Row],[Salary]]&gt;=70000,"B",HR_Data[[#This Row],[Salary]]&gt;=50000,"C",TRUE(),"D")</f>
        <v>C</v>
      </c>
      <c r="V612" t="str">
        <f t="array" ref="V612">_xlfn.IFS(HR_Data[[#This Row],[Experience]]&gt;=15,"Expert",HR_Data[[#This Row],[Experience]]&gt;=8,"Senior",HR_Data[[#This Row],[Experience]]&gt;=3,"Mid-Level",TRUE(),"Junior")</f>
        <v>Senior</v>
      </c>
    </row>
    <row r="613" spans="1:22" ht="14.25" customHeight="1" x14ac:dyDescent="0.3">
      <c r="A613" t="s">
        <v>1421</v>
      </c>
      <c r="B613" t="s">
        <v>92</v>
      </c>
      <c r="C613" t="s">
        <v>70</v>
      </c>
      <c r="D613" t="s">
        <v>25</v>
      </c>
      <c r="E613">
        <v>60</v>
      </c>
      <c r="F613">
        <v>130136</v>
      </c>
      <c r="G613">
        <v>35</v>
      </c>
      <c r="H613" t="s">
        <v>1422</v>
      </c>
      <c r="I613" t="s">
        <v>42</v>
      </c>
      <c r="J613" t="s">
        <v>90</v>
      </c>
      <c r="K613" t="s">
        <v>29</v>
      </c>
      <c r="L613" t="str">
        <f t="array" ref="L613">_xlfn.IFS(HR_Data[[#This Row],[Experience]]&lt;2,"0-2 Years",HR_Data[[#This Row],[Experience]]&lt;5,"2-5 Years",HR_Data[[#This Row],[Experience]]&lt;10,"5-10 Years",TRUE(),"10+ Years")</f>
        <v>10+ Years</v>
      </c>
      <c r="M613" t="str">
        <f t="array" ref="M613">_xlfn.IFS(HR_Data[[#This Row],[Salary]]&lt;40000,"Low",HR_Data[[#This Row],[Salary]]&lt;70000,"Medium",HR_Data[[#This Row],[Salary]]&lt;100000,"High",TRUE(),"Very High")</f>
        <v>Very High</v>
      </c>
      <c r="N613" t="str">
        <f t="array" ref="N613">_xlfn.IFS(HR_Data[[#This Row],[Age]]&lt;25,"18-24",HR_Data[[#This Row],[Age]]&lt;35,"25-34",HR_Data[[#This Row],[Age]]&lt;45,"35-44",TRUE(),"45+")</f>
        <v>45+</v>
      </c>
      <c r="O613">
        <f>YEAR(HR_Data[[#This Row],[Joining Date]])</f>
        <v>2022</v>
      </c>
      <c r="P613" t="str">
        <f>TEXT(HR_Data[[#This Row],[Joining Date]],"mmmm")</f>
        <v>February</v>
      </c>
      <c r="Q613">
        <f t="array" ref="Q613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613">
        <f>HR_Data[[#This Row],[Salary]]*HR_Data[[#This Row],[Bonus %]]</f>
        <v>0</v>
      </c>
      <c r="S613">
        <f>HR_Data[[#This Row],[Salary]]+HR_Data[[#This Row],[Bonus Amount]]</f>
        <v>130136</v>
      </c>
      <c r="T613" t="str">
        <f>IF(HR_Data[[#This Row],[Attrition]]="Yes","Inactive","Active")</f>
        <v>Active</v>
      </c>
      <c r="U613" t="str">
        <f t="array" ref="U613">_xlfn.IFS(HR_Data[[#This Row],[Salary]]&gt;=100000,"A",HR_Data[[#This Row],[Salary]]&gt;=70000,"B",HR_Data[[#This Row],[Salary]]&gt;=50000,"C",TRUE(),"D")</f>
        <v>A</v>
      </c>
      <c r="V613" t="str">
        <f t="array" ref="V613">_xlfn.IFS(HR_Data[[#This Row],[Experience]]&gt;=15,"Expert",HR_Data[[#This Row],[Experience]]&gt;=8,"Senior",HR_Data[[#This Row],[Experience]]&gt;=3,"Mid-Level",TRUE(),"Junior")</f>
        <v>Expert</v>
      </c>
    </row>
    <row r="614" spans="1:22" ht="14.25" customHeight="1" x14ac:dyDescent="0.3">
      <c r="A614" t="s">
        <v>1423</v>
      </c>
      <c r="B614" t="s">
        <v>605</v>
      </c>
      <c r="C614" t="s">
        <v>75</v>
      </c>
      <c r="D614" t="s">
        <v>25</v>
      </c>
      <c r="E614">
        <v>26</v>
      </c>
      <c r="F614">
        <v>36564</v>
      </c>
      <c r="G614">
        <v>1</v>
      </c>
      <c r="H614" t="s">
        <v>1424</v>
      </c>
      <c r="I614" t="s">
        <v>80</v>
      </c>
      <c r="J614" t="s">
        <v>90</v>
      </c>
      <c r="K614" t="s">
        <v>29</v>
      </c>
      <c r="L614" t="str">
        <f t="array" ref="L614">_xlfn.IFS(HR_Data[[#This Row],[Experience]]&lt;2,"0-2 Years",HR_Data[[#This Row],[Experience]]&lt;5,"2-5 Years",HR_Data[[#This Row],[Experience]]&lt;10,"5-10 Years",TRUE(),"10+ Years")</f>
        <v>0-2 Years</v>
      </c>
      <c r="M614" t="str">
        <f t="array" ref="M614">_xlfn.IFS(HR_Data[[#This Row],[Salary]]&lt;40000,"Low",HR_Data[[#This Row],[Salary]]&lt;70000,"Medium",HR_Data[[#This Row],[Salary]]&lt;100000,"High",TRUE(),"Very High")</f>
        <v>Low</v>
      </c>
      <c r="N614" t="str">
        <f t="array" ref="N614">_xlfn.IFS(HR_Data[[#This Row],[Age]]&lt;25,"18-24",HR_Data[[#This Row],[Age]]&lt;35,"25-34",HR_Data[[#This Row],[Age]]&lt;45,"35-44",TRUE(),"45+")</f>
        <v>25-34</v>
      </c>
      <c r="O614">
        <f>YEAR(HR_Data[[#This Row],[Joining Date]])</f>
        <v>2018</v>
      </c>
      <c r="P614" t="str">
        <f>TEXT(HR_Data[[#This Row],[Joining Date]],"mmmm")</f>
        <v>April</v>
      </c>
      <c r="Q614">
        <f t="array" ref="Q614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614">
        <f>HR_Data[[#This Row],[Salary]]*HR_Data[[#This Row],[Bonus %]]</f>
        <v>0</v>
      </c>
      <c r="S614">
        <f>HR_Data[[#This Row],[Salary]]+HR_Data[[#This Row],[Bonus Amount]]</f>
        <v>36564</v>
      </c>
      <c r="T614" t="str">
        <f>IF(HR_Data[[#This Row],[Attrition]]="Yes","Inactive","Active")</f>
        <v>Active</v>
      </c>
      <c r="U614" t="str">
        <f t="array" ref="U614">_xlfn.IFS(HR_Data[[#This Row],[Salary]]&gt;=100000,"A",HR_Data[[#This Row],[Salary]]&gt;=70000,"B",HR_Data[[#This Row],[Salary]]&gt;=50000,"C",TRUE(),"D")</f>
        <v>D</v>
      </c>
      <c r="V614" t="str">
        <f t="array" ref="V614">_xlfn.IFS(HR_Data[[#This Row],[Experience]]&gt;=15,"Expert",HR_Data[[#This Row],[Experience]]&gt;=8,"Senior",HR_Data[[#This Row],[Experience]]&gt;=3,"Mid-Level",TRUE(),"Junior")</f>
        <v>Junior</v>
      </c>
    </row>
    <row r="615" spans="1:22" ht="14.25" customHeight="1" x14ac:dyDescent="0.3">
      <c r="A615" t="s">
        <v>1425</v>
      </c>
      <c r="B615" t="s">
        <v>1426</v>
      </c>
      <c r="C615" t="s">
        <v>40</v>
      </c>
      <c r="D615" t="s">
        <v>25</v>
      </c>
      <c r="E615">
        <v>53</v>
      </c>
      <c r="F615">
        <v>131799</v>
      </c>
      <c r="G615">
        <v>30</v>
      </c>
      <c r="H615" t="s">
        <v>1427</v>
      </c>
      <c r="I615" t="s">
        <v>27</v>
      </c>
      <c r="J615" t="s">
        <v>46</v>
      </c>
      <c r="K615" t="s">
        <v>29</v>
      </c>
      <c r="L615" t="str">
        <f t="array" ref="L615">_xlfn.IFS(HR_Data[[#This Row],[Experience]]&lt;2,"0-2 Years",HR_Data[[#This Row],[Experience]]&lt;5,"2-5 Years",HR_Data[[#This Row],[Experience]]&lt;10,"5-10 Years",TRUE(),"10+ Years")</f>
        <v>10+ Years</v>
      </c>
      <c r="M615" t="str">
        <f t="array" ref="M615">_xlfn.IFS(HR_Data[[#This Row],[Salary]]&lt;40000,"Low",HR_Data[[#This Row],[Salary]]&lt;70000,"Medium",HR_Data[[#This Row],[Salary]]&lt;100000,"High",TRUE(),"Very High")</f>
        <v>Very High</v>
      </c>
      <c r="N615" t="str">
        <f t="array" ref="N615">_xlfn.IFS(HR_Data[[#This Row],[Age]]&lt;25,"18-24",HR_Data[[#This Row],[Age]]&lt;35,"25-34",HR_Data[[#This Row],[Age]]&lt;45,"35-44",TRUE(),"45+")</f>
        <v>45+</v>
      </c>
      <c r="O615">
        <f>YEAR(HR_Data[[#This Row],[Joining Date]])</f>
        <v>2018</v>
      </c>
      <c r="P615" t="str">
        <f>TEXT(HR_Data[[#This Row],[Joining Date]],"mmmm")</f>
        <v>April</v>
      </c>
      <c r="Q615">
        <f t="array" ref="Q615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615">
        <f>HR_Data[[#This Row],[Salary]]*HR_Data[[#This Row],[Bonus %]]</f>
        <v>6589.9500000000007</v>
      </c>
      <c r="S615">
        <f>HR_Data[[#This Row],[Salary]]+HR_Data[[#This Row],[Bonus Amount]]</f>
        <v>138388.95000000001</v>
      </c>
      <c r="T615" t="str">
        <f>IF(HR_Data[[#This Row],[Attrition]]="Yes","Inactive","Active")</f>
        <v>Active</v>
      </c>
      <c r="U615" t="str">
        <f t="array" ref="U615">_xlfn.IFS(HR_Data[[#This Row],[Salary]]&gt;=100000,"A",HR_Data[[#This Row],[Salary]]&gt;=70000,"B",HR_Data[[#This Row],[Salary]]&gt;=50000,"C",TRUE(),"D")</f>
        <v>A</v>
      </c>
      <c r="V615" t="str">
        <f t="array" ref="V615">_xlfn.IFS(HR_Data[[#This Row],[Experience]]&gt;=15,"Expert",HR_Data[[#This Row],[Experience]]&gt;=8,"Senior",HR_Data[[#This Row],[Experience]]&gt;=3,"Mid-Level",TRUE(),"Junior")</f>
        <v>Expert</v>
      </c>
    </row>
    <row r="616" spans="1:22" ht="14.25" customHeight="1" x14ac:dyDescent="0.3">
      <c r="A616" t="s">
        <v>1428</v>
      </c>
      <c r="B616" t="s">
        <v>282</v>
      </c>
      <c r="C616" t="s">
        <v>55</v>
      </c>
      <c r="D616" t="s">
        <v>33</v>
      </c>
      <c r="E616">
        <v>37</v>
      </c>
      <c r="F616">
        <v>60653</v>
      </c>
      <c r="G616">
        <v>8</v>
      </c>
      <c r="H616" t="s">
        <v>1429</v>
      </c>
      <c r="I616" t="s">
        <v>67</v>
      </c>
      <c r="J616" t="s">
        <v>28</v>
      </c>
      <c r="K616" t="s">
        <v>29</v>
      </c>
      <c r="L616" t="str">
        <f t="array" ref="L616">_xlfn.IFS(HR_Data[[#This Row],[Experience]]&lt;2,"0-2 Years",HR_Data[[#This Row],[Experience]]&lt;5,"2-5 Years",HR_Data[[#This Row],[Experience]]&lt;10,"5-10 Years",TRUE(),"10+ Years")</f>
        <v>5-10 Years</v>
      </c>
      <c r="M616" t="str">
        <f t="array" ref="M616">_xlfn.IFS(HR_Data[[#This Row],[Salary]]&lt;40000,"Low",HR_Data[[#This Row],[Salary]]&lt;70000,"Medium",HR_Data[[#This Row],[Salary]]&lt;100000,"High",TRUE(),"Very High")</f>
        <v>Medium</v>
      </c>
      <c r="N616" t="str">
        <f t="array" ref="N616">_xlfn.IFS(HR_Data[[#This Row],[Age]]&lt;25,"18-24",HR_Data[[#This Row],[Age]]&lt;35,"25-34",HR_Data[[#This Row],[Age]]&lt;45,"35-44",TRUE(),"45+")</f>
        <v>35-44</v>
      </c>
      <c r="O616">
        <f>YEAR(HR_Data[[#This Row],[Joining Date]])</f>
        <v>2017</v>
      </c>
      <c r="P616" t="str">
        <f>TEXT(HR_Data[[#This Row],[Joining Date]],"mmmm")</f>
        <v>August</v>
      </c>
      <c r="Q616">
        <f t="array" ref="Q616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616">
        <f>HR_Data[[#This Row],[Salary]]*HR_Data[[#This Row],[Bonus %]]</f>
        <v>9097.9499999999989</v>
      </c>
      <c r="S616">
        <f>HR_Data[[#This Row],[Salary]]+HR_Data[[#This Row],[Bonus Amount]]</f>
        <v>69750.95</v>
      </c>
      <c r="T616" t="str">
        <f>IF(HR_Data[[#This Row],[Attrition]]="Yes","Inactive","Active")</f>
        <v>Active</v>
      </c>
      <c r="U616" t="str">
        <f t="array" ref="U616">_xlfn.IFS(HR_Data[[#This Row],[Salary]]&gt;=100000,"A",HR_Data[[#This Row],[Salary]]&gt;=70000,"B",HR_Data[[#This Row],[Salary]]&gt;=50000,"C",TRUE(),"D")</f>
        <v>C</v>
      </c>
      <c r="V616" t="str">
        <f t="array" ref="V616">_xlfn.IFS(HR_Data[[#This Row],[Experience]]&gt;=15,"Expert",HR_Data[[#This Row],[Experience]]&gt;=8,"Senior",HR_Data[[#This Row],[Experience]]&gt;=3,"Mid-Level",TRUE(),"Junior")</f>
        <v>Senior</v>
      </c>
    </row>
    <row r="617" spans="1:22" ht="14.25" customHeight="1" x14ac:dyDescent="0.3">
      <c r="A617" t="s">
        <v>1430</v>
      </c>
      <c r="B617" t="s">
        <v>454</v>
      </c>
      <c r="C617" t="s">
        <v>40</v>
      </c>
      <c r="D617" t="s">
        <v>25</v>
      </c>
      <c r="E617">
        <v>31</v>
      </c>
      <c r="F617">
        <v>32994</v>
      </c>
      <c r="G617">
        <v>3</v>
      </c>
      <c r="H617" t="s">
        <v>1431</v>
      </c>
      <c r="I617" t="s">
        <v>42</v>
      </c>
      <c r="J617" t="s">
        <v>46</v>
      </c>
      <c r="K617" t="s">
        <v>29</v>
      </c>
      <c r="L617" t="str">
        <f t="array" ref="L617">_xlfn.IFS(HR_Data[[#This Row],[Experience]]&lt;2,"0-2 Years",HR_Data[[#This Row],[Experience]]&lt;5,"2-5 Years",HR_Data[[#This Row],[Experience]]&lt;10,"5-10 Years",TRUE(),"10+ Years")</f>
        <v>2-5 Years</v>
      </c>
      <c r="M617" t="str">
        <f t="array" ref="M617">_xlfn.IFS(HR_Data[[#This Row],[Salary]]&lt;40000,"Low",HR_Data[[#This Row],[Salary]]&lt;70000,"Medium",HR_Data[[#This Row],[Salary]]&lt;100000,"High",TRUE(),"Very High")</f>
        <v>Low</v>
      </c>
      <c r="N617" t="str">
        <f t="array" ref="N617">_xlfn.IFS(HR_Data[[#This Row],[Age]]&lt;25,"18-24",HR_Data[[#This Row],[Age]]&lt;35,"25-34",HR_Data[[#This Row],[Age]]&lt;45,"35-44",TRUE(),"45+")</f>
        <v>25-34</v>
      </c>
      <c r="O617">
        <f>YEAR(HR_Data[[#This Row],[Joining Date]])</f>
        <v>2019</v>
      </c>
      <c r="P617" t="str">
        <f>TEXT(HR_Data[[#This Row],[Joining Date]],"mmmm")</f>
        <v>December</v>
      </c>
      <c r="Q617">
        <f t="array" ref="Q617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617">
        <f>HR_Data[[#This Row],[Salary]]*HR_Data[[#This Row],[Bonus %]]</f>
        <v>1649.7</v>
      </c>
      <c r="S617">
        <f>HR_Data[[#This Row],[Salary]]+HR_Data[[#This Row],[Bonus Amount]]</f>
        <v>34643.699999999997</v>
      </c>
      <c r="T617" t="str">
        <f>IF(HR_Data[[#This Row],[Attrition]]="Yes","Inactive","Active")</f>
        <v>Active</v>
      </c>
      <c r="U617" t="str">
        <f t="array" ref="U617">_xlfn.IFS(HR_Data[[#This Row],[Salary]]&gt;=100000,"A",HR_Data[[#This Row],[Salary]]&gt;=70000,"B",HR_Data[[#This Row],[Salary]]&gt;=50000,"C",TRUE(),"D")</f>
        <v>D</v>
      </c>
      <c r="V617" t="str">
        <f t="array" ref="V617">_xlfn.IFS(HR_Data[[#This Row],[Experience]]&gt;=15,"Expert",HR_Data[[#This Row],[Experience]]&gt;=8,"Senior",HR_Data[[#This Row],[Experience]]&gt;=3,"Mid-Level",TRUE(),"Junior")</f>
        <v>Mid-Level</v>
      </c>
    </row>
    <row r="618" spans="1:22" ht="14.25" customHeight="1" x14ac:dyDescent="0.3">
      <c r="A618" t="s">
        <v>1432</v>
      </c>
      <c r="B618" t="s">
        <v>146</v>
      </c>
      <c r="C618" t="s">
        <v>32</v>
      </c>
      <c r="D618" t="s">
        <v>33</v>
      </c>
      <c r="E618">
        <v>57</v>
      </c>
      <c r="F618">
        <v>125771</v>
      </c>
      <c r="G618">
        <v>32</v>
      </c>
      <c r="H618" t="s">
        <v>1433</v>
      </c>
      <c r="I618" t="s">
        <v>62</v>
      </c>
      <c r="J618" t="s">
        <v>28</v>
      </c>
      <c r="K618" t="s">
        <v>29</v>
      </c>
      <c r="L618" t="str">
        <f t="array" ref="L618">_xlfn.IFS(HR_Data[[#This Row],[Experience]]&lt;2,"0-2 Years",HR_Data[[#This Row],[Experience]]&lt;5,"2-5 Years",HR_Data[[#This Row],[Experience]]&lt;10,"5-10 Years",TRUE(),"10+ Years")</f>
        <v>10+ Years</v>
      </c>
      <c r="M618" t="str">
        <f t="array" ref="M618">_xlfn.IFS(HR_Data[[#This Row],[Salary]]&lt;40000,"Low",HR_Data[[#This Row],[Salary]]&lt;70000,"Medium",HR_Data[[#This Row],[Salary]]&lt;100000,"High",TRUE(),"Very High")</f>
        <v>Very High</v>
      </c>
      <c r="N618" t="str">
        <f t="array" ref="N618">_xlfn.IFS(HR_Data[[#This Row],[Age]]&lt;25,"18-24",HR_Data[[#This Row],[Age]]&lt;35,"25-34",HR_Data[[#This Row],[Age]]&lt;45,"35-44",TRUE(),"45+")</f>
        <v>45+</v>
      </c>
      <c r="O618">
        <f>YEAR(HR_Data[[#This Row],[Joining Date]])</f>
        <v>2025</v>
      </c>
      <c r="P618" t="str">
        <f>TEXT(HR_Data[[#This Row],[Joining Date]],"mmmm")</f>
        <v>December</v>
      </c>
      <c r="Q618">
        <f t="array" ref="Q618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618">
        <f>HR_Data[[#This Row],[Salary]]*HR_Data[[#This Row],[Bonus %]]</f>
        <v>18865.649999999998</v>
      </c>
      <c r="S618">
        <f>HR_Data[[#This Row],[Salary]]+HR_Data[[#This Row],[Bonus Amount]]</f>
        <v>144636.65</v>
      </c>
      <c r="T618" t="str">
        <f>IF(HR_Data[[#This Row],[Attrition]]="Yes","Inactive","Active")</f>
        <v>Active</v>
      </c>
      <c r="U618" t="str">
        <f t="array" ref="U618">_xlfn.IFS(HR_Data[[#This Row],[Salary]]&gt;=100000,"A",HR_Data[[#This Row],[Salary]]&gt;=70000,"B",HR_Data[[#This Row],[Salary]]&gt;=50000,"C",TRUE(),"D")</f>
        <v>A</v>
      </c>
      <c r="V618" t="str">
        <f t="array" ref="V618">_xlfn.IFS(HR_Data[[#This Row],[Experience]]&gt;=15,"Expert",HR_Data[[#This Row],[Experience]]&gt;=8,"Senior",HR_Data[[#This Row],[Experience]]&gt;=3,"Mid-Level",TRUE(),"Junior")</f>
        <v>Expert</v>
      </c>
    </row>
    <row r="619" spans="1:22" ht="14.25" customHeight="1" x14ac:dyDescent="0.3">
      <c r="A619" t="s">
        <v>1434</v>
      </c>
      <c r="B619" t="s">
        <v>92</v>
      </c>
      <c r="C619" t="s">
        <v>40</v>
      </c>
      <c r="D619" t="s">
        <v>33</v>
      </c>
      <c r="E619">
        <v>48</v>
      </c>
      <c r="F619">
        <v>102816</v>
      </c>
      <c r="G619">
        <v>23</v>
      </c>
      <c r="H619" t="s">
        <v>1435</v>
      </c>
      <c r="I619" t="s">
        <v>35</v>
      </c>
      <c r="J619" t="s">
        <v>28</v>
      </c>
      <c r="K619" t="s">
        <v>29</v>
      </c>
      <c r="L619" t="str">
        <f t="array" ref="L619">_xlfn.IFS(HR_Data[[#This Row],[Experience]]&lt;2,"0-2 Years",HR_Data[[#This Row],[Experience]]&lt;5,"2-5 Years",HR_Data[[#This Row],[Experience]]&lt;10,"5-10 Years",TRUE(),"10+ Years")</f>
        <v>10+ Years</v>
      </c>
      <c r="M619" t="str">
        <f t="array" ref="M619">_xlfn.IFS(HR_Data[[#This Row],[Salary]]&lt;40000,"Low",HR_Data[[#This Row],[Salary]]&lt;70000,"Medium",HR_Data[[#This Row],[Salary]]&lt;100000,"High",TRUE(),"Very High")</f>
        <v>Very High</v>
      </c>
      <c r="N619" t="str">
        <f t="array" ref="N619">_xlfn.IFS(HR_Data[[#This Row],[Age]]&lt;25,"18-24",HR_Data[[#This Row],[Age]]&lt;35,"25-34",HR_Data[[#This Row],[Age]]&lt;45,"35-44",TRUE(),"45+")</f>
        <v>45+</v>
      </c>
      <c r="O619">
        <f>YEAR(HR_Data[[#This Row],[Joining Date]])</f>
        <v>2015</v>
      </c>
      <c r="P619" t="str">
        <f>TEXT(HR_Data[[#This Row],[Joining Date]],"mmmm")</f>
        <v>April</v>
      </c>
      <c r="Q619">
        <f t="array" ref="Q61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619">
        <f>HR_Data[[#This Row],[Salary]]*HR_Data[[#This Row],[Bonus %]]</f>
        <v>15422.4</v>
      </c>
      <c r="S619">
        <f>HR_Data[[#This Row],[Salary]]+HR_Data[[#This Row],[Bonus Amount]]</f>
        <v>118238.39999999999</v>
      </c>
      <c r="T619" t="str">
        <f>IF(HR_Data[[#This Row],[Attrition]]="Yes","Inactive","Active")</f>
        <v>Active</v>
      </c>
      <c r="U619" t="str">
        <f t="array" ref="U619">_xlfn.IFS(HR_Data[[#This Row],[Salary]]&gt;=100000,"A",HR_Data[[#This Row],[Salary]]&gt;=70000,"B",HR_Data[[#This Row],[Salary]]&gt;=50000,"C",TRUE(),"D")</f>
        <v>A</v>
      </c>
      <c r="V619" t="str">
        <f t="array" ref="V619">_xlfn.IFS(HR_Data[[#This Row],[Experience]]&gt;=15,"Expert",HR_Data[[#This Row],[Experience]]&gt;=8,"Senior",HR_Data[[#This Row],[Experience]]&gt;=3,"Mid-Level",TRUE(),"Junior")</f>
        <v>Expert</v>
      </c>
    </row>
    <row r="620" spans="1:22" ht="14.25" customHeight="1" x14ac:dyDescent="0.3">
      <c r="A620" t="s">
        <v>1436</v>
      </c>
      <c r="B620" t="s">
        <v>657</v>
      </c>
      <c r="C620" t="s">
        <v>70</v>
      </c>
      <c r="D620" t="s">
        <v>33</v>
      </c>
      <c r="E620">
        <v>52</v>
      </c>
      <c r="F620">
        <v>109657</v>
      </c>
      <c r="G620">
        <v>26</v>
      </c>
      <c r="H620" t="s">
        <v>1437</v>
      </c>
      <c r="I620" t="s">
        <v>132</v>
      </c>
      <c r="J620" t="s">
        <v>46</v>
      </c>
      <c r="K620" t="s">
        <v>29</v>
      </c>
      <c r="L620" t="str">
        <f t="array" ref="L620">_xlfn.IFS(HR_Data[[#This Row],[Experience]]&lt;2,"0-2 Years",HR_Data[[#This Row],[Experience]]&lt;5,"2-5 Years",HR_Data[[#This Row],[Experience]]&lt;10,"5-10 Years",TRUE(),"10+ Years")</f>
        <v>10+ Years</v>
      </c>
      <c r="M620" t="str">
        <f t="array" ref="M620">_xlfn.IFS(HR_Data[[#This Row],[Salary]]&lt;40000,"Low",HR_Data[[#This Row],[Salary]]&lt;70000,"Medium",HR_Data[[#This Row],[Salary]]&lt;100000,"High",TRUE(),"Very High")</f>
        <v>Very High</v>
      </c>
      <c r="N620" t="str">
        <f t="array" ref="N620">_xlfn.IFS(HR_Data[[#This Row],[Age]]&lt;25,"18-24",HR_Data[[#This Row],[Age]]&lt;35,"25-34",HR_Data[[#This Row],[Age]]&lt;45,"35-44",TRUE(),"45+")</f>
        <v>45+</v>
      </c>
      <c r="O620">
        <f>YEAR(HR_Data[[#This Row],[Joining Date]])</f>
        <v>2018</v>
      </c>
      <c r="P620" t="str">
        <f>TEXT(HR_Data[[#This Row],[Joining Date]],"mmmm")</f>
        <v>September</v>
      </c>
      <c r="Q620">
        <f t="array" ref="Q620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620">
        <f>HR_Data[[#This Row],[Salary]]*HR_Data[[#This Row],[Bonus %]]</f>
        <v>5482.85</v>
      </c>
      <c r="S620">
        <f>HR_Data[[#This Row],[Salary]]+HR_Data[[#This Row],[Bonus Amount]]</f>
        <v>115139.85</v>
      </c>
      <c r="T620" t="str">
        <f>IF(HR_Data[[#This Row],[Attrition]]="Yes","Inactive","Active")</f>
        <v>Active</v>
      </c>
      <c r="U620" t="str">
        <f t="array" ref="U620">_xlfn.IFS(HR_Data[[#This Row],[Salary]]&gt;=100000,"A",HR_Data[[#This Row],[Salary]]&gt;=70000,"B",HR_Data[[#This Row],[Salary]]&gt;=50000,"C",TRUE(),"D")</f>
        <v>A</v>
      </c>
      <c r="V620" t="str">
        <f t="array" ref="V620">_xlfn.IFS(HR_Data[[#This Row],[Experience]]&gt;=15,"Expert",HR_Data[[#This Row],[Experience]]&gt;=8,"Senior",HR_Data[[#This Row],[Experience]]&gt;=3,"Mid-Level",TRUE(),"Junior")</f>
        <v>Expert</v>
      </c>
    </row>
    <row r="621" spans="1:22" ht="14.25" customHeight="1" x14ac:dyDescent="0.3">
      <c r="A621" t="s">
        <v>1438</v>
      </c>
      <c r="B621" t="s">
        <v>1350</v>
      </c>
      <c r="C621" t="s">
        <v>112</v>
      </c>
      <c r="D621" t="s">
        <v>25</v>
      </c>
      <c r="E621">
        <v>36</v>
      </c>
      <c r="F621">
        <v>74152</v>
      </c>
      <c r="G621">
        <v>13</v>
      </c>
      <c r="H621" t="s">
        <v>1439</v>
      </c>
      <c r="I621" t="s">
        <v>80</v>
      </c>
      <c r="J621" t="s">
        <v>63</v>
      </c>
      <c r="K621" t="s">
        <v>29</v>
      </c>
      <c r="L621" t="str">
        <f t="array" ref="L621">_xlfn.IFS(HR_Data[[#This Row],[Experience]]&lt;2,"0-2 Years",HR_Data[[#This Row],[Experience]]&lt;5,"2-5 Years",HR_Data[[#This Row],[Experience]]&lt;10,"5-10 Years",TRUE(),"10+ Years")</f>
        <v>10+ Years</v>
      </c>
      <c r="M621" t="str">
        <f t="array" ref="M621">_xlfn.IFS(HR_Data[[#This Row],[Salary]]&lt;40000,"Low",HR_Data[[#This Row],[Salary]]&lt;70000,"Medium",HR_Data[[#This Row],[Salary]]&lt;100000,"High",TRUE(),"Very High")</f>
        <v>High</v>
      </c>
      <c r="N621" t="str">
        <f t="array" ref="N621">_xlfn.IFS(HR_Data[[#This Row],[Age]]&lt;25,"18-24",HR_Data[[#This Row],[Age]]&lt;35,"25-34",HR_Data[[#This Row],[Age]]&lt;45,"35-44",TRUE(),"45+")</f>
        <v>35-44</v>
      </c>
      <c r="O621">
        <f>YEAR(HR_Data[[#This Row],[Joining Date]])</f>
        <v>2022</v>
      </c>
      <c r="P621" t="str">
        <f>TEXT(HR_Data[[#This Row],[Joining Date]],"mmmm")</f>
        <v>July</v>
      </c>
      <c r="Q621">
        <f t="array" ref="Q621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621">
        <f>HR_Data[[#This Row],[Salary]]*HR_Data[[#This Row],[Bonus %]]</f>
        <v>14830.400000000001</v>
      </c>
      <c r="S621">
        <f>HR_Data[[#This Row],[Salary]]+HR_Data[[#This Row],[Bonus Amount]]</f>
        <v>88982.399999999994</v>
      </c>
      <c r="T621" t="str">
        <f>IF(HR_Data[[#This Row],[Attrition]]="Yes","Inactive","Active")</f>
        <v>Active</v>
      </c>
      <c r="U621" t="str">
        <f t="array" ref="U621">_xlfn.IFS(HR_Data[[#This Row],[Salary]]&gt;=100000,"A",HR_Data[[#This Row],[Salary]]&gt;=70000,"B",HR_Data[[#This Row],[Salary]]&gt;=50000,"C",TRUE(),"D")</f>
        <v>B</v>
      </c>
      <c r="V621" t="str">
        <f t="array" ref="V621">_xlfn.IFS(HR_Data[[#This Row],[Experience]]&gt;=15,"Expert",HR_Data[[#This Row],[Experience]]&gt;=8,"Senior",HR_Data[[#This Row],[Experience]]&gt;=3,"Mid-Level",TRUE(),"Junior")</f>
        <v>Senior</v>
      </c>
    </row>
    <row r="622" spans="1:22" ht="14.25" customHeight="1" x14ac:dyDescent="0.3">
      <c r="A622" t="s">
        <v>1440</v>
      </c>
      <c r="B622" t="s">
        <v>1441</v>
      </c>
      <c r="C622" t="s">
        <v>70</v>
      </c>
      <c r="D622" t="s">
        <v>25</v>
      </c>
      <c r="E622">
        <v>47</v>
      </c>
      <c r="F622">
        <v>118412</v>
      </c>
      <c r="G622">
        <v>26</v>
      </c>
      <c r="H622" t="s">
        <v>1442</v>
      </c>
      <c r="I622" t="s">
        <v>80</v>
      </c>
      <c r="J622" t="s">
        <v>36</v>
      </c>
      <c r="K622" t="s">
        <v>29</v>
      </c>
      <c r="L622" t="str">
        <f t="array" ref="L622">_xlfn.IFS(HR_Data[[#This Row],[Experience]]&lt;2,"0-2 Years",HR_Data[[#This Row],[Experience]]&lt;5,"2-5 Years",HR_Data[[#This Row],[Experience]]&lt;10,"5-10 Years",TRUE(),"10+ Years")</f>
        <v>10+ Years</v>
      </c>
      <c r="M622" t="str">
        <f t="array" ref="M622">_xlfn.IFS(HR_Data[[#This Row],[Salary]]&lt;40000,"Low",HR_Data[[#This Row],[Salary]]&lt;70000,"Medium",HR_Data[[#This Row],[Salary]]&lt;100000,"High",TRUE(),"Very High")</f>
        <v>Very High</v>
      </c>
      <c r="N622" t="str">
        <f t="array" ref="N622">_xlfn.IFS(HR_Data[[#This Row],[Age]]&lt;25,"18-24",HR_Data[[#This Row],[Age]]&lt;35,"25-34",HR_Data[[#This Row],[Age]]&lt;45,"35-44",TRUE(),"45+")</f>
        <v>45+</v>
      </c>
      <c r="O622">
        <f>YEAR(HR_Data[[#This Row],[Joining Date]])</f>
        <v>2025</v>
      </c>
      <c r="P622" t="str">
        <f>TEXT(HR_Data[[#This Row],[Joining Date]],"mmmm")</f>
        <v>May</v>
      </c>
      <c r="Q622">
        <f t="array" ref="Q62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22">
        <f>HR_Data[[#This Row],[Salary]]*HR_Data[[#This Row],[Bonus %]]</f>
        <v>11841.2</v>
      </c>
      <c r="S622">
        <f>HR_Data[[#This Row],[Salary]]+HR_Data[[#This Row],[Bonus Amount]]</f>
        <v>130253.2</v>
      </c>
      <c r="T622" t="str">
        <f>IF(HR_Data[[#This Row],[Attrition]]="Yes","Inactive","Active")</f>
        <v>Active</v>
      </c>
      <c r="U622" t="str">
        <f t="array" ref="U622">_xlfn.IFS(HR_Data[[#This Row],[Salary]]&gt;=100000,"A",HR_Data[[#This Row],[Salary]]&gt;=70000,"B",HR_Data[[#This Row],[Salary]]&gt;=50000,"C",TRUE(),"D")</f>
        <v>A</v>
      </c>
      <c r="V622" t="str">
        <f t="array" ref="V622">_xlfn.IFS(HR_Data[[#This Row],[Experience]]&gt;=15,"Expert",HR_Data[[#This Row],[Experience]]&gt;=8,"Senior",HR_Data[[#This Row],[Experience]]&gt;=3,"Mid-Level",TRUE(),"Junior")</f>
        <v>Expert</v>
      </c>
    </row>
    <row r="623" spans="1:22" ht="14.25" customHeight="1" x14ac:dyDescent="0.3">
      <c r="A623" t="s">
        <v>1443</v>
      </c>
      <c r="B623" t="s">
        <v>115</v>
      </c>
      <c r="C623" t="s">
        <v>60</v>
      </c>
      <c r="D623" t="s">
        <v>33</v>
      </c>
      <c r="E623">
        <v>60</v>
      </c>
      <c r="F623">
        <v>130383</v>
      </c>
      <c r="G623">
        <v>35</v>
      </c>
      <c r="H623" t="s">
        <v>1444</v>
      </c>
      <c r="I623" t="s">
        <v>27</v>
      </c>
      <c r="J623" t="s">
        <v>46</v>
      </c>
      <c r="K623" t="s">
        <v>29</v>
      </c>
      <c r="L623" t="str">
        <f t="array" ref="L623">_xlfn.IFS(HR_Data[[#This Row],[Experience]]&lt;2,"0-2 Years",HR_Data[[#This Row],[Experience]]&lt;5,"2-5 Years",HR_Data[[#This Row],[Experience]]&lt;10,"5-10 Years",TRUE(),"10+ Years")</f>
        <v>10+ Years</v>
      </c>
      <c r="M623" t="str">
        <f t="array" ref="M623">_xlfn.IFS(HR_Data[[#This Row],[Salary]]&lt;40000,"Low",HR_Data[[#This Row],[Salary]]&lt;70000,"Medium",HR_Data[[#This Row],[Salary]]&lt;100000,"High",TRUE(),"Very High")</f>
        <v>Very High</v>
      </c>
      <c r="N623" t="str">
        <f t="array" ref="N623">_xlfn.IFS(HR_Data[[#This Row],[Age]]&lt;25,"18-24",HR_Data[[#This Row],[Age]]&lt;35,"25-34",HR_Data[[#This Row],[Age]]&lt;45,"35-44",TRUE(),"45+")</f>
        <v>45+</v>
      </c>
      <c r="O623">
        <f>YEAR(HR_Data[[#This Row],[Joining Date]])</f>
        <v>2021</v>
      </c>
      <c r="P623" t="str">
        <f>TEXT(HR_Data[[#This Row],[Joining Date]],"mmmm")</f>
        <v>October</v>
      </c>
      <c r="Q623">
        <f t="array" ref="Q623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623">
        <f>HR_Data[[#This Row],[Salary]]*HR_Data[[#This Row],[Bonus %]]</f>
        <v>6519.1500000000005</v>
      </c>
      <c r="S623">
        <f>HR_Data[[#This Row],[Salary]]+HR_Data[[#This Row],[Bonus Amount]]</f>
        <v>136902.15</v>
      </c>
      <c r="T623" t="str">
        <f>IF(HR_Data[[#This Row],[Attrition]]="Yes","Inactive","Active")</f>
        <v>Active</v>
      </c>
      <c r="U623" t="str">
        <f t="array" ref="U623">_xlfn.IFS(HR_Data[[#This Row],[Salary]]&gt;=100000,"A",HR_Data[[#This Row],[Salary]]&gt;=70000,"B",HR_Data[[#This Row],[Salary]]&gt;=50000,"C",TRUE(),"D")</f>
        <v>A</v>
      </c>
      <c r="V623" t="str">
        <f t="array" ref="V623">_xlfn.IFS(HR_Data[[#This Row],[Experience]]&gt;=15,"Expert",HR_Data[[#This Row],[Experience]]&gt;=8,"Senior",HR_Data[[#This Row],[Experience]]&gt;=3,"Mid-Level",TRUE(),"Junior")</f>
        <v>Expert</v>
      </c>
    </row>
    <row r="624" spans="1:22" ht="14.25" customHeight="1" x14ac:dyDescent="0.3">
      <c r="A624" t="s">
        <v>1445</v>
      </c>
      <c r="B624" t="s">
        <v>166</v>
      </c>
      <c r="C624" t="s">
        <v>70</v>
      </c>
      <c r="D624" t="s">
        <v>25</v>
      </c>
      <c r="E624">
        <v>32</v>
      </c>
      <c r="F624">
        <v>55635</v>
      </c>
      <c r="G624">
        <v>9</v>
      </c>
      <c r="H624" t="s">
        <v>1446</v>
      </c>
      <c r="I624" t="s">
        <v>57</v>
      </c>
      <c r="J624" t="s">
        <v>63</v>
      </c>
      <c r="K624" t="s">
        <v>29</v>
      </c>
      <c r="L624" t="str">
        <f t="array" ref="L624">_xlfn.IFS(HR_Data[[#This Row],[Experience]]&lt;2,"0-2 Years",HR_Data[[#This Row],[Experience]]&lt;5,"2-5 Years",HR_Data[[#This Row],[Experience]]&lt;10,"5-10 Years",TRUE(),"10+ Years")</f>
        <v>5-10 Years</v>
      </c>
      <c r="M624" t="str">
        <f t="array" ref="M624">_xlfn.IFS(HR_Data[[#This Row],[Salary]]&lt;40000,"Low",HR_Data[[#This Row],[Salary]]&lt;70000,"Medium",HR_Data[[#This Row],[Salary]]&lt;100000,"High",TRUE(),"Very High")</f>
        <v>Medium</v>
      </c>
      <c r="N624" t="str">
        <f t="array" ref="N624">_xlfn.IFS(HR_Data[[#This Row],[Age]]&lt;25,"18-24",HR_Data[[#This Row],[Age]]&lt;35,"25-34",HR_Data[[#This Row],[Age]]&lt;45,"35-44",TRUE(),"45+")</f>
        <v>25-34</v>
      </c>
      <c r="O624">
        <f>YEAR(HR_Data[[#This Row],[Joining Date]])</f>
        <v>2025</v>
      </c>
      <c r="P624" t="str">
        <f>TEXT(HR_Data[[#This Row],[Joining Date]],"mmmm")</f>
        <v>August</v>
      </c>
      <c r="Q624">
        <f t="array" ref="Q624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624">
        <f>HR_Data[[#This Row],[Salary]]*HR_Data[[#This Row],[Bonus %]]</f>
        <v>11127</v>
      </c>
      <c r="S624">
        <f>HR_Data[[#This Row],[Salary]]+HR_Data[[#This Row],[Bonus Amount]]</f>
        <v>66762</v>
      </c>
      <c r="T624" t="str">
        <f>IF(HR_Data[[#This Row],[Attrition]]="Yes","Inactive","Active")</f>
        <v>Active</v>
      </c>
      <c r="U624" t="str">
        <f t="array" ref="U624">_xlfn.IFS(HR_Data[[#This Row],[Salary]]&gt;=100000,"A",HR_Data[[#This Row],[Salary]]&gt;=70000,"B",HR_Data[[#This Row],[Salary]]&gt;=50000,"C",TRUE(),"D")</f>
        <v>C</v>
      </c>
      <c r="V624" t="str">
        <f t="array" ref="V624">_xlfn.IFS(HR_Data[[#This Row],[Experience]]&gt;=15,"Expert",HR_Data[[#This Row],[Experience]]&gt;=8,"Senior",HR_Data[[#This Row],[Experience]]&gt;=3,"Mid-Level",TRUE(),"Junior")</f>
        <v>Senior</v>
      </c>
    </row>
    <row r="625" spans="1:22" ht="14.25" customHeight="1" x14ac:dyDescent="0.3">
      <c r="A625" t="s">
        <v>1447</v>
      </c>
      <c r="B625" t="s">
        <v>310</v>
      </c>
      <c r="C625" t="s">
        <v>93</v>
      </c>
      <c r="D625" t="s">
        <v>25</v>
      </c>
      <c r="E625">
        <v>21</v>
      </c>
      <c r="F625">
        <v>29283</v>
      </c>
      <c r="G625">
        <v>1</v>
      </c>
      <c r="H625" t="s">
        <v>1448</v>
      </c>
      <c r="I625" t="s">
        <v>80</v>
      </c>
      <c r="J625" t="s">
        <v>90</v>
      </c>
      <c r="K625" t="s">
        <v>37</v>
      </c>
      <c r="L625" t="str">
        <f t="array" ref="L625">_xlfn.IFS(HR_Data[[#This Row],[Experience]]&lt;2,"0-2 Years",HR_Data[[#This Row],[Experience]]&lt;5,"2-5 Years",HR_Data[[#This Row],[Experience]]&lt;10,"5-10 Years",TRUE(),"10+ Years")</f>
        <v>0-2 Years</v>
      </c>
      <c r="M625" t="str">
        <f t="array" ref="M625">_xlfn.IFS(HR_Data[[#This Row],[Salary]]&lt;40000,"Low",HR_Data[[#This Row],[Salary]]&lt;70000,"Medium",HR_Data[[#This Row],[Salary]]&lt;100000,"High",TRUE(),"Very High")</f>
        <v>Low</v>
      </c>
      <c r="N625" t="str">
        <f t="array" ref="N625">_xlfn.IFS(HR_Data[[#This Row],[Age]]&lt;25,"18-24",HR_Data[[#This Row],[Age]]&lt;35,"25-34",HR_Data[[#This Row],[Age]]&lt;45,"35-44",TRUE(),"45+")</f>
        <v>18-24</v>
      </c>
      <c r="O625">
        <f>YEAR(HR_Data[[#This Row],[Joining Date]])</f>
        <v>2026</v>
      </c>
      <c r="P625" t="str">
        <f>TEXT(HR_Data[[#This Row],[Joining Date]],"mmmm")</f>
        <v>January</v>
      </c>
      <c r="Q625">
        <f t="array" ref="Q625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625">
        <f>HR_Data[[#This Row],[Salary]]*HR_Data[[#This Row],[Bonus %]]</f>
        <v>0</v>
      </c>
      <c r="S625">
        <f>HR_Data[[#This Row],[Salary]]+HR_Data[[#This Row],[Bonus Amount]]</f>
        <v>29283</v>
      </c>
      <c r="T625" t="str">
        <f>IF(HR_Data[[#This Row],[Attrition]]="Yes","Inactive","Active")</f>
        <v>Inactive</v>
      </c>
      <c r="U625" t="str">
        <f t="array" ref="U625">_xlfn.IFS(HR_Data[[#This Row],[Salary]]&gt;=100000,"A",HR_Data[[#This Row],[Salary]]&gt;=70000,"B",HR_Data[[#This Row],[Salary]]&gt;=50000,"C",TRUE(),"D")</f>
        <v>D</v>
      </c>
      <c r="V625" t="str">
        <f t="array" ref="V625">_xlfn.IFS(HR_Data[[#This Row],[Experience]]&gt;=15,"Expert",HR_Data[[#This Row],[Experience]]&gt;=8,"Senior",HR_Data[[#This Row],[Experience]]&gt;=3,"Mid-Level",TRUE(),"Junior")</f>
        <v>Junior</v>
      </c>
    </row>
    <row r="626" spans="1:22" ht="14.25" customHeight="1" x14ac:dyDescent="0.3">
      <c r="A626" t="s">
        <v>1449</v>
      </c>
      <c r="B626" t="s">
        <v>1118</v>
      </c>
      <c r="C626" t="s">
        <v>24</v>
      </c>
      <c r="D626" t="s">
        <v>33</v>
      </c>
      <c r="E626">
        <v>60</v>
      </c>
      <c r="F626">
        <v>116918</v>
      </c>
      <c r="G626">
        <v>30</v>
      </c>
      <c r="H626" t="s">
        <v>1450</v>
      </c>
      <c r="I626" t="s">
        <v>132</v>
      </c>
      <c r="J626" t="s">
        <v>36</v>
      </c>
      <c r="K626" t="s">
        <v>29</v>
      </c>
      <c r="L626" t="str">
        <f t="array" ref="L626">_xlfn.IFS(HR_Data[[#This Row],[Experience]]&lt;2,"0-2 Years",HR_Data[[#This Row],[Experience]]&lt;5,"2-5 Years",HR_Data[[#This Row],[Experience]]&lt;10,"5-10 Years",TRUE(),"10+ Years")</f>
        <v>10+ Years</v>
      </c>
      <c r="M626" t="str">
        <f t="array" ref="M626">_xlfn.IFS(HR_Data[[#This Row],[Salary]]&lt;40000,"Low",HR_Data[[#This Row],[Salary]]&lt;70000,"Medium",HR_Data[[#This Row],[Salary]]&lt;100000,"High",TRUE(),"Very High")</f>
        <v>Very High</v>
      </c>
      <c r="N626" t="str">
        <f t="array" ref="N626">_xlfn.IFS(HR_Data[[#This Row],[Age]]&lt;25,"18-24",HR_Data[[#This Row],[Age]]&lt;35,"25-34",HR_Data[[#This Row],[Age]]&lt;45,"35-44",TRUE(),"45+")</f>
        <v>45+</v>
      </c>
      <c r="O626">
        <f>YEAR(HR_Data[[#This Row],[Joining Date]])</f>
        <v>2023</v>
      </c>
      <c r="P626" t="str">
        <f>TEXT(HR_Data[[#This Row],[Joining Date]],"mmmm")</f>
        <v>May</v>
      </c>
      <c r="Q626">
        <f t="array" ref="Q62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26">
        <f>HR_Data[[#This Row],[Salary]]*HR_Data[[#This Row],[Bonus %]]</f>
        <v>11691.800000000001</v>
      </c>
      <c r="S626">
        <f>HR_Data[[#This Row],[Salary]]+HR_Data[[#This Row],[Bonus Amount]]</f>
        <v>128609.8</v>
      </c>
      <c r="T626" t="str">
        <f>IF(HR_Data[[#This Row],[Attrition]]="Yes","Inactive","Active")</f>
        <v>Active</v>
      </c>
      <c r="U626" t="str">
        <f t="array" ref="U626">_xlfn.IFS(HR_Data[[#This Row],[Salary]]&gt;=100000,"A",HR_Data[[#This Row],[Salary]]&gt;=70000,"B",HR_Data[[#This Row],[Salary]]&gt;=50000,"C",TRUE(),"D")</f>
        <v>A</v>
      </c>
      <c r="V626" t="str">
        <f t="array" ref="V626">_xlfn.IFS(HR_Data[[#This Row],[Experience]]&gt;=15,"Expert",HR_Data[[#This Row],[Experience]]&gt;=8,"Senior",HR_Data[[#This Row],[Experience]]&gt;=3,"Mid-Level",TRUE(),"Junior")</f>
        <v>Expert</v>
      </c>
    </row>
    <row r="627" spans="1:22" ht="14.25" customHeight="1" x14ac:dyDescent="0.3">
      <c r="A627" t="s">
        <v>1451</v>
      </c>
      <c r="B627" t="s">
        <v>102</v>
      </c>
      <c r="C627" t="s">
        <v>112</v>
      </c>
      <c r="D627" t="s">
        <v>25</v>
      </c>
      <c r="E627">
        <v>46</v>
      </c>
      <c r="F627">
        <v>85439</v>
      </c>
      <c r="G627">
        <v>20</v>
      </c>
      <c r="H627" t="s">
        <v>1452</v>
      </c>
      <c r="I627" t="s">
        <v>80</v>
      </c>
      <c r="J627" t="s">
        <v>28</v>
      </c>
      <c r="K627" t="s">
        <v>29</v>
      </c>
      <c r="L627" t="str">
        <f t="array" ref="L627">_xlfn.IFS(HR_Data[[#This Row],[Experience]]&lt;2,"0-2 Years",HR_Data[[#This Row],[Experience]]&lt;5,"2-5 Years",HR_Data[[#This Row],[Experience]]&lt;10,"5-10 Years",TRUE(),"10+ Years")</f>
        <v>10+ Years</v>
      </c>
      <c r="M627" t="str">
        <f t="array" ref="M627">_xlfn.IFS(HR_Data[[#This Row],[Salary]]&lt;40000,"Low",HR_Data[[#This Row],[Salary]]&lt;70000,"Medium",HR_Data[[#This Row],[Salary]]&lt;100000,"High",TRUE(),"Very High")</f>
        <v>High</v>
      </c>
      <c r="N627" t="str">
        <f t="array" ref="N627">_xlfn.IFS(HR_Data[[#This Row],[Age]]&lt;25,"18-24",HR_Data[[#This Row],[Age]]&lt;35,"25-34",HR_Data[[#This Row],[Age]]&lt;45,"35-44",TRUE(),"45+")</f>
        <v>45+</v>
      </c>
      <c r="O627">
        <f>YEAR(HR_Data[[#This Row],[Joining Date]])</f>
        <v>2023</v>
      </c>
      <c r="P627" t="str">
        <f>TEXT(HR_Data[[#This Row],[Joining Date]],"mmmm")</f>
        <v>January</v>
      </c>
      <c r="Q627">
        <f t="array" ref="Q62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627">
        <f>HR_Data[[#This Row],[Salary]]*HR_Data[[#This Row],[Bonus %]]</f>
        <v>12815.85</v>
      </c>
      <c r="S627">
        <f>HR_Data[[#This Row],[Salary]]+HR_Data[[#This Row],[Bonus Amount]]</f>
        <v>98254.85</v>
      </c>
      <c r="T627" t="str">
        <f>IF(HR_Data[[#This Row],[Attrition]]="Yes","Inactive","Active")</f>
        <v>Active</v>
      </c>
      <c r="U627" t="str">
        <f t="array" ref="U627">_xlfn.IFS(HR_Data[[#This Row],[Salary]]&gt;=100000,"A",HR_Data[[#This Row],[Salary]]&gt;=70000,"B",HR_Data[[#This Row],[Salary]]&gt;=50000,"C",TRUE(),"D")</f>
        <v>B</v>
      </c>
      <c r="V627" t="str">
        <f t="array" ref="V627">_xlfn.IFS(HR_Data[[#This Row],[Experience]]&gt;=15,"Expert",HR_Data[[#This Row],[Experience]]&gt;=8,"Senior",HR_Data[[#This Row],[Experience]]&gt;=3,"Mid-Level",TRUE(),"Junior")</f>
        <v>Expert</v>
      </c>
    </row>
    <row r="628" spans="1:22" ht="14.25" customHeight="1" x14ac:dyDescent="0.3">
      <c r="A628" t="s">
        <v>1453</v>
      </c>
      <c r="B628" t="s">
        <v>722</v>
      </c>
      <c r="C628" t="s">
        <v>70</v>
      </c>
      <c r="D628" t="s">
        <v>25</v>
      </c>
      <c r="E628">
        <v>60</v>
      </c>
      <c r="F628">
        <v>125117</v>
      </c>
      <c r="G628">
        <v>33</v>
      </c>
      <c r="H628" t="s">
        <v>1454</v>
      </c>
      <c r="I628" t="s">
        <v>67</v>
      </c>
      <c r="J628" t="s">
        <v>46</v>
      </c>
      <c r="K628" t="s">
        <v>29</v>
      </c>
      <c r="L628" t="str">
        <f t="array" ref="L628">_xlfn.IFS(HR_Data[[#This Row],[Experience]]&lt;2,"0-2 Years",HR_Data[[#This Row],[Experience]]&lt;5,"2-5 Years",HR_Data[[#This Row],[Experience]]&lt;10,"5-10 Years",TRUE(),"10+ Years")</f>
        <v>10+ Years</v>
      </c>
      <c r="M628" t="str">
        <f t="array" ref="M628">_xlfn.IFS(HR_Data[[#This Row],[Salary]]&lt;40000,"Low",HR_Data[[#This Row],[Salary]]&lt;70000,"Medium",HR_Data[[#This Row],[Salary]]&lt;100000,"High",TRUE(),"Very High")</f>
        <v>Very High</v>
      </c>
      <c r="N628" t="str">
        <f t="array" ref="N628">_xlfn.IFS(HR_Data[[#This Row],[Age]]&lt;25,"18-24",HR_Data[[#This Row],[Age]]&lt;35,"25-34",HR_Data[[#This Row],[Age]]&lt;45,"35-44",TRUE(),"45+")</f>
        <v>45+</v>
      </c>
      <c r="O628">
        <f>YEAR(HR_Data[[#This Row],[Joining Date]])</f>
        <v>2019</v>
      </c>
      <c r="P628" t="str">
        <f>TEXT(HR_Data[[#This Row],[Joining Date]],"mmmm")</f>
        <v>May</v>
      </c>
      <c r="Q628">
        <f t="array" ref="Q628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628">
        <f>HR_Data[[#This Row],[Salary]]*HR_Data[[#This Row],[Bonus %]]</f>
        <v>6255.85</v>
      </c>
      <c r="S628">
        <f>HR_Data[[#This Row],[Salary]]+HR_Data[[#This Row],[Bonus Amount]]</f>
        <v>131372.85</v>
      </c>
      <c r="T628" t="str">
        <f>IF(HR_Data[[#This Row],[Attrition]]="Yes","Inactive","Active")</f>
        <v>Active</v>
      </c>
      <c r="U628" t="str">
        <f t="array" ref="U628">_xlfn.IFS(HR_Data[[#This Row],[Salary]]&gt;=100000,"A",HR_Data[[#This Row],[Salary]]&gt;=70000,"B",HR_Data[[#This Row],[Salary]]&gt;=50000,"C",TRUE(),"D")</f>
        <v>A</v>
      </c>
      <c r="V628" t="str">
        <f t="array" ref="V628">_xlfn.IFS(HR_Data[[#This Row],[Experience]]&gt;=15,"Expert",HR_Data[[#This Row],[Experience]]&gt;=8,"Senior",HR_Data[[#This Row],[Experience]]&gt;=3,"Mid-Level",TRUE(),"Junior")</f>
        <v>Expert</v>
      </c>
    </row>
    <row r="629" spans="1:22" ht="14.25" customHeight="1" x14ac:dyDescent="0.3">
      <c r="A629" t="s">
        <v>1455</v>
      </c>
      <c r="B629" t="s">
        <v>605</v>
      </c>
      <c r="C629" t="s">
        <v>70</v>
      </c>
      <c r="D629" t="s">
        <v>25</v>
      </c>
      <c r="E629">
        <v>42</v>
      </c>
      <c r="F629">
        <v>89679</v>
      </c>
      <c r="G629">
        <v>19</v>
      </c>
      <c r="H629" t="s">
        <v>1456</v>
      </c>
      <c r="I629" t="s">
        <v>67</v>
      </c>
      <c r="J629" t="s">
        <v>36</v>
      </c>
      <c r="K629" t="s">
        <v>29</v>
      </c>
      <c r="L629" t="str">
        <f t="array" ref="L629">_xlfn.IFS(HR_Data[[#This Row],[Experience]]&lt;2,"0-2 Years",HR_Data[[#This Row],[Experience]]&lt;5,"2-5 Years",HR_Data[[#This Row],[Experience]]&lt;10,"5-10 Years",TRUE(),"10+ Years")</f>
        <v>10+ Years</v>
      </c>
      <c r="M629" t="str">
        <f t="array" ref="M629">_xlfn.IFS(HR_Data[[#This Row],[Salary]]&lt;40000,"Low",HR_Data[[#This Row],[Salary]]&lt;70000,"Medium",HR_Data[[#This Row],[Salary]]&lt;100000,"High",TRUE(),"Very High")</f>
        <v>High</v>
      </c>
      <c r="N629" t="str">
        <f t="array" ref="N629">_xlfn.IFS(HR_Data[[#This Row],[Age]]&lt;25,"18-24",HR_Data[[#This Row],[Age]]&lt;35,"25-34",HR_Data[[#This Row],[Age]]&lt;45,"35-44",TRUE(),"45+")</f>
        <v>35-44</v>
      </c>
      <c r="O629">
        <f>YEAR(HR_Data[[#This Row],[Joining Date]])</f>
        <v>2017</v>
      </c>
      <c r="P629" t="str">
        <f>TEXT(HR_Data[[#This Row],[Joining Date]],"mmmm")</f>
        <v>February</v>
      </c>
      <c r="Q629">
        <f t="array" ref="Q62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29">
        <f>HR_Data[[#This Row],[Salary]]*HR_Data[[#This Row],[Bonus %]]</f>
        <v>8967.9</v>
      </c>
      <c r="S629">
        <f>HR_Data[[#This Row],[Salary]]+HR_Data[[#This Row],[Bonus Amount]]</f>
        <v>98646.9</v>
      </c>
      <c r="T629" t="str">
        <f>IF(HR_Data[[#This Row],[Attrition]]="Yes","Inactive","Active")</f>
        <v>Active</v>
      </c>
      <c r="U629" t="str">
        <f t="array" ref="U629">_xlfn.IFS(HR_Data[[#This Row],[Salary]]&gt;=100000,"A",HR_Data[[#This Row],[Salary]]&gt;=70000,"B",HR_Data[[#This Row],[Salary]]&gt;=50000,"C",TRUE(),"D")</f>
        <v>B</v>
      </c>
      <c r="V629" t="str">
        <f t="array" ref="V629">_xlfn.IFS(HR_Data[[#This Row],[Experience]]&gt;=15,"Expert",HR_Data[[#This Row],[Experience]]&gt;=8,"Senior",HR_Data[[#This Row],[Experience]]&gt;=3,"Mid-Level",TRUE(),"Junior")</f>
        <v>Expert</v>
      </c>
    </row>
    <row r="630" spans="1:22" ht="14.25" customHeight="1" x14ac:dyDescent="0.3">
      <c r="A630" t="s">
        <v>1457</v>
      </c>
      <c r="B630" t="s">
        <v>884</v>
      </c>
      <c r="C630" t="s">
        <v>75</v>
      </c>
      <c r="D630" t="s">
        <v>33</v>
      </c>
      <c r="E630">
        <v>56</v>
      </c>
      <c r="F630">
        <v>127351</v>
      </c>
      <c r="G630">
        <v>31</v>
      </c>
      <c r="H630" t="s">
        <v>1458</v>
      </c>
      <c r="I630" t="s">
        <v>62</v>
      </c>
      <c r="J630" t="s">
        <v>63</v>
      </c>
      <c r="K630" t="s">
        <v>29</v>
      </c>
      <c r="L630" t="str">
        <f t="array" ref="L630">_xlfn.IFS(HR_Data[[#This Row],[Experience]]&lt;2,"0-2 Years",HR_Data[[#This Row],[Experience]]&lt;5,"2-5 Years",HR_Data[[#This Row],[Experience]]&lt;10,"5-10 Years",TRUE(),"10+ Years")</f>
        <v>10+ Years</v>
      </c>
      <c r="M630" t="str">
        <f t="array" ref="M630">_xlfn.IFS(HR_Data[[#This Row],[Salary]]&lt;40000,"Low",HR_Data[[#This Row],[Salary]]&lt;70000,"Medium",HR_Data[[#This Row],[Salary]]&lt;100000,"High",TRUE(),"Very High")</f>
        <v>Very High</v>
      </c>
      <c r="N630" t="str">
        <f t="array" ref="N630">_xlfn.IFS(HR_Data[[#This Row],[Age]]&lt;25,"18-24",HR_Data[[#This Row],[Age]]&lt;35,"25-34",HR_Data[[#This Row],[Age]]&lt;45,"35-44",TRUE(),"45+")</f>
        <v>45+</v>
      </c>
      <c r="O630">
        <f>YEAR(HR_Data[[#This Row],[Joining Date]])</f>
        <v>2018</v>
      </c>
      <c r="P630" t="str">
        <f>TEXT(HR_Data[[#This Row],[Joining Date]],"mmmm")</f>
        <v>August</v>
      </c>
      <c r="Q630">
        <f t="array" ref="Q630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630">
        <f>HR_Data[[#This Row],[Salary]]*HR_Data[[#This Row],[Bonus %]]</f>
        <v>25470.2</v>
      </c>
      <c r="S630">
        <f>HR_Data[[#This Row],[Salary]]+HR_Data[[#This Row],[Bonus Amount]]</f>
        <v>152821.20000000001</v>
      </c>
      <c r="T630" t="str">
        <f>IF(HR_Data[[#This Row],[Attrition]]="Yes","Inactive","Active")</f>
        <v>Active</v>
      </c>
      <c r="U630" t="str">
        <f t="array" ref="U630">_xlfn.IFS(HR_Data[[#This Row],[Salary]]&gt;=100000,"A",HR_Data[[#This Row],[Salary]]&gt;=70000,"B",HR_Data[[#This Row],[Salary]]&gt;=50000,"C",TRUE(),"D")</f>
        <v>A</v>
      </c>
      <c r="V630" t="str">
        <f t="array" ref="V630">_xlfn.IFS(HR_Data[[#This Row],[Experience]]&gt;=15,"Expert",HR_Data[[#This Row],[Experience]]&gt;=8,"Senior",HR_Data[[#This Row],[Experience]]&gt;=3,"Mid-Level",TRUE(),"Junior")</f>
        <v>Expert</v>
      </c>
    </row>
    <row r="631" spans="1:22" ht="14.25" customHeight="1" x14ac:dyDescent="0.3">
      <c r="A631" t="s">
        <v>1459</v>
      </c>
      <c r="B631" t="s">
        <v>370</v>
      </c>
      <c r="C631" t="s">
        <v>70</v>
      </c>
      <c r="D631" t="s">
        <v>25</v>
      </c>
      <c r="E631">
        <v>49</v>
      </c>
      <c r="F631">
        <v>113619</v>
      </c>
      <c r="G631">
        <v>29</v>
      </c>
      <c r="H631" t="s">
        <v>1102</v>
      </c>
      <c r="I631" t="s">
        <v>72</v>
      </c>
      <c r="J631" t="s">
        <v>46</v>
      </c>
      <c r="K631" t="s">
        <v>29</v>
      </c>
      <c r="L631" t="str">
        <f t="array" ref="L631">_xlfn.IFS(HR_Data[[#This Row],[Experience]]&lt;2,"0-2 Years",HR_Data[[#This Row],[Experience]]&lt;5,"2-5 Years",HR_Data[[#This Row],[Experience]]&lt;10,"5-10 Years",TRUE(),"10+ Years")</f>
        <v>10+ Years</v>
      </c>
      <c r="M631" t="str">
        <f t="array" ref="M631">_xlfn.IFS(HR_Data[[#This Row],[Salary]]&lt;40000,"Low",HR_Data[[#This Row],[Salary]]&lt;70000,"Medium",HR_Data[[#This Row],[Salary]]&lt;100000,"High",TRUE(),"Very High")</f>
        <v>Very High</v>
      </c>
      <c r="N631" t="str">
        <f t="array" ref="N631">_xlfn.IFS(HR_Data[[#This Row],[Age]]&lt;25,"18-24",HR_Data[[#This Row],[Age]]&lt;35,"25-34",HR_Data[[#This Row],[Age]]&lt;45,"35-44",TRUE(),"45+")</f>
        <v>45+</v>
      </c>
      <c r="O631">
        <f>YEAR(HR_Data[[#This Row],[Joining Date]])</f>
        <v>2017</v>
      </c>
      <c r="P631" t="str">
        <f>TEXT(HR_Data[[#This Row],[Joining Date]],"mmmm")</f>
        <v>December</v>
      </c>
      <c r="Q631">
        <f t="array" ref="Q631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631">
        <f>HR_Data[[#This Row],[Salary]]*HR_Data[[#This Row],[Bonus %]]</f>
        <v>5680.9500000000007</v>
      </c>
      <c r="S631">
        <f>HR_Data[[#This Row],[Salary]]+HR_Data[[#This Row],[Bonus Amount]]</f>
        <v>119299.95</v>
      </c>
      <c r="T631" t="str">
        <f>IF(HR_Data[[#This Row],[Attrition]]="Yes","Inactive","Active")</f>
        <v>Active</v>
      </c>
      <c r="U631" t="str">
        <f t="array" ref="U631">_xlfn.IFS(HR_Data[[#This Row],[Salary]]&gt;=100000,"A",HR_Data[[#This Row],[Salary]]&gt;=70000,"B",HR_Data[[#This Row],[Salary]]&gt;=50000,"C",TRUE(),"D")</f>
        <v>A</v>
      </c>
      <c r="V631" t="str">
        <f t="array" ref="V631">_xlfn.IFS(HR_Data[[#This Row],[Experience]]&gt;=15,"Expert",HR_Data[[#This Row],[Experience]]&gt;=8,"Senior",HR_Data[[#This Row],[Experience]]&gt;=3,"Mid-Level",TRUE(),"Junior")</f>
        <v>Expert</v>
      </c>
    </row>
    <row r="632" spans="1:22" ht="14.25" customHeight="1" x14ac:dyDescent="0.3">
      <c r="A632" t="s">
        <v>1460</v>
      </c>
      <c r="B632" t="s">
        <v>773</v>
      </c>
      <c r="C632" t="s">
        <v>70</v>
      </c>
      <c r="D632" t="s">
        <v>33</v>
      </c>
      <c r="E632">
        <v>57</v>
      </c>
      <c r="F632">
        <v>128242</v>
      </c>
      <c r="G632">
        <v>33</v>
      </c>
      <c r="H632" t="s">
        <v>1461</v>
      </c>
      <c r="I632" t="s">
        <v>80</v>
      </c>
      <c r="J632" t="s">
        <v>63</v>
      </c>
      <c r="K632" t="s">
        <v>29</v>
      </c>
      <c r="L632" t="str">
        <f t="array" ref="L632">_xlfn.IFS(HR_Data[[#This Row],[Experience]]&lt;2,"0-2 Years",HR_Data[[#This Row],[Experience]]&lt;5,"2-5 Years",HR_Data[[#This Row],[Experience]]&lt;10,"5-10 Years",TRUE(),"10+ Years")</f>
        <v>10+ Years</v>
      </c>
      <c r="M632" t="str">
        <f t="array" ref="M632">_xlfn.IFS(HR_Data[[#This Row],[Salary]]&lt;40000,"Low",HR_Data[[#This Row],[Salary]]&lt;70000,"Medium",HR_Data[[#This Row],[Salary]]&lt;100000,"High",TRUE(),"Very High")</f>
        <v>Very High</v>
      </c>
      <c r="N632" t="str">
        <f t="array" ref="N632">_xlfn.IFS(HR_Data[[#This Row],[Age]]&lt;25,"18-24",HR_Data[[#This Row],[Age]]&lt;35,"25-34",HR_Data[[#This Row],[Age]]&lt;45,"35-44",TRUE(),"45+")</f>
        <v>45+</v>
      </c>
      <c r="O632">
        <f>YEAR(HR_Data[[#This Row],[Joining Date]])</f>
        <v>2021</v>
      </c>
      <c r="P632" t="str">
        <f>TEXT(HR_Data[[#This Row],[Joining Date]],"mmmm")</f>
        <v>October</v>
      </c>
      <c r="Q632">
        <f t="array" ref="Q632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632">
        <f>HR_Data[[#This Row],[Salary]]*HR_Data[[#This Row],[Bonus %]]</f>
        <v>25648.400000000001</v>
      </c>
      <c r="S632">
        <f>HR_Data[[#This Row],[Salary]]+HR_Data[[#This Row],[Bonus Amount]]</f>
        <v>153890.4</v>
      </c>
      <c r="T632" t="str">
        <f>IF(HR_Data[[#This Row],[Attrition]]="Yes","Inactive","Active")</f>
        <v>Active</v>
      </c>
      <c r="U632" t="str">
        <f t="array" ref="U632">_xlfn.IFS(HR_Data[[#This Row],[Salary]]&gt;=100000,"A",HR_Data[[#This Row],[Salary]]&gt;=70000,"B",HR_Data[[#This Row],[Salary]]&gt;=50000,"C",TRUE(),"D")</f>
        <v>A</v>
      </c>
      <c r="V632" t="str">
        <f t="array" ref="V632">_xlfn.IFS(HR_Data[[#This Row],[Experience]]&gt;=15,"Expert",HR_Data[[#This Row],[Experience]]&gt;=8,"Senior",HR_Data[[#This Row],[Experience]]&gt;=3,"Mid-Level",TRUE(),"Junior")</f>
        <v>Expert</v>
      </c>
    </row>
    <row r="633" spans="1:22" ht="14.25" customHeight="1" x14ac:dyDescent="0.3">
      <c r="A633" t="s">
        <v>1462</v>
      </c>
      <c r="B633" t="s">
        <v>718</v>
      </c>
      <c r="C633" t="s">
        <v>112</v>
      </c>
      <c r="D633" t="s">
        <v>25</v>
      </c>
      <c r="E633">
        <v>30</v>
      </c>
      <c r="F633">
        <v>46866</v>
      </c>
      <c r="G633">
        <v>8</v>
      </c>
      <c r="H633" t="s">
        <v>1276</v>
      </c>
      <c r="I633" t="s">
        <v>62</v>
      </c>
      <c r="J633" t="s">
        <v>36</v>
      </c>
      <c r="K633" t="s">
        <v>29</v>
      </c>
      <c r="L633" t="str">
        <f t="array" ref="L633">_xlfn.IFS(HR_Data[[#This Row],[Experience]]&lt;2,"0-2 Years",HR_Data[[#This Row],[Experience]]&lt;5,"2-5 Years",HR_Data[[#This Row],[Experience]]&lt;10,"5-10 Years",TRUE(),"10+ Years")</f>
        <v>5-10 Years</v>
      </c>
      <c r="M633" t="str">
        <f t="array" ref="M633">_xlfn.IFS(HR_Data[[#This Row],[Salary]]&lt;40000,"Low",HR_Data[[#This Row],[Salary]]&lt;70000,"Medium",HR_Data[[#This Row],[Salary]]&lt;100000,"High",TRUE(),"Very High")</f>
        <v>Medium</v>
      </c>
      <c r="N633" t="str">
        <f t="array" ref="N633">_xlfn.IFS(HR_Data[[#This Row],[Age]]&lt;25,"18-24",HR_Data[[#This Row],[Age]]&lt;35,"25-34",HR_Data[[#This Row],[Age]]&lt;45,"35-44",TRUE(),"45+")</f>
        <v>25-34</v>
      </c>
      <c r="O633">
        <f>YEAR(HR_Data[[#This Row],[Joining Date]])</f>
        <v>2016</v>
      </c>
      <c r="P633" t="str">
        <f>TEXT(HR_Data[[#This Row],[Joining Date]],"mmmm")</f>
        <v>October</v>
      </c>
      <c r="Q633">
        <f t="array" ref="Q633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33">
        <f>HR_Data[[#This Row],[Salary]]*HR_Data[[#This Row],[Bonus %]]</f>
        <v>4686.6000000000004</v>
      </c>
      <c r="S633">
        <f>HR_Data[[#This Row],[Salary]]+HR_Data[[#This Row],[Bonus Amount]]</f>
        <v>51552.6</v>
      </c>
      <c r="T633" t="str">
        <f>IF(HR_Data[[#This Row],[Attrition]]="Yes","Inactive","Active")</f>
        <v>Active</v>
      </c>
      <c r="U633" t="str">
        <f t="array" ref="U633">_xlfn.IFS(HR_Data[[#This Row],[Salary]]&gt;=100000,"A",HR_Data[[#This Row],[Salary]]&gt;=70000,"B",HR_Data[[#This Row],[Salary]]&gt;=50000,"C",TRUE(),"D")</f>
        <v>D</v>
      </c>
      <c r="V633" t="str">
        <f t="array" ref="V633">_xlfn.IFS(HR_Data[[#This Row],[Experience]]&gt;=15,"Expert",HR_Data[[#This Row],[Experience]]&gt;=8,"Senior",HR_Data[[#This Row],[Experience]]&gt;=3,"Mid-Level",TRUE(),"Junior")</f>
        <v>Senior</v>
      </c>
    </row>
    <row r="634" spans="1:22" ht="14.25" customHeight="1" x14ac:dyDescent="0.3">
      <c r="A634" t="s">
        <v>1463</v>
      </c>
      <c r="B634" t="s">
        <v>352</v>
      </c>
      <c r="C634" t="s">
        <v>40</v>
      </c>
      <c r="D634" t="s">
        <v>25</v>
      </c>
      <c r="E634">
        <v>24</v>
      </c>
      <c r="F634">
        <v>26932</v>
      </c>
      <c r="G634">
        <v>2</v>
      </c>
      <c r="H634" t="s">
        <v>1464</v>
      </c>
      <c r="I634" t="s">
        <v>27</v>
      </c>
      <c r="J634" t="s">
        <v>46</v>
      </c>
      <c r="K634" t="s">
        <v>29</v>
      </c>
      <c r="L634" t="str">
        <f t="array" ref="L634">_xlfn.IFS(HR_Data[[#This Row],[Experience]]&lt;2,"0-2 Years",HR_Data[[#This Row],[Experience]]&lt;5,"2-5 Years",HR_Data[[#This Row],[Experience]]&lt;10,"5-10 Years",TRUE(),"10+ Years")</f>
        <v>2-5 Years</v>
      </c>
      <c r="M634" t="str">
        <f t="array" ref="M634">_xlfn.IFS(HR_Data[[#This Row],[Salary]]&lt;40000,"Low",HR_Data[[#This Row],[Salary]]&lt;70000,"Medium",HR_Data[[#This Row],[Salary]]&lt;100000,"High",TRUE(),"Very High")</f>
        <v>Low</v>
      </c>
      <c r="N634" t="str">
        <f t="array" ref="N634">_xlfn.IFS(HR_Data[[#This Row],[Age]]&lt;25,"18-24",HR_Data[[#This Row],[Age]]&lt;35,"25-34",HR_Data[[#This Row],[Age]]&lt;45,"35-44",TRUE(),"45+")</f>
        <v>18-24</v>
      </c>
      <c r="O634">
        <f>YEAR(HR_Data[[#This Row],[Joining Date]])</f>
        <v>2015</v>
      </c>
      <c r="P634" t="str">
        <f>TEXT(HR_Data[[#This Row],[Joining Date]],"mmmm")</f>
        <v>September</v>
      </c>
      <c r="Q634">
        <f t="array" ref="Q634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634">
        <f>HR_Data[[#This Row],[Salary]]*HR_Data[[#This Row],[Bonus %]]</f>
        <v>1346.6000000000001</v>
      </c>
      <c r="S634">
        <f>HR_Data[[#This Row],[Salary]]+HR_Data[[#This Row],[Bonus Amount]]</f>
        <v>28278.6</v>
      </c>
      <c r="T634" t="str">
        <f>IF(HR_Data[[#This Row],[Attrition]]="Yes","Inactive","Active")</f>
        <v>Active</v>
      </c>
      <c r="U634" t="str">
        <f t="array" ref="U634">_xlfn.IFS(HR_Data[[#This Row],[Salary]]&gt;=100000,"A",HR_Data[[#This Row],[Salary]]&gt;=70000,"B",HR_Data[[#This Row],[Salary]]&gt;=50000,"C",TRUE(),"D")</f>
        <v>D</v>
      </c>
      <c r="V634" t="str">
        <f t="array" ref="V634">_xlfn.IFS(HR_Data[[#This Row],[Experience]]&gt;=15,"Expert",HR_Data[[#This Row],[Experience]]&gt;=8,"Senior",HR_Data[[#This Row],[Experience]]&gt;=3,"Mid-Level",TRUE(),"Junior")</f>
        <v>Junior</v>
      </c>
    </row>
    <row r="635" spans="1:22" ht="14.25" customHeight="1" x14ac:dyDescent="0.3">
      <c r="A635" t="s">
        <v>1465</v>
      </c>
      <c r="B635" t="s">
        <v>342</v>
      </c>
      <c r="C635" t="s">
        <v>60</v>
      </c>
      <c r="D635" t="s">
        <v>33</v>
      </c>
      <c r="E635">
        <v>27</v>
      </c>
      <c r="F635">
        <v>30136</v>
      </c>
      <c r="G635">
        <v>4</v>
      </c>
      <c r="H635" t="s">
        <v>1466</v>
      </c>
      <c r="I635" t="s">
        <v>67</v>
      </c>
      <c r="J635" t="s">
        <v>46</v>
      </c>
      <c r="K635" t="s">
        <v>29</v>
      </c>
      <c r="L635" t="str">
        <f t="array" ref="L635">_xlfn.IFS(HR_Data[[#This Row],[Experience]]&lt;2,"0-2 Years",HR_Data[[#This Row],[Experience]]&lt;5,"2-5 Years",HR_Data[[#This Row],[Experience]]&lt;10,"5-10 Years",TRUE(),"10+ Years")</f>
        <v>2-5 Years</v>
      </c>
      <c r="M635" t="str">
        <f t="array" ref="M635">_xlfn.IFS(HR_Data[[#This Row],[Salary]]&lt;40000,"Low",HR_Data[[#This Row],[Salary]]&lt;70000,"Medium",HR_Data[[#This Row],[Salary]]&lt;100000,"High",TRUE(),"Very High")</f>
        <v>Low</v>
      </c>
      <c r="N635" t="str">
        <f t="array" ref="N635">_xlfn.IFS(HR_Data[[#This Row],[Age]]&lt;25,"18-24",HR_Data[[#This Row],[Age]]&lt;35,"25-34",HR_Data[[#This Row],[Age]]&lt;45,"35-44",TRUE(),"45+")</f>
        <v>25-34</v>
      </c>
      <c r="O635">
        <f>YEAR(HR_Data[[#This Row],[Joining Date]])</f>
        <v>2017</v>
      </c>
      <c r="P635" t="str">
        <f>TEXT(HR_Data[[#This Row],[Joining Date]],"mmmm")</f>
        <v>March</v>
      </c>
      <c r="Q635">
        <f t="array" ref="Q635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635">
        <f>HR_Data[[#This Row],[Salary]]*HR_Data[[#This Row],[Bonus %]]</f>
        <v>1506.8000000000002</v>
      </c>
      <c r="S635">
        <f>HR_Data[[#This Row],[Salary]]+HR_Data[[#This Row],[Bonus Amount]]</f>
        <v>31642.799999999999</v>
      </c>
      <c r="T635" t="str">
        <f>IF(HR_Data[[#This Row],[Attrition]]="Yes","Inactive","Active")</f>
        <v>Active</v>
      </c>
      <c r="U635" t="str">
        <f t="array" ref="U635">_xlfn.IFS(HR_Data[[#This Row],[Salary]]&gt;=100000,"A",HR_Data[[#This Row],[Salary]]&gt;=70000,"B",HR_Data[[#This Row],[Salary]]&gt;=50000,"C",TRUE(),"D")</f>
        <v>D</v>
      </c>
      <c r="V635" t="str">
        <f t="array" ref="V635">_xlfn.IFS(HR_Data[[#This Row],[Experience]]&gt;=15,"Expert",HR_Data[[#This Row],[Experience]]&gt;=8,"Senior",HR_Data[[#This Row],[Experience]]&gt;=3,"Mid-Level",TRUE(),"Junior")</f>
        <v>Mid-Level</v>
      </c>
    </row>
    <row r="636" spans="1:22" ht="14.25" customHeight="1" x14ac:dyDescent="0.3">
      <c r="A636" t="s">
        <v>1467</v>
      </c>
      <c r="B636" t="s">
        <v>252</v>
      </c>
      <c r="C636" t="s">
        <v>24</v>
      </c>
      <c r="D636" t="s">
        <v>33</v>
      </c>
      <c r="E636">
        <v>21</v>
      </c>
      <c r="F636">
        <v>25000</v>
      </c>
      <c r="G636">
        <v>1</v>
      </c>
      <c r="H636" t="s">
        <v>1468</v>
      </c>
      <c r="I636" t="s">
        <v>45</v>
      </c>
      <c r="J636" t="s">
        <v>90</v>
      </c>
      <c r="K636" t="s">
        <v>29</v>
      </c>
      <c r="L636" t="str">
        <f t="array" ref="L636">_xlfn.IFS(HR_Data[[#This Row],[Experience]]&lt;2,"0-2 Years",HR_Data[[#This Row],[Experience]]&lt;5,"2-5 Years",HR_Data[[#This Row],[Experience]]&lt;10,"5-10 Years",TRUE(),"10+ Years")</f>
        <v>0-2 Years</v>
      </c>
      <c r="M636" t="str">
        <f t="array" ref="M636">_xlfn.IFS(HR_Data[[#This Row],[Salary]]&lt;40000,"Low",HR_Data[[#This Row],[Salary]]&lt;70000,"Medium",HR_Data[[#This Row],[Salary]]&lt;100000,"High",TRUE(),"Very High")</f>
        <v>Low</v>
      </c>
      <c r="N636" t="str">
        <f t="array" ref="N636">_xlfn.IFS(HR_Data[[#This Row],[Age]]&lt;25,"18-24",HR_Data[[#This Row],[Age]]&lt;35,"25-34",HR_Data[[#This Row],[Age]]&lt;45,"35-44",TRUE(),"45+")</f>
        <v>18-24</v>
      </c>
      <c r="O636">
        <f>YEAR(HR_Data[[#This Row],[Joining Date]])</f>
        <v>2021</v>
      </c>
      <c r="P636" t="str">
        <f>TEXT(HR_Data[[#This Row],[Joining Date]],"mmmm")</f>
        <v>March</v>
      </c>
      <c r="Q636">
        <f t="array" ref="Q636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636">
        <f>HR_Data[[#This Row],[Salary]]*HR_Data[[#This Row],[Bonus %]]</f>
        <v>0</v>
      </c>
      <c r="S636">
        <f>HR_Data[[#This Row],[Salary]]+HR_Data[[#This Row],[Bonus Amount]]</f>
        <v>25000</v>
      </c>
      <c r="T636" t="str">
        <f>IF(HR_Data[[#This Row],[Attrition]]="Yes","Inactive","Active")</f>
        <v>Active</v>
      </c>
      <c r="U636" t="str">
        <f t="array" ref="U636">_xlfn.IFS(HR_Data[[#This Row],[Salary]]&gt;=100000,"A",HR_Data[[#This Row],[Salary]]&gt;=70000,"B",HR_Data[[#This Row],[Salary]]&gt;=50000,"C",TRUE(),"D")</f>
        <v>D</v>
      </c>
      <c r="V636" t="str">
        <f t="array" ref="V636">_xlfn.IFS(HR_Data[[#This Row],[Experience]]&gt;=15,"Expert",HR_Data[[#This Row],[Experience]]&gt;=8,"Senior",HR_Data[[#This Row],[Experience]]&gt;=3,"Mid-Level",TRUE(),"Junior")</f>
        <v>Junior</v>
      </c>
    </row>
    <row r="637" spans="1:22" ht="14.25" customHeight="1" x14ac:dyDescent="0.3">
      <c r="A637" t="s">
        <v>1469</v>
      </c>
      <c r="B637" t="s">
        <v>801</v>
      </c>
      <c r="C637" t="s">
        <v>75</v>
      </c>
      <c r="D637" t="s">
        <v>33</v>
      </c>
      <c r="E637">
        <v>24</v>
      </c>
      <c r="F637">
        <v>48744</v>
      </c>
      <c r="G637">
        <v>4</v>
      </c>
      <c r="H637" t="s">
        <v>1470</v>
      </c>
      <c r="I637" t="s">
        <v>42</v>
      </c>
      <c r="J637" t="s">
        <v>36</v>
      </c>
      <c r="K637" t="s">
        <v>29</v>
      </c>
      <c r="L637" t="str">
        <f t="array" ref="L637">_xlfn.IFS(HR_Data[[#This Row],[Experience]]&lt;2,"0-2 Years",HR_Data[[#This Row],[Experience]]&lt;5,"2-5 Years",HR_Data[[#This Row],[Experience]]&lt;10,"5-10 Years",TRUE(),"10+ Years")</f>
        <v>2-5 Years</v>
      </c>
      <c r="M637" t="str">
        <f t="array" ref="M637">_xlfn.IFS(HR_Data[[#This Row],[Salary]]&lt;40000,"Low",HR_Data[[#This Row],[Salary]]&lt;70000,"Medium",HR_Data[[#This Row],[Salary]]&lt;100000,"High",TRUE(),"Very High")</f>
        <v>Medium</v>
      </c>
      <c r="N637" t="str">
        <f t="array" ref="N637">_xlfn.IFS(HR_Data[[#This Row],[Age]]&lt;25,"18-24",HR_Data[[#This Row],[Age]]&lt;35,"25-34",HR_Data[[#This Row],[Age]]&lt;45,"35-44",TRUE(),"45+")</f>
        <v>18-24</v>
      </c>
      <c r="O637">
        <f>YEAR(HR_Data[[#This Row],[Joining Date]])</f>
        <v>2015</v>
      </c>
      <c r="P637" t="str">
        <f>TEXT(HR_Data[[#This Row],[Joining Date]],"mmmm")</f>
        <v>April</v>
      </c>
      <c r="Q637">
        <f t="array" ref="Q637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37">
        <f>HR_Data[[#This Row],[Salary]]*HR_Data[[#This Row],[Bonus %]]</f>
        <v>4874.4000000000005</v>
      </c>
      <c r="S637">
        <f>HR_Data[[#This Row],[Salary]]+HR_Data[[#This Row],[Bonus Amount]]</f>
        <v>53618.400000000001</v>
      </c>
      <c r="T637" t="str">
        <f>IF(HR_Data[[#This Row],[Attrition]]="Yes","Inactive","Active")</f>
        <v>Active</v>
      </c>
      <c r="U637" t="str">
        <f t="array" ref="U637">_xlfn.IFS(HR_Data[[#This Row],[Salary]]&gt;=100000,"A",HR_Data[[#This Row],[Salary]]&gt;=70000,"B",HR_Data[[#This Row],[Salary]]&gt;=50000,"C",TRUE(),"D")</f>
        <v>D</v>
      </c>
      <c r="V637" t="str">
        <f t="array" ref="V637">_xlfn.IFS(HR_Data[[#This Row],[Experience]]&gt;=15,"Expert",HR_Data[[#This Row],[Experience]]&gt;=8,"Senior",HR_Data[[#This Row],[Experience]]&gt;=3,"Mid-Level",TRUE(),"Junior")</f>
        <v>Mid-Level</v>
      </c>
    </row>
    <row r="638" spans="1:22" ht="14.25" customHeight="1" x14ac:dyDescent="0.3">
      <c r="A638" t="s">
        <v>1471</v>
      </c>
      <c r="B638" t="s">
        <v>69</v>
      </c>
      <c r="C638" t="s">
        <v>55</v>
      </c>
      <c r="D638" t="s">
        <v>25</v>
      </c>
      <c r="E638">
        <v>40</v>
      </c>
      <c r="F638">
        <v>74155</v>
      </c>
      <c r="G638">
        <v>13</v>
      </c>
      <c r="H638" t="s">
        <v>1472</v>
      </c>
      <c r="I638" t="s">
        <v>62</v>
      </c>
      <c r="J638" t="s">
        <v>36</v>
      </c>
      <c r="K638" t="s">
        <v>29</v>
      </c>
      <c r="L638" t="str">
        <f t="array" ref="L638">_xlfn.IFS(HR_Data[[#This Row],[Experience]]&lt;2,"0-2 Years",HR_Data[[#This Row],[Experience]]&lt;5,"2-5 Years",HR_Data[[#This Row],[Experience]]&lt;10,"5-10 Years",TRUE(),"10+ Years")</f>
        <v>10+ Years</v>
      </c>
      <c r="M638" t="str">
        <f t="array" ref="M638">_xlfn.IFS(HR_Data[[#This Row],[Salary]]&lt;40000,"Low",HR_Data[[#This Row],[Salary]]&lt;70000,"Medium",HR_Data[[#This Row],[Salary]]&lt;100000,"High",TRUE(),"Very High")</f>
        <v>High</v>
      </c>
      <c r="N638" t="str">
        <f t="array" ref="N638">_xlfn.IFS(HR_Data[[#This Row],[Age]]&lt;25,"18-24",HR_Data[[#This Row],[Age]]&lt;35,"25-34",HR_Data[[#This Row],[Age]]&lt;45,"35-44",TRUE(),"45+")</f>
        <v>35-44</v>
      </c>
      <c r="O638">
        <f>YEAR(HR_Data[[#This Row],[Joining Date]])</f>
        <v>2023</v>
      </c>
      <c r="P638" t="str">
        <f>TEXT(HR_Data[[#This Row],[Joining Date]],"mmmm")</f>
        <v>March</v>
      </c>
      <c r="Q638">
        <f t="array" ref="Q63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38">
        <f>HR_Data[[#This Row],[Salary]]*HR_Data[[#This Row],[Bonus %]]</f>
        <v>7415.5</v>
      </c>
      <c r="S638">
        <f>HR_Data[[#This Row],[Salary]]+HR_Data[[#This Row],[Bonus Amount]]</f>
        <v>81570.5</v>
      </c>
      <c r="T638" t="str">
        <f>IF(HR_Data[[#This Row],[Attrition]]="Yes","Inactive","Active")</f>
        <v>Active</v>
      </c>
      <c r="U638" t="str">
        <f t="array" ref="U638">_xlfn.IFS(HR_Data[[#This Row],[Salary]]&gt;=100000,"A",HR_Data[[#This Row],[Salary]]&gt;=70000,"B",HR_Data[[#This Row],[Salary]]&gt;=50000,"C",TRUE(),"D")</f>
        <v>B</v>
      </c>
      <c r="V638" t="str">
        <f t="array" ref="V638">_xlfn.IFS(HR_Data[[#This Row],[Experience]]&gt;=15,"Expert",HR_Data[[#This Row],[Experience]]&gt;=8,"Senior",HR_Data[[#This Row],[Experience]]&gt;=3,"Mid-Level",TRUE(),"Junior")</f>
        <v>Senior</v>
      </c>
    </row>
    <row r="639" spans="1:22" ht="14.25" customHeight="1" x14ac:dyDescent="0.3">
      <c r="A639" t="s">
        <v>1473</v>
      </c>
      <c r="B639" t="s">
        <v>279</v>
      </c>
      <c r="C639" t="s">
        <v>40</v>
      </c>
      <c r="D639" t="s">
        <v>33</v>
      </c>
      <c r="E639">
        <v>40</v>
      </c>
      <c r="F639">
        <v>66056</v>
      </c>
      <c r="G639">
        <v>13</v>
      </c>
      <c r="H639" t="s">
        <v>1474</v>
      </c>
      <c r="I639" t="s">
        <v>35</v>
      </c>
      <c r="J639" t="s">
        <v>63</v>
      </c>
      <c r="K639" t="s">
        <v>29</v>
      </c>
      <c r="L639" t="str">
        <f t="array" ref="L639">_xlfn.IFS(HR_Data[[#This Row],[Experience]]&lt;2,"0-2 Years",HR_Data[[#This Row],[Experience]]&lt;5,"2-5 Years",HR_Data[[#This Row],[Experience]]&lt;10,"5-10 Years",TRUE(),"10+ Years")</f>
        <v>10+ Years</v>
      </c>
      <c r="M639" t="str">
        <f t="array" ref="M639">_xlfn.IFS(HR_Data[[#This Row],[Salary]]&lt;40000,"Low",HR_Data[[#This Row],[Salary]]&lt;70000,"Medium",HR_Data[[#This Row],[Salary]]&lt;100000,"High",TRUE(),"Very High")</f>
        <v>Medium</v>
      </c>
      <c r="N639" t="str">
        <f t="array" ref="N639">_xlfn.IFS(HR_Data[[#This Row],[Age]]&lt;25,"18-24",HR_Data[[#This Row],[Age]]&lt;35,"25-34",HR_Data[[#This Row],[Age]]&lt;45,"35-44",TRUE(),"45+")</f>
        <v>35-44</v>
      </c>
      <c r="O639">
        <f>YEAR(HR_Data[[#This Row],[Joining Date]])</f>
        <v>2024</v>
      </c>
      <c r="P639" t="str">
        <f>TEXT(HR_Data[[#This Row],[Joining Date]],"mmmm")</f>
        <v>February</v>
      </c>
      <c r="Q639">
        <f t="array" ref="Q639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639">
        <f>HR_Data[[#This Row],[Salary]]*HR_Data[[#This Row],[Bonus %]]</f>
        <v>13211.2</v>
      </c>
      <c r="S639">
        <f>HR_Data[[#This Row],[Salary]]+HR_Data[[#This Row],[Bonus Amount]]</f>
        <v>79267.199999999997</v>
      </c>
      <c r="T639" t="str">
        <f>IF(HR_Data[[#This Row],[Attrition]]="Yes","Inactive","Active")</f>
        <v>Active</v>
      </c>
      <c r="U639" t="str">
        <f t="array" ref="U639">_xlfn.IFS(HR_Data[[#This Row],[Salary]]&gt;=100000,"A",HR_Data[[#This Row],[Salary]]&gt;=70000,"B",HR_Data[[#This Row],[Salary]]&gt;=50000,"C",TRUE(),"D")</f>
        <v>C</v>
      </c>
      <c r="V639" t="str">
        <f t="array" ref="V639">_xlfn.IFS(HR_Data[[#This Row],[Experience]]&gt;=15,"Expert",HR_Data[[#This Row],[Experience]]&gt;=8,"Senior",HR_Data[[#This Row],[Experience]]&gt;=3,"Mid-Level",TRUE(),"Junior")</f>
        <v>Senior</v>
      </c>
    </row>
    <row r="640" spans="1:22" ht="14.25" customHeight="1" x14ac:dyDescent="0.3">
      <c r="A640" t="s">
        <v>1475</v>
      </c>
      <c r="B640" t="s">
        <v>1099</v>
      </c>
      <c r="C640" t="s">
        <v>93</v>
      </c>
      <c r="D640" t="s">
        <v>25</v>
      </c>
      <c r="E640">
        <v>53</v>
      </c>
      <c r="F640">
        <v>100046</v>
      </c>
      <c r="G640">
        <v>23</v>
      </c>
      <c r="H640" t="s">
        <v>1476</v>
      </c>
      <c r="I640" t="s">
        <v>35</v>
      </c>
      <c r="J640" t="s">
        <v>63</v>
      </c>
      <c r="K640" t="s">
        <v>29</v>
      </c>
      <c r="L640" t="str">
        <f t="array" ref="L640">_xlfn.IFS(HR_Data[[#This Row],[Experience]]&lt;2,"0-2 Years",HR_Data[[#This Row],[Experience]]&lt;5,"2-5 Years",HR_Data[[#This Row],[Experience]]&lt;10,"5-10 Years",TRUE(),"10+ Years")</f>
        <v>10+ Years</v>
      </c>
      <c r="M640" t="str">
        <f t="array" ref="M640">_xlfn.IFS(HR_Data[[#This Row],[Salary]]&lt;40000,"Low",HR_Data[[#This Row],[Salary]]&lt;70000,"Medium",HR_Data[[#This Row],[Salary]]&lt;100000,"High",TRUE(),"Very High")</f>
        <v>Very High</v>
      </c>
      <c r="N640" t="str">
        <f t="array" ref="N640">_xlfn.IFS(HR_Data[[#This Row],[Age]]&lt;25,"18-24",HR_Data[[#This Row],[Age]]&lt;35,"25-34",HR_Data[[#This Row],[Age]]&lt;45,"35-44",TRUE(),"45+")</f>
        <v>45+</v>
      </c>
      <c r="O640">
        <f>YEAR(HR_Data[[#This Row],[Joining Date]])</f>
        <v>2015</v>
      </c>
      <c r="P640" t="str">
        <f>TEXT(HR_Data[[#This Row],[Joining Date]],"mmmm")</f>
        <v>November</v>
      </c>
      <c r="Q640">
        <f t="array" ref="Q640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640">
        <f>HR_Data[[#This Row],[Salary]]*HR_Data[[#This Row],[Bonus %]]</f>
        <v>20009.2</v>
      </c>
      <c r="S640">
        <f>HR_Data[[#This Row],[Salary]]+HR_Data[[#This Row],[Bonus Amount]]</f>
        <v>120055.2</v>
      </c>
      <c r="T640" t="str">
        <f>IF(HR_Data[[#This Row],[Attrition]]="Yes","Inactive","Active")</f>
        <v>Active</v>
      </c>
      <c r="U640" t="str">
        <f t="array" ref="U640">_xlfn.IFS(HR_Data[[#This Row],[Salary]]&gt;=100000,"A",HR_Data[[#This Row],[Salary]]&gt;=70000,"B",HR_Data[[#This Row],[Salary]]&gt;=50000,"C",TRUE(),"D")</f>
        <v>A</v>
      </c>
      <c r="V640" t="str">
        <f t="array" ref="V640">_xlfn.IFS(HR_Data[[#This Row],[Experience]]&gt;=15,"Expert",HR_Data[[#This Row],[Experience]]&gt;=8,"Senior",HR_Data[[#This Row],[Experience]]&gt;=3,"Mid-Level",TRUE(),"Junior")</f>
        <v>Expert</v>
      </c>
    </row>
    <row r="641" spans="1:22" ht="14.25" customHeight="1" x14ac:dyDescent="0.3">
      <c r="A641" t="s">
        <v>1477</v>
      </c>
      <c r="B641" t="s">
        <v>108</v>
      </c>
      <c r="C641" t="s">
        <v>55</v>
      </c>
      <c r="D641" t="s">
        <v>33</v>
      </c>
      <c r="E641">
        <v>41</v>
      </c>
      <c r="F641">
        <v>75145</v>
      </c>
      <c r="G641">
        <v>14</v>
      </c>
      <c r="H641" t="s">
        <v>1478</v>
      </c>
      <c r="I641" t="s">
        <v>27</v>
      </c>
      <c r="J641" t="s">
        <v>90</v>
      </c>
      <c r="K641" t="s">
        <v>29</v>
      </c>
      <c r="L641" t="str">
        <f t="array" ref="L641">_xlfn.IFS(HR_Data[[#This Row],[Experience]]&lt;2,"0-2 Years",HR_Data[[#This Row],[Experience]]&lt;5,"2-5 Years",HR_Data[[#This Row],[Experience]]&lt;10,"5-10 Years",TRUE(),"10+ Years")</f>
        <v>10+ Years</v>
      </c>
      <c r="M641" t="str">
        <f t="array" ref="M641">_xlfn.IFS(HR_Data[[#This Row],[Salary]]&lt;40000,"Low",HR_Data[[#This Row],[Salary]]&lt;70000,"Medium",HR_Data[[#This Row],[Salary]]&lt;100000,"High",TRUE(),"Very High")</f>
        <v>High</v>
      </c>
      <c r="N641" t="str">
        <f t="array" ref="N641">_xlfn.IFS(HR_Data[[#This Row],[Age]]&lt;25,"18-24",HR_Data[[#This Row],[Age]]&lt;35,"25-34",HR_Data[[#This Row],[Age]]&lt;45,"35-44",TRUE(),"45+")</f>
        <v>35-44</v>
      </c>
      <c r="O641">
        <f>YEAR(HR_Data[[#This Row],[Joining Date]])</f>
        <v>2021</v>
      </c>
      <c r="P641" t="str">
        <f>TEXT(HR_Data[[#This Row],[Joining Date]],"mmmm")</f>
        <v>July</v>
      </c>
      <c r="Q641">
        <f t="array" ref="Q641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641">
        <f>HR_Data[[#This Row],[Salary]]*HR_Data[[#This Row],[Bonus %]]</f>
        <v>0</v>
      </c>
      <c r="S641">
        <f>HR_Data[[#This Row],[Salary]]+HR_Data[[#This Row],[Bonus Amount]]</f>
        <v>75145</v>
      </c>
      <c r="T641" t="str">
        <f>IF(HR_Data[[#This Row],[Attrition]]="Yes","Inactive","Active")</f>
        <v>Active</v>
      </c>
      <c r="U641" t="str">
        <f t="array" ref="U641">_xlfn.IFS(HR_Data[[#This Row],[Salary]]&gt;=100000,"A",HR_Data[[#This Row],[Salary]]&gt;=70000,"B",HR_Data[[#This Row],[Salary]]&gt;=50000,"C",TRUE(),"D")</f>
        <v>B</v>
      </c>
      <c r="V641" t="str">
        <f t="array" ref="V641">_xlfn.IFS(HR_Data[[#This Row],[Experience]]&gt;=15,"Expert",HR_Data[[#This Row],[Experience]]&gt;=8,"Senior",HR_Data[[#This Row],[Experience]]&gt;=3,"Mid-Level",TRUE(),"Junior")</f>
        <v>Senior</v>
      </c>
    </row>
    <row r="642" spans="1:22" ht="14.25" customHeight="1" x14ac:dyDescent="0.3">
      <c r="A642" t="s">
        <v>1479</v>
      </c>
      <c r="B642" t="s">
        <v>1053</v>
      </c>
      <c r="C642" t="s">
        <v>70</v>
      </c>
      <c r="D642" t="s">
        <v>25</v>
      </c>
      <c r="E642">
        <v>60</v>
      </c>
      <c r="F642">
        <v>119646</v>
      </c>
      <c r="G642">
        <v>31</v>
      </c>
      <c r="H642" t="s">
        <v>434</v>
      </c>
      <c r="I642" t="s">
        <v>62</v>
      </c>
      <c r="J642" t="s">
        <v>36</v>
      </c>
      <c r="K642" t="s">
        <v>29</v>
      </c>
      <c r="L642" t="str">
        <f t="array" ref="L642">_xlfn.IFS(HR_Data[[#This Row],[Experience]]&lt;2,"0-2 Years",HR_Data[[#This Row],[Experience]]&lt;5,"2-5 Years",HR_Data[[#This Row],[Experience]]&lt;10,"5-10 Years",TRUE(),"10+ Years")</f>
        <v>10+ Years</v>
      </c>
      <c r="M642" t="str">
        <f t="array" ref="M642">_xlfn.IFS(HR_Data[[#This Row],[Salary]]&lt;40000,"Low",HR_Data[[#This Row],[Salary]]&lt;70000,"Medium",HR_Data[[#This Row],[Salary]]&lt;100000,"High",TRUE(),"Very High")</f>
        <v>Very High</v>
      </c>
      <c r="N642" t="str">
        <f t="array" ref="N642">_xlfn.IFS(HR_Data[[#This Row],[Age]]&lt;25,"18-24",HR_Data[[#This Row],[Age]]&lt;35,"25-34",HR_Data[[#This Row],[Age]]&lt;45,"35-44",TRUE(),"45+")</f>
        <v>45+</v>
      </c>
      <c r="O642">
        <f>YEAR(HR_Data[[#This Row],[Joining Date]])</f>
        <v>2023</v>
      </c>
      <c r="P642" t="str">
        <f>TEXT(HR_Data[[#This Row],[Joining Date]],"mmmm")</f>
        <v>November</v>
      </c>
      <c r="Q642">
        <f t="array" ref="Q64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42">
        <f>HR_Data[[#This Row],[Salary]]*HR_Data[[#This Row],[Bonus %]]</f>
        <v>11964.6</v>
      </c>
      <c r="S642">
        <f>HR_Data[[#This Row],[Salary]]+HR_Data[[#This Row],[Bonus Amount]]</f>
        <v>131610.6</v>
      </c>
      <c r="T642" t="str">
        <f>IF(HR_Data[[#This Row],[Attrition]]="Yes","Inactive","Active")</f>
        <v>Active</v>
      </c>
      <c r="U642" t="str">
        <f t="array" ref="U642">_xlfn.IFS(HR_Data[[#This Row],[Salary]]&gt;=100000,"A",HR_Data[[#This Row],[Salary]]&gt;=70000,"B",HR_Data[[#This Row],[Salary]]&gt;=50000,"C",TRUE(),"D")</f>
        <v>A</v>
      </c>
      <c r="V642" t="str">
        <f t="array" ref="V642">_xlfn.IFS(HR_Data[[#This Row],[Experience]]&gt;=15,"Expert",HR_Data[[#This Row],[Experience]]&gt;=8,"Senior",HR_Data[[#This Row],[Experience]]&gt;=3,"Mid-Level",TRUE(),"Junior")</f>
        <v>Expert</v>
      </c>
    </row>
    <row r="643" spans="1:22" ht="14.25" customHeight="1" x14ac:dyDescent="0.3">
      <c r="A643" t="s">
        <v>1480</v>
      </c>
      <c r="B643" t="s">
        <v>342</v>
      </c>
      <c r="C643" t="s">
        <v>32</v>
      </c>
      <c r="D643" t="s">
        <v>33</v>
      </c>
      <c r="E643">
        <v>36</v>
      </c>
      <c r="F643">
        <v>41728</v>
      </c>
      <c r="G643">
        <v>6</v>
      </c>
      <c r="H643" t="s">
        <v>1481</v>
      </c>
      <c r="I643" t="s">
        <v>57</v>
      </c>
      <c r="J643" t="s">
        <v>28</v>
      </c>
      <c r="K643" t="s">
        <v>29</v>
      </c>
      <c r="L643" t="str">
        <f t="array" ref="L643">_xlfn.IFS(HR_Data[[#This Row],[Experience]]&lt;2,"0-2 Years",HR_Data[[#This Row],[Experience]]&lt;5,"2-5 Years",HR_Data[[#This Row],[Experience]]&lt;10,"5-10 Years",TRUE(),"10+ Years")</f>
        <v>5-10 Years</v>
      </c>
      <c r="M643" t="str">
        <f t="array" ref="M643">_xlfn.IFS(HR_Data[[#This Row],[Salary]]&lt;40000,"Low",HR_Data[[#This Row],[Salary]]&lt;70000,"Medium",HR_Data[[#This Row],[Salary]]&lt;100000,"High",TRUE(),"Very High")</f>
        <v>Medium</v>
      </c>
      <c r="N643" t="str">
        <f t="array" ref="N643">_xlfn.IFS(HR_Data[[#This Row],[Age]]&lt;25,"18-24",HR_Data[[#This Row],[Age]]&lt;35,"25-34",HR_Data[[#This Row],[Age]]&lt;45,"35-44",TRUE(),"45+")</f>
        <v>35-44</v>
      </c>
      <c r="O643">
        <f>YEAR(HR_Data[[#This Row],[Joining Date]])</f>
        <v>2016</v>
      </c>
      <c r="P643" t="str">
        <f>TEXT(HR_Data[[#This Row],[Joining Date]],"mmmm")</f>
        <v>June</v>
      </c>
      <c r="Q643">
        <f t="array" ref="Q64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643">
        <f>HR_Data[[#This Row],[Salary]]*HR_Data[[#This Row],[Bonus %]]</f>
        <v>6259.2</v>
      </c>
      <c r="S643">
        <f>HR_Data[[#This Row],[Salary]]+HR_Data[[#This Row],[Bonus Amount]]</f>
        <v>47987.199999999997</v>
      </c>
      <c r="T643" t="str">
        <f>IF(HR_Data[[#This Row],[Attrition]]="Yes","Inactive","Active")</f>
        <v>Active</v>
      </c>
      <c r="U643" t="str">
        <f t="array" ref="U643">_xlfn.IFS(HR_Data[[#This Row],[Salary]]&gt;=100000,"A",HR_Data[[#This Row],[Salary]]&gt;=70000,"B",HR_Data[[#This Row],[Salary]]&gt;=50000,"C",TRUE(),"D")</f>
        <v>D</v>
      </c>
      <c r="V643" t="str">
        <f t="array" ref="V643">_xlfn.IFS(HR_Data[[#This Row],[Experience]]&gt;=15,"Expert",HR_Data[[#This Row],[Experience]]&gt;=8,"Senior",HR_Data[[#This Row],[Experience]]&gt;=3,"Mid-Level",TRUE(),"Junior")</f>
        <v>Mid-Level</v>
      </c>
    </row>
    <row r="644" spans="1:22" ht="14.25" customHeight="1" x14ac:dyDescent="0.3">
      <c r="A644" t="s">
        <v>1482</v>
      </c>
      <c r="B644" t="s">
        <v>307</v>
      </c>
      <c r="C644" t="s">
        <v>32</v>
      </c>
      <c r="D644" t="s">
        <v>25</v>
      </c>
      <c r="E644">
        <v>57</v>
      </c>
      <c r="F644">
        <v>119754</v>
      </c>
      <c r="G644">
        <v>27</v>
      </c>
      <c r="H644" t="s">
        <v>1483</v>
      </c>
      <c r="I644" t="s">
        <v>35</v>
      </c>
      <c r="J644" t="s">
        <v>46</v>
      </c>
      <c r="K644" t="s">
        <v>29</v>
      </c>
      <c r="L644" t="str">
        <f t="array" ref="L644">_xlfn.IFS(HR_Data[[#This Row],[Experience]]&lt;2,"0-2 Years",HR_Data[[#This Row],[Experience]]&lt;5,"2-5 Years",HR_Data[[#This Row],[Experience]]&lt;10,"5-10 Years",TRUE(),"10+ Years")</f>
        <v>10+ Years</v>
      </c>
      <c r="M644" t="str">
        <f t="array" ref="M644">_xlfn.IFS(HR_Data[[#This Row],[Salary]]&lt;40000,"Low",HR_Data[[#This Row],[Salary]]&lt;70000,"Medium",HR_Data[[#This Row],[Salary]]&lt;100000,"High",TRUE(),"Very High")</f>
        <v>Very High</v>
      </c>
      <c r="N644" t="str">
        <f t="array" ref="N644">_xlfn.IFS(HR_Data[[#This Row],[Age]]&lt;25,"18-24",HR_Data[[#This Row],[Age]]&lt;35,"25-34",HR_Data[[#This Row],[Age]]&lt;45,"35-44",TRUE(),"45+")</f>
        <v>45+</v>
      </c>
      <c r="O644">
        <f>YEAR(HR_Data[[#This Row],[Joining Date]])</f>
        <v>2021</v>
      </c>
      <c r="P644" t="str">
        <f>TEXT(HR_Data[[#This Row],[Joining Date]],"mmmm")</f>
        <v>March</v>
      </c>
      <c r="Q644">
        <f t="array" ref="Q644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644">
        <f>HR_Data[[#This Row],[Salary]]*HR_Data[[#This Row],[Bonus %]]</f>
        <v>5987.7000000000007</v>
      </c>
      <c r="S644">
        <f>HR_Data[[#This Row],[Salary]]+HR_Data[[#This Row],[Bonus Amount]]</f>
        <v>125741.7</v>
      </c>
      <c r="T644" t="str">
        <f>IF(HR_Data[[#This Row],[Attrition]]="Yes","Inactive","Active")</f>
        <v>Active</v>
      </c>
      <c r="U644" t="str">
        <f t="array" ref="U644">_xlfn.IFS(HR_Data[[#This Row],[Salary]]&gt;=100000,"A",HR_Data[[#This Row],[Salary]]&gt;=70000,"B",HR_Data[[#This Row],[Salary]]&gt;=50000,"C",TRUE(),"D")</f>
        <v>A</v>
      </c>
      <c r="V644" t="str">
        <f t="array" ref="V644">_xlfn.IFS(HR_Data[[#This Row],[Experience]]&gt;=15,"Expert",HR_Data[[#This Row],[Experience]]&gt;=8,"Senior",HR_Data[[#This Row],[Experience]]&gt;=3,"Mid-Level",TRUE(),"Junior")</f>
        <v>Expert</v>
      </c>
    </row>
    <row r="645" spans="1:22" ht="14.25" customHeight="1" x14ac:dyDescent="0.3">
      <c r="A645" t="s">
        <v>1484</v>
      </c>
      <c r="B645" t="s">
        <v>1079</v>
      </c>
      <c r="C645" t="s">
        <v>93</v>
      </c>
      <c r="D645" t="s">
        <v>25</v>
      </c>
      <c r="E645">
        <v>51</v>
      </c>
      <c r="F645">
        <v>113758</v>
      </c>
      <c r="G645">
        <v>25</v>
      </c>
      <c r="H645" t="s">
        <v>1485</v>
      </c>
      <c r="I645" t="s">
        <v>57</v>
      </c>
      <c r="J645" t="s">
        <v>63</v>
      </c>
      <c r="K645" t="s">
        <v>29</v>
      </c>
      <c r="L645" t="str">
        <f t="array" ref="L645">_xlfn.IFS(HR_Data[[#This Row],[Experience]]&lt;2,"0-2 Years",HR_Data[[#This Row],[Experience]]&lt;5,"2-5 Years",HR_Data[[#This Row],[Experience]]&lt;10,"5-10 Years",TRUE(),"10+ Years")</f>
        <v>10+ Years</v>
      </c>
      <c r="M645" t="str">
        <f t="array" ref="M645">_xlfn.IFS(HR_Data[[#This Row],[Salary]]&lt;40000,"Low",HR_Data[[#This Row],[Salary]]&lt;70000,"Medium",HR_Data[[#This Row],[Salary]]&lt;100000,"High",TRUE(),"Very High")</f>
        <v>Very High</v>
      </c>
      <c r="N645" t="str">
        <f t="array" ref="N645">_xlfn.IFS(HR_Data[[#This Row],[Age]]&lt;25,"18-24",HR_Data[[#This Row],[Age]]&lt;35,"25-34",HR_Data[[#This Row],[Age]]&lt;45,"35-44",TRUE(),"45+")</f>
        <v>45+</v>
      </c>
      <c r="O645">
        <f>YEAR(HR_Data[[#This Row],[Joining Date]])</f>
        <v>2021</v>
      </c>
      <c r="P645" t="str">
        <f>TEXT(HR_Data[[#This Row],[Joining Date]],"mmmm")</f>
        <v>April</v>
      </c>
      <c r="Q645">
        <f t="array" ref="Q645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645">
        <f>HR_Data[[#This Row],[Salary]]*HR_Data[[#This Row],[Bonus %]]</f>
        <v>22751.600000000002</v>
      </c>
      <c r="S645">
        <f>HR_Data[[#This Row],[Salary]]+HR_Data[[#This Row],[Bonus Amount]]</f>
        <v>136509.6</v>
      </c>
      <c r="T645" t="str">
        <f>IF(HR_Data[[#This Row],[Attrition]]="Yes","Inactive","Active")</f>
        <v>Active</v>
      </c>
      <c r="U645" t="str">
        <f t="array" ref="U645">_xlfn.IFS(HR_Data[[#This Row],[Salary]]&gt;=100000,"A",HR_Data[[#This Row],[Salary]]&gt;=70000,"B",HR_Data[[#This Row],[Salary]]&gt;=50000,"C",TRUE(),"D")</f>
        <v>A</v>
      </c>
      <c r="V645" t="str">
        <f t="array" ref="V645">_xlfn.IFS(HR_Data[[#This Row],[Experience]]&gt;=15,"Expert",HR_Data[[#This Row],[Experience]]&gt;=8,"Senior",HR_Data[[#This Row],[Experience]]&gt;=3,"Mid-Level",TRUE(),"Junior")</f>
        <v>Expert</v>
      </c>
    </row>
    <row r="646" spans="1:22" ht="14.25" customHeight="1" x14ac:dyDescent="0.3">
      <c r="A646" t="s">
        <v>1486</v>
      </c>
      <c r="B646" t="s">
        <v>1050</v>
      </c>
      <c r="C646" t="s">
        <v>32</v>
      </c>
      <c r="D646" t="s">
        <v>25</v>
      </c>
      <c r="E646">
        <v>27</v>
      </c>
      <c r="F646">
        <v>45863</v>
      </c>
      <c r="G646">
        <v>8</v>
      </c>
      <c r="H646" t="s">
        <v>1487</v>
      </c>
      <c r="I646" t="s">
        <v>132</v>
      </c>
      <c r="J646" t="s">
        <v>46</v>
      </c>
      <c r="K646" t="s">
        <v>29</v>
      </c>
      <c r="L646" t="str">
        <f t="array" ref="L646">_xlfn.IFS(HR_Data[[#This Row],[Experience]]&lt;2,"0-2 Years",HR_Data[[#This Row],[Experience]]&lt;5,"2-5 Years",HR_Data[[#This Row],[Experience]]&lt;10,"5-10 Years",TRUE(),"10+ Years")</f>
        <v>5-10 Years</v>
      </c>
      <c r="M646" t="str">
        <f t="array" ref="M646">_xlfn.IFS(HR_Data[[#This Row],[Salary]]&lt;40000,"Low",HR_Data[[#This Row],[Salary]]&lt;70000,"Medium",HR_Data[[#This Row],[Salary]]&lt;100000,"High",TRUE(),"Very High")</f>
        <v>Medium</v>
      </c>
      <c r="N646" t="str">
        <f t="array" ref="N646">_xlfn.IFS(HR_Data[[#This Row],[Age]]&lt;25,"18-24",HR_Data[[#This Row],[Age]]&lt;35,"25-34",HR_Data[[#This Row],[Age]]&lt;45,"35-44",TRUE(),"45+")</f>
        <v>25-34</v>
      </c>
      <c r="O646">
        <f>YEAR(HR_Data[[#This Row],[Joining Date]])</f>
        <v>2016</v>
      </c>
      <c r="P646" t="str">
        <f>TEXT(HR_Data[[#This Row],[Joining Date]],"mmmm")</f>
        <v>March</v>
      </c>
      <c r="Q646">
        <f t="array" ref="Q646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646">
        <f>HR_Data[[#This Row],[Salary]]*HR_Data[[#This Row],[Bonus %]]</f>
        <v>2293.15</v>
      </c>
      <c r="S646">
        <f>HR_Data[[#This Row],[Salary]]+HR_Data[[#This Row],[Bonus Amount]]</f>
        <v>48156.15</v>
      </c>
      <c r="T646" t="str">
        <f>IF(HR_Data[[#This Row],[Attrition]]="Yes","Inactive","Active")</f>
        <v>Active</v>
      </c>
      <c r="U646" t="str">
        <f t="array" ref="U646">_xlfn.IFS(HR_Data[[#This Row],[Salary]]&gt;=100000,"A",HR_Data[[#This Row],[Salary]]&gt;=70000,"B",HR_Data[[#This Row],[Salary]]&gt;=50000,"C",TRUE(),"D")</f>
        <v>D</v>
      </c>
      <c r="V646" t="str">
        <f t="array" ref="V646">_xlfn.IFS(HR_Data[[#This Row],[Experience]]&gt;=15,"Expert",HR_Data[[#This Row],[Experience]]&gt;=8,"Senior",HR_Data[[#This Row],[Experience]]&gt;=3,"Mid-Level",TRUE(),"Junior")</f>
        <v>Senior</v>
      </c>
    </row>
    <row r="647" spans="1:22" ht="14.25" customHeight="1" x14ac:dyDescent="0.3">
      <c r="A647" t="s">
        <v>1488</v>
      </c>
      <c r="B647" t="s">
        <v>185</v>
      </c>
      <c r="C647" t="s">
        <v>60</v>
      </c>
      <c r="D647" t="s">
        <v>25</v>
      </c>
      <c r="E647">
        <v>47</v>
      </c>
      <c r="F647">
        <v>80956</v>
      </c>
      <c r="G647">
        <v>19</v>
      </c>
      <c r="H647" t="s">
        <v>1489</v>
      </c>
      <c r="I647" t="s">
        <v>35</v>
      </c>
      <c r="J647" t="s">
        <v>36</v>
      </c>
      <c r="K647" t="s">
        <v>29</v>
      </c>
      <c r="L647" t="str">
        <f t="array" ref="L647">_xlfn.IFS(HR_Data[[#This Row],[Experience]]&lt;2,"0-2 Years",HR_Data[[#This Row],[Experience]]&lt;5,"2-5 Years",HR_Data[[#This Row],[Experience]]&lt;10,"5-10 Years",TRUE(),"10+ Years")</f>
        <v>10+ Years</v>
      </c>
      <c r="M647" t="str">
        <f t="array" ref="M647">_xlfn.IFS(HR_Data[[#This Row],[Salary]]&lt;40000,"Low",HR_Data[[#This Row],[Salary]]&lt;70000,"Medium",HR_Data[[#This Row],[Salary]]&lt;100000,"High",TRUE(),"Very High")</f>
        <v>High</v>
      </c>
      <c r="N647" t="str">
        <f t="array" ref="N647">_xlfn.IFS(HR_Data[[#This Row],[Age]]&lt;25,"18-24",HR_Data[[#This Row],[Age]]&lt;35,"25-34",HR_Data[[#This Row],[Age]]&lt;45,"35-44",TRUE(),"45+")</f>
        <v>45+</v>
      </c>
      <c r="O647">
        <f>YEAR(HR_Data[[#This Row],[Joining Date]])</f>
        <v>2016</v>
      </c>
      <c r="P647" t="str">
        <f>TEXT(HR_Data[[#This Row],[Joining Date]],"mmmm")</f>
        <v>September</v>
      </c>
      <c r="Q647">
        <f t="array" ref="Q647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47">
        <f>HR_Data[[#This Row],[Salary]]*HR_Data[[#This Row],[Bonus %]]</f>
        <v>8095.6</v>
      </c>
      <c r="S647">
        <f>HR_Data[[#This Row],[Salary]]+HR_Data[[#This Row],[Bonus Amount]]</f>
        <v>89051.6</v>
      </c>
      <c r="T647" t="str">
        <f>IF(HR_Data[[#This Row],[Attrition]]="Yes","Inactive","Active")</f>
        <v>Active</v>
      </c>
      <c r="U647" t="str">
        <f t="array" ref="U647">_xlfn.IFS(HR_Data[[#This Row],[Salary]]&gt;=100000,"A",HR_Data[[#This Row],[Salary]]&gt;=70000,"B",HR_Data[[#This Row],[Salary]]&gt;=50000,"C",TRUE(),"D")</f>
        <v>B</v>
      </c>
      <c r="V647" t="str">
        <f t="array" ref="V647">_xlfn.IFS(HR_Data[[#This Row],[Experience]]&gt;=15,"Expert",HR_Data[[#This Row],[Experience]]&gt;=8,"Senior",HR_Data[[#This Row],[Experience]]&gt;=3,"Mid-Level",TRUE(),"Junior")</f>
        <v>Expert</v>
      </c>
    </row>
    <row r="648" spans="1:22" ht="14.25" customHeight="1" x14ac:dyDescent="0.3">
      <c r="A648" t="s">
        <v>1490</v>
      </c>
      <c r="B648" t="s">
        <v>299</v>
      </c>
      <c r="C648" t="s">
        <v>32</v>
      </c>
      <c r="D648" t="s">
        <v>33</v>
      </c>
      <c r="E648">
        <v>58</v>
      </c>
      <c r="F648">
        <v>124774</v>
      </c>
      <c r="G648">
        <v>31</v>
      </c>
      <c r="H648" t="s">
        <v>1491</v>
      </c>
      <c r="I648" t="s">
        <v>62</v>
      </c>
      <c r="J648" t="s">
        <v>46</v>
      </c>
      <c r="K648" t="s">
        <v>29</v>
      </c>
      <c r="L648" t="str">
        <f t="array" ref="L648">_xlfn.IFS(HR_Data[[#This Row],[Experience]]&lt;2,"0-2 Years",HR_Data[[#This Row],[Experience]]&lt;5,"2-5 Years",HR_Data[[#This Row],[Experience]]&lt;10,"5-10 Years",TRUE(),"10+ Years")</f>
        <v>10+ Years</v>
      </c>
      <c r="M648" t="str">
        <f t="array" ref="M648">_xlfn.IFS(HR_Data[[#This Row],[Salary]]&lt;40000,"Low",HR_Data[[#This Row],[Salary]]&lt;70000,"Medium",HR_Data[[#This Row],[Salary]]&lt;100000,"High",TRUE(),"Very High")</f>
        <v>Very High</v>
      </c>
      <c r="N648" t="str">
        <f t="array" ref="N648">_xlfn.IFS(HR_Data[[#This Row],[Age]]&lt;25,"18-24",HR_Data[[#This Row],[Age]]&lt;35,"25-34",HR_Data[[#This Row],[Age]]&lt;45,"35-44",TRUE(),"45+")</f>
        <v>45+</v>
      </c>
      <c r="O648">
        <f>YEAR(HR_Data[[#This Row],[Joining Date]])</f>
        <v>2022</v>
      </c>
      <c r="P648" t="str">
        <f>TEXT(HR_Data[[#This Row],[Joining Date]],"mmmm")</f>
        <v>September</v>
      </c>
      <c r="Q648">
        <f t="array" ref="Q648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648">
        <f>HR_Data[[#This Row],[Salary]]*HR_Data[[#This Row],[Bonus %]]</f>
        <v>6238.7000000000007</v>
      </c>
      <c r="S648">
        <f>HR_Data[[#This Row],[Salary]]+HR_Data[[#This Row],[Bonus Amount]]</f>
        <v>131012.7</v>
      </c>
      <c r="T648" t="str">
        <f>IF(HR_Data[[#This Row],[Attrition]]="Yes","Inactive","Active")</f>
        <v>Active</v>
      </c>
      <c r="U648" t="str">
        <f t="array" ref="U648">_xlfn.IFS(HR_Data[[#This Row],[Salary]]&gt;=100000,"A",HR_Data[[#This Row],[Salary]]&gt;=70000,"B",HR_Data[[#This Row],[Salary]]&gt;=50000,"C",TRUE(),"D")</f>
        <v>A</v>
      </c>
      <c r="V648" t="str">
        <f t="array" ref="V648">_xlfn.IFS(HR_Data[[#This Row],[Experience]]&gt;=15,"Expert",HR_Data[[#This Row],[Experience]]&gt;=8,"Senior",HR_Data[[#This Row],[Experience]]&gt;=3,"Mid-Level",TRUE(),"Junior")</f>
        <v>Expert</v>
      </c>
    </row>
    <row r="649" spans="1:22" ht="14.25" customHeight="1" x14ac:dyDescent="0.3">
      <c r="A649" t="s">
        <v>1492</v>
      </c>
      <c r="B649" t="s">
        <v>513</v>
      </c>
      <c r="C649" t="s">
        <v>70</v>
      </c>
      <c r="D649" t="s">
        <v>25</v>
      </c>
      <c r="E649">
        <v>52</v>
      </c>
      <c r="F649">
        <v>118931</v>
      </c>
      <c r="G649">
        <v>28</v>
      </c>
      <c r="H649" t="s">
        <v>1493</v>
      </c>
      <c r="I649" t="s">
        <v>62</v>
      </c>
      <c r="J649" t="s">
        <v>36</v>
      </c>
      <c r="K649" t="s">
        <v>37</v>
      </c>
      <c r="L649" t="str">
        <f t="array" ref="L649">_xlfn.IFS(HR_Data[[#This Row],[Experience]]&lt;2,"0-2 Years",HR_Data[[#This Row],[Experience]]&lt;5,"2-5 Years",HR_Data[[#This Row],[Experience]]&lt;10,"5-10 Years",TRUE(),"10+ Years")</f>
        <v>10+ Years</v>
      </c>
      <c r="M649" t="str">
        <f t="array" ref="M649">_xlfn.IFS(HR_Data[[#This Row],[Salary]]&lt;40000,"Low",HR_Data[[#This Row],[Salary]]&lt;70000,"Medium",HR_Data[[#This Row],[Salary]]&lt;100000,"High",TRUE(),"Very High")</f>
        <v>Very High</v>
      </c>
      <c r="N649" t="str">
        <f t="array" ref="N649">_xlfn.IFS(HR_Data[[#This Row],[Age]]&lt;25,"18-24",HR_Data[[#This Row],[Age]]&lt;35,"25-34",HR_Data[[#This Row],[Age]]&lt;45,"35-44",TRUE(),"45+")</f>
        <v>45+</v>
      </c>
      <c r="O649">
        <f>YEAR(HR_Data[[#This Row],[Joining Date]])</f>
        <v>2024</v>
      </c>
      <c r="P649" t="str">
        <f>TEXT(HR_Data[[#This Row],[Joining Date]],"mmmm")</f>
        <v>December</v>
      </c>
      <c r="Q649">
        <f t="array" ref="Q64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49">
        <f>HR_Data[[#This Row],[Salary]]*HR_Data[[#This Row],[Bonus %]]</f>
        <v>11893.1</v>
      </c>
      <c r="S649">
        <f>HR_Data[[#This Row],[Salary]]+HR_Data[[#This Row],[Bonus Amount]]</f>
        <v>130824.1</v>
      </c>
      <c r="T649" t="str">
        <f>IF(HR_Data[[#This Row],[Attrition]]="Yes","Inactive","Active")</f>
        <v>Inactive</v>
      </c>
      <c r="U649" t="str">
        <f t="array" ref="U649">_xlfn.IFS(HR_Data[[#This Row],[Salary]]&gt;=100000,"A",HR_Data[[#This Row],[Salary]]&gt;=70000,"B",HR_Data[[#This Row],[Salary]]&gt;=50000,"C",TRUE(),"D")</f>
        <v>A</v>
      </c>
      <c r="V649" t="str">
        <f t="array" ref="V649">_xlfn.IFS(HR_Data[[#This Row],[Experience]]&gt;=15,"Expert",HR_Data[[#This Row],[Experience]]&gt;=8,"Senior",HR_Data[[#This Row],[Experience]]&gt;=3,"Mid-Level",TRUE(),"Junior")</f>
        <v>Expert</v>
      </c>
    </row>
    <row r="650" spans="1:22" ht="14.25" customHeight="1" x14ac:dyDescent="0.3">
      <c r="A650" t="s">
        <v>1494</v>
      </c>
      <c r="B650" t="s">
        <v>228</v>
      </c>
      <c r="C650" t="s">
        <v>75</v>
      </c>
      <c r="D650" t="s">
        <v>25</v>
      </c>
      <c r="E650">
        <v>31</v>
      </c>
      <c r="F650">
        <v>55349</v>
      </c>
      <c r="G650">
        <v>8</v>
      </c>
      <c r="H650" t="s">
        <v>1495</v>
      </c>
      <c r="I650" t="s">
        <v>35</v>
      </c>
      <c r="J650" t="s">
        <v>46</v>
      </c>
      <c r="K650" t="s">
        <v>29</v>
      </c>
      <c r="L650" t="str">
        <f t="array" ref="L650">_xlfn.IFS(HR_Data[[#This Row],[Experience]]&lt;2,"0-2 Years",HR_Data[[#This Row],[Experience]]&lt;5,"2-5 Years",HR_Data[[#This Row],[Experience]]&lt;10,"5-10 Years",TRUE(),"10+ Years")</f>
        <v>5-10 Years</v>
      </c>
      <c r="M650" t="str">
        <f t="array" ref="M650">_xlfn.IFS(HR_Data[[#This Row],[Salary]]&lt;40000,"Low",HR_Data[[#This Row],[Salary]]&lt;70000,"Medium",HR_Data[[#This Row],[Salary]]&lt;100000,"High",TRUE(),"Very High")</f>
        <v>Medium</v>
      </c>
      <c r="N650" t="str">
        <f t="array" ref="N650">_xlfn.IFS(HR_Data[[#This Row],[Age]]&lt;25,"18-24",HR_Data[[#This Row],[Age]]&lt;35,"25-34",HR_Data[[#This Row],[Age]]&lt;45,"35-44",TRUE(),"45+")</f>
        <v>25-34</v>
      </c>
      <c r="O650">
        <f>YEAR(HR_Data[[#This Row],[Joining Date]])</f>
        <v>2025</v>
      </c>
      <c r="P650" t="str">
        <f>TEXT(HR_Data[[#This Row],[Joining Date]],"mmmm")</f>
        <v>December</v>
      </c>
      <c r="Q650">
        <f t="array" ref="Q650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650">
        <f>HR_Data[[#This Row],[Salary]]*HR_Data[[#This Row],[Bonus %]]</f>
        <v>2767.4500000000003</v>
      </c>
      <c r="S650">
        <f>HR_Data[[#This Row],[Salary]]+HR_Data[[#This Row],[Bonus Amount]]</f>
        <v>58116.45</v>
      </c>
      <c r="T650" t="str">
        <f>IF(HR_Data[[#This Row],[Attrition]]="Yes","Inactive","Active")</f>
        <v>Active</v>
      </c>
      <c r="U650" t="str">
        <f t="array" ref="U650">_xlfn.IFS(HR_Data[[#This Row],[Salary]]&gt;=100000,"A",HR_Data[[#This Row],[Salary]]&gt;=70000,"B",HR_Data[[#This Row],[Salary]]&gt;=50000,"C",TRUE(),"D")</f>
        <v>C</v>
      </c>
      <c r="V650" t="str">
        <f t="array" ref="V650">_xlfn.IFS(HR_Data[[#This Row],[Experience]]&gt;=15,"Expert",HR_Data[[#This Row],[Experience]]&gt;=8,"Senior",HR_Data[[#This Row],[Experience]]&gt;=3,"Mid-Level",TRUE(),"Junior")</f>
        <v>Senior</v>
      </c>
    </row>
    <row r="651" spans="1:22" ht="14.25" customHeight="1" x14ac:dyDescent="0.3">
      <c r="A651" t="s">
        <v>1496</v>
      </c>
      <c r="B651" t="s">
        <v>503</v>
      </c>
      <c r="C651" t="s">
        <v>55</v>
      </c>
      <c r="D651" t="s">
        <v>25</v>
      </c>
      <c r="E651">
        <v>56</v>
      </c>
      <c r="F651">
        <v>145603</v>
      </c>
      <c r="G651">
        <v>35</v>
      </c>
      <c r="H651" t="s">
        <v>1497</v>
      </c>
      <c r="I651" t="s">
        <v>67</v>
      </c>
      <c r="J651" t="s">
        <v>28</v>
      </c>
      <c r="K651" t="s">
        <v>29</v>
      </c>
      <c r="L651" t="str">
        <f t="array" ref="L651">_xlfn.IFS(HR_Data[[#This Row],[Experience]]&lt;2,"0-2 Years",HR_Data[[#This Row],[Experience]]&lt;5,"2-5 Years",HR_Data[[#This Row],[Experience]]&lt;10,"5-10 Years",TRUE(),"10+ Years")</f>
        <v>10+ Years</v>
      </c>
      <c r="M651" t="str">
        <f t="array" ref="M651">_xlfn.IFS(HR_Data[[#This Row],[Salary]]&lt;40000,"Low",HR_Data[[#This Row],[Salary]]&lt;70000,"Medium",HR_Data[[#This Row],[Salary]]&lt;100000,"High",TRUE(),"Very High")</f>
        <v>Very High</v>
      </c>
      <c r="N651" t="str">
        <f t="array" ref="N651">_xlfn.IFS(HR_Data[[#This Row],[Age]]&lt;25,"18-24",HR_Data[[#This Row],[Age]]&lt;35,"25-34",HR_Data[[#This Row],[Age]]&lt;45,"35-44",TRUE(),"45+")</f>
        <v>45+</v>
      </c>
      <c r="O651">
        <f>YEAR(HR_Data[[#This Row],[Joining Date]])</f>
        <v>2016</v>
      </c>
      <c r="P651" t="str">
        <f>TEXT(HR_Data[[#This Row],[Joining Date]],"mmmm")</f>
        <v>April</v>
      </c>
      <c r="Q651">
        <f t="array" ref="Q651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651">
        <f>HR_Data[[#This Row],[Salary]]*HR_Data[[#This Row],[Bonus %]]</f>
        <v>21840.45</v>
      </c>
      <c r="S651">
        <f>HR_Data[[#This Row],[Salary]]+HR_Data[[#This Row],[Bonus Amount]]</f>
        <v>167443.45000000001</v>
      </c>
      <c r="T651" t="str">
        <f>IF(HR_Data[[#This Row],[Attrition]]="Yes","Inactive","Active")</f>
        <v>Active</v>
      </c>
      <c r="U651" t="str">
        <f t="array" ref="U651">_xlfn.IFS(HR_Data[[#This Row],[Salary]]&gt;=100000,"A",HR_Data[[#This Row],[Salary]]&gt;=70000,"B",HR_Data[[#This Row],[Salary]]&gt;=50000,"C",TRUE(),"D")</f>
        <v>A</v>
      </c>
      <c r="V651" t="str">
        <f t="array" ref="V651">_xlfn.IFS(HR_Data[[#This Row],[Experience]]&gt;=15,"Expert",HR_Data[[#This Row],[Experience]]&gt;=8,"Senior",HR_Data[[#This Row],[Experience]]&gt;=3,"Mid-Level",TRUE(),"Junior")</f>
        <v>Expert</v>
      </c>
    </row>
    <row r="652" spans="1:22" ht="14.25" customHeight="1" x14ac:dyDescent="0.3">
      <c r="A652" t="s">
        <v>1498</v>
      </c>
      <c r="B652" t="s">
        <v>193</v>
      </c>
      <c r="C652" t="s">
        <v>55</v>
      </c>
      <c r="D652" t="s">
        <v>25</v>
      </c>
      <c r="E652">
        <v>22</v>
      </c>
      <c r="F652">
        <v>45948</v>
      </c>
      <c r="G652">
        <v>3</v>
      </c>
      <c r="H652" t="s">
        <v>1499</v>
      </c>
      <c r="I652" t="s">
        <v>42</v>
      </c>
      <c r="J652" t="s">
        <v>63</v>
      </c>
      <c r="K652" t="s">
        <v>29</v>
      </c>
      <c r="L652" t="str">
        <f t="array" ref="L652">_xlfn.IFS(HR_Data[[#This Row],[Experience]]&lt;2,"0-2 Years",HR_Data[[#This Row],[Experience]]&lt;5,"2-5 Years",HR_Data[[#This Row],[Experience]]&lt;10,"5-10 Years",TRUE(),"10+ Years")</f>
        <v>2-5 Years</v>
      </c>
      <c r="M652" t="str">
        <f t="array" ref="M652">_xlfn.IFS(HR_Data[[#This Row],[Salary]]&lt;40000,"Low",HR_Data[[#This Row],[Salary]]&lt;70000,"Medium",HR_Data[[#This Row],[Salary]]&lt;100000,"High",TRUE(),"Very High")</f>
        <v>Medium</v>
      </c>
      <c r="N652" t="str">
        <f t="array" ref="N652">_xlfn.IFS(HR_Data[[#This Row],[Age]]&lt;25,"18-24",HR_Data[[#This Row],[Age]]&lt;35,"25-34",HR_Data[[#This Row],[Age]]&lt;45,"35-44",TRUE(),"45+")</f>
        <v>18-24</v>
      </c>
      <c r="O652">
        <f>YEAR(HR_Data[[#This Row],[Joining Date]])</f>
        <v>2016</v>
      </c>
      <c r="P652" t="str">
        <f>TEXT(HR_Data[[#This Row],[Joining Date]],"mmmm")</f>
        <v>January</v>
      </c>
      <c r="Q652">
        <f t="array" ref="Q652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652">
        <f>HR_Data[[#This Row],[Salary]]*HR_Data[[#This Row],[Bonus %]]</f>
        <v>9189.6</v>
      </c>
      <c r="S652">
        <f>HR_Data[[#This Row],[Salary]]+HR_Data[[#This Row],[Bonus Amount]]</f>
        <v>55137.599999999999</v>
      </c>
      <c r="T652" t="str">
        <f>IF(HR_Data[[#This Row],[Attrition]]="Yes","Inactive","Active")</f>
        <v>Active</v>
      </c>
      <c r="U652" t="str">
        <f t="array" ref="U652">_xlfn.IFS(HR_Data[[#This Row],[Salary]]&gt;=100000,"A",HR_Data[[#This Row],[Salary]]&gt;=70000,"B",HR_Data[[#This Row],[Salary]]&gt;=50000,"C",TRUE(),"D")</f>
        <v>D</v>
      </c>
      <c r="V652" t="str">
        <f t="array" ref="V652">_xlfn.IFS(HR_Data[[#This Row],[Experience]]&gt;=15,"Expert",HR_Data[[#This Row],[Experience]]&gt;=8,"Senior",HR_Data[[#This Row],[Experience]]&gt;=3,"Mid-Level",TRUE(),"Junior")</f>
        <v>Mid-Level</v>
      </c>
    </row>
    <row r="653" spans="1:22" ht="14.25" customHeight="1" x14ac:dyDescent="0.3">
      <c r="A653" t="s">
        <v>1500</v>
      </c>
      <c r="B653" t="s">
        <v>884</v>
      </c>
      <c r="C653" t="s">
        <v>134</v>
      </c>
      <c r="D653" t="s">
        <v>33</v>
      </c>
      <c r="E653">
        <v>51</v>
      </c>
      <c r="F653">
        <v>115110</v>
      </c>
      <c r="G653">
        <v>27</v>
      </c>
      <c r="H653" t="s">
        <v>1501</v>
      </c>
      <c r="I653" t="s">
        <v>42</v>
      </c>
      <c r="J653" t="s">
        <v>28</v>
      </c>
      <c r="K653" t="s">
        <v>29</v>
      </c>
      <c r="L653" t="str">
        <f t="array" ref="L653">_xlfn.IFS(HR_Data[[#This Row],[Experience]]&lt;2,"0-2 Years",HR_Data[[#This Row],[Experience]]&lt;5,"2-5 Years",HR_Data[[#This Row],[Experience]]&lt;10,"5-10 Years",TRUE(),"10+ Years")</f>
        <v>10+ Years</v>
      </c>
      <c r="M653" t="str">
        <f t="array" ref="M653">_xlfn.IFS(HR_Data[[#This Row],[Salary]]&lt;40000,"Low",HR_Data[[#This Row],[Salary]]&lt;70000,"Medium",HR_Data[[#This Row],[Salary]]&lt;100000,"High",TRUE(),"Very High")</f>
        <v>Very High</v>
      </c>
      <c r="N653" t="str">
        <f t="array" ref="N653">_xlfn.IFS(HR_Data[[#This Row],[Age]]&lt;25,"18-24",HR_Data[[#This Row],[Age]]&lt;35,"25-34",HR_Data[[#This Row],[Age]]&lt;45,"35-44",TRUE(),"45+")</f>
        <v>45+</v>
      </c>
      <c r="O653">
        <f>YEAR(HR_Data[[#This Row],[Joining Date]])</f>
        <v>2024</v>
      </c>
      <c r="P653" t="str">
        <f>TEXT(HR_Data[[#This Row],[Joining Date]],"mmmm")</f>
        <v>March</v>
      </c>
      <c r="Q653">
        <f t="array" ref="Q65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653">
        <f>HR_Data[[#This Row],[Salary]]*HR_Data[[#This Row],[Bonus %]]</f>
        <v>17266.5</v>
      </c>
      <c r="S653">
        <f>HR_Data[[#This Row],[Salary]]+HR_Data[[#This Row],[Bonus Amount]]</f>
        <v>132376.5</v>
      </c>
      <c r="T653" t="str">
        <f>IF(HR_Data[[#This Row],[Attrition]]="Yes","Inactive","Active")</f>
        <v>Active</v>
      </c>
      <c r="U653" t="str">
        <f t="array" ref="U653">_xlfn.IFS(HR_Data[[#This Row],[Salary]]&gt;=100000,"A",HR_Data[[#This Row],[Salary]]&gt;=70000,"B",HR_Data[[#This Row],[Salary]]&gt;=50000,"C",TRUE(),"D")</f>
        <v>A</v>
      </c>
      <c r="V653" t="str">
        <f t="array" ref="V653">_xlfn.IFS(HR_Data[[#This Row],[Experience]]&gt;=15,"Expert",HR_Data[[#This Row],[Experience]]&gt;=8,"Senior",HR_Data[[#This Row],[Experience]]&gt;=3,"Mid-Level",TRUE(),"Junior")</f>
        <v>Expert</v>
      </c>
    </row>
    <row r="654" spans="1:22" ht="14.25" customHeight="1" x14ac:dyDescent="0.3">
      <c r="A654" t="s">
        <v>1502</v>
      </c>
      <c r="B654" t="s">
        <v>894</v>
      </c>
      <c r="C654" t="s">
        <v>24</v>
      </c>
      <c r="D654" t="s">
        <v>25</v>
      </c>
      <c r="E654">
        <v>39</v>
      </c>
      <c r="F654">
        <v>88862</v>
      </c>
      <c r="G654">
        <v>19</v>
      </c>
      <c r="H654" t="s">
        <v>175</v>
      </c>
      <c r="I654" t="s">
        <v>80</v>
      </c>
      <c r="J654" t="s">
        <v>63</v>
      </c>
      <c r="K654" t="s">
        <v>29</v>
      </c>
      <c r="L654" t="str">
        <f t="array" ref="L654">_xlfn.IFS(HR_Data[[#This Row],[Experience]]&lt;2,"0-2 Years",HR_Data[[#This Row],[Experience]]&lt;5,"2-5 Years",HR_Data[[#This Row],[Experience]]&lt;10,"5-10 Years",TRUE(),"10+ Years")</f>
        <v>10+ Years</v>
      </c>
      <c r="M654" t="str">
        <f t="array" ref="M654">_xlfn.IFS(HR_Data[[#This Row],[Salary]]&lt;40000,"Low",HR_Data[[#This Row],[Salary]]&lt;70000,"Medium",HR_Data[[#This Row],[Salary]]&lt;100000,"High",TRUE(),"Very High")</f>
        <v>High</v>
      </c>
      <c r="N654" t="str">
        <f t="array" ref="N654">_xlfn.IFS(HR_Data[[#This Row],[Age]]&lt;25,"18-24",HR_Data[[#This Row],[Age]]&lt;35,"25-34",HR_Data[[#This Row],[Age]]&lt;45,"35-44",TRUE(),"45+")</f>
        <v>35-44</v>
      </c>
      <c r="O654">
        <f>YEAR(HR_Data[[#This Row],[Joining Date]])</f>
        <v>2018</v>
      </c>
      <c r="P654" t="str">
        <f>TEXT(HR_Data[[#This Row],[Joining Date]],"mmmm")</f>
        <v>October</v>
      </c>
      <c r="Q654">
        <f t="array" ref="Q654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654">
        <f>HR_Data[[#This Row],[Salary]]*HR_Data[[#This Row],[Bonus %]]</f>
        <v>17772.400000000001</v>
      </c>
      <c r="S654">
        <f>HR_Data[[#This Row],[Salary]]+HR_Data[[#This Row],[Bonus Amount]]</f>
        <v>106634.4</v>
      </c>
      <c r="T654" t="str">
        <f>IF(HR_Data[[#This Row],[Attrition]]="Yes","Inactive","Active")</f>
        <v>Active</v>
      </c>
      <c r="U654" t="str">
        <f t="array" ref="U654">_xlfn.IFS(HR_Data[[#This Row],[Salary]]&gt;=100000,"A",HR_Data[[#This Row],[Salary]]&gt;=70000,"B",HR_Data[[#This Row],[Salary]]&gt;=50000,"C",TRUE(),"D")</f>
        <v>B</v>
      </c>
      <c r="V654" t="str">
        <f t="array" ref="V654">_xlfn.IFS(HR_Data[[#This Row],[Experience]]&gt;=15,"Expert",HR_Data[[#This Row],[Experience]]&gt;=8,"Senior",HR_Data[[#This Row],[Experience]]&gt;=3,"Mid-Level",TRUE(),"Junior")</f>
        <v>Expert</v>
      </c>
    </row>
    <row r="655" spans="1:22" ht="14.25" customHeight="1" x14ac:dyDescent="0.3">
      <c r="A655" t="s">
        <v>1503</v>
      </c>
      <c r="B655" t="s">
        <v>155</v>
      </c>
      <c r="C655" t="s">
        <v>24</v>
      </c>
      <c r="D655" t="s">
        <v>33</v>
      </c>
      <c r="E655">
        <v>31</v>
      </c>
      <c r="F655">
        <v>35591</v>
      </c>
      <c r="G655">
        <v>1</v>
      </c>
      <c r="H655" t="s">
        <v>1504</v>
      </c>
      <c r="I655" t="s">
        <v>35</v>
      </c>
      <c r="J655" t="s">
        <v>90</v>
      </c>
      <c r="K655" t="s">
        <v>29</v>
      </c>
      <c r="L655" t="str">
        <f t="array" ref="L655">_xlfn.IFS(HR_Data[[#This Row],[Experience]]&lt;2,"0-2 Years",HR_Data[[#This Row],[Experience]]&lt;5,"2-5 Years",HR_Data[[#This Row],[Experience]]&lt;10,"5-10 Years",TRUE(),"10+ Years")</f>
        <v>0-2 Years</v>
      </c>
      <c r="M655" t="str">
        <f t="array" ref="M655">_xlfn.IFS(HR_Data[[#This Row],[Salary]]&lt;40000,"Low",HR_Data[[#This Row],[Salary]]&lt;70000,"Medium",HR_Data[[#This Row],[Salary]]&lt;100000,"High",TRUE(),"Very High")</f>
        <v>Low</v>
      </c>
      <c r="N655" t="str">
        <f t="array" ref="N655">_xlfn.IFS(HR_Data[[#This Row],[Age]]&lt;25,"18-24",HR_Data[[#This Row],[Age]]&lt;35,"25-34",HR_Data[[#This Row],[Age]]&lt;45,"35-44",TRUE(),"45+")</f>
        <v>25-34</v>
      </c>
      <c r="O655">
        <f>YEAR(HR_Data[[#This Row],[Joining Date]])</f>
        <v>2015</v>
      </c>
      <c r="P655" t="str">
        <f>TEXT(HR_Data[[#This Row],[Joining Date]],"mmmm")</f>
        <v>July</v>
      </c>
      <c r="Q655">
        <f t="array" ref="Q655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655">
        <f>HR_Data[[#This Row],[Salary]]*HR_Data[[#This Row],[Bonus %]]</f>
        <v>0</v>
      </c>
      <c r="S655">
        <f>HR_Data[[#This Row],[Salary]]+HR_Data[[#This Row],[Bonus Amount]]</f>
        <v>35591</v>
      </c>
      <c r="T655" t="str">
        <f>IF(HR_Data[[#This Row],[Attrition]]="Yes","Inactive","Active")</f>
        <v>Active</v>
      </c>
      <c r="U655" t="str">
        <f t="array" ref="U655">_xlfn.IFS(HR_Data[[#This Row],[Salary]]&gt;=100000,"A",HR_Data[[#This Row],[Salary]]&gt;=70000,"B",HR_Data[[#This Row],[Salary]]&gt;=50000,"C",TRUE(),"D")</f>
        <v>D</v>
      </c>
      <c r="V655" t="str">
        <f t="array" ref="V655">_xlfn.IFS(HR_Data[[#This Row],[Experience]]&gt;=15,"Expert",HR_Data[[#This Row],[Experience]]&gt;=8,"Senior",HR_Data[[#This Row],[Experience]]&gt;=3,"Mid-Level",TRUE(),"Junior")</f>
        <v>Junior</v>
      </c>
    </row>
    <row r="656" spans="1:22" ht="14.25" customHeight="1" x14ac:dyDescent="0.3">
      <c r="A656" t="s">
        <v>1505</v>
      </c>
      <c r="B656" t="s">
        <v>1506</v>
      </c>
      <c r="C656" t="s">
        <v>24</v>
      </c>
      <c r="D656" t="s">
        <v>25</v>
      </c>
      <c r="E656">
        <v>36</v>
      </c>
      <c r="F656">
        <v>42947</v>
      </c>
      <c r="G656">
        <v>6</v>
      </c>
      <c r="H656" t="s">
        <v>1507</v>
      </c>
      <c r="I656" t="s">
        <v>67</v>
      </c>
      <c r="J656" t="s">
        <v>36</v>
      </c>
      <c r="K656" t="s">
        <v>29</v>
      </c>
      <c r="L656" t="str">
        <f t="array" ref="L656">_xlfn.IFS(HR_Data[[#This Row],[Experience]]&lt;2,"0-2 Years",HR_Data[[#This Row],[Experience]]&lt;5,"2-5 Years",HR_Data[[#This Row],[Experience]]&lt;10,"5-10 Years",TRUE(),"10+ Years")</f>
        <v>5-10 Years</v>
      </c>
      <c r="M656" t="str">
        <f t="array" ref="M656">_xlfn.IFS(HR_Data[[#This Row],[Salary]]&lt;40000,"Low",HR_Data[[#This Row],[Salary]]&lt;70000,"Medium",HR_Data[[#This Row],[Salary]]&lt;100000,"High",TRUE(),"Very High")</f>
        <v>Medium</v>
      </c>
      <c r="N656" t="str">
        <f t="array" ref="N656">_xlfn.IFS(HR_Data[[#This Row],[Age]]&lt;25,"18-24",HR_Data[[#This Row],[Age]]&lt;35,"25-34",HR_Data[[#This Row],[Age]]&lt;45,"35-44",TRUE(),"45+")</f>
        <v>35-44</v>
      </c>
      <c r="O656">
        <f>YEAR(HR_Data[[#This Row],[Joining Date]])</f>
        <v>2022</v>
      </c>
      <c r="P656" t="str">
        <f>TEXT(HR_Data[[#This Row],[Joining Date]],"mmmm")</f>
        <v>July</v>
      </c>
      <c r="Q656">
        <f t="array" ref="Q65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56">
        <f>HR_Data[[#This Row],[Salary]]*HR_Data[[#This Row],[Bonus %]]</f>
        <v>4294.7</v>
      </c>
      <c r="S656">
        <f>HR_Data[[#This Row],[Salary]]+HR_Data[[#This Row],[Bonus Amount]]</f>
        <v>47241.7</v>
      </c>
      <c r="T656" t="str">
        <f>IF(HR_Data[[#This Row],[Attrition]]="Yes","Inactive","Active")</f>
        <v>Active</v>
      </c>
      <c r="U656" t="str">
        <f t="array" ref="U656">_xlfn.IFS(HR_Data[[#This Row],[Salary]]&gt;=100000,"A",HR_Data[[#This Row],[Salary]]&gt;=70000,"B",HR_Data[[#This Row],[Salary]]&gt;=50000,"C",TRUE(),"D")</f>
        <v>D</v>
      </c>
      <c r="V656" t="str">
        <f t="array" ref="V656">_xlfn.IFS(HR_Data[[#This Row],[Experience]]&gt;=15,"Expert",HR_Data[[#This Row],[Experience]]&gt;=8,"Senior",HR_Data[[#This Row],[Experience]]&gt;=3,"Mid-Level",TRUE(),"Junior")</f>
        <v>Mid-Level</v>
      </c>
    </row>
    <row r="657" spans="1:22" ht="14.25" customHeight="1" x14ac:dyDescent="0.3">
      <c r="A657" t="s">
        <v>1508</v>
      </c>
      <c r="B657" t="s">
        <v>234</v>
      </c>
      <c r="C657" t="s">
        <v>112</v>
      </c>
      <c r="D657" t="s">
        <v>25</v>
      </c>
      <c r="E657">
        <v>49</v>
      </c>
      <c r="F657">
        <v>119684</v>
      </c>
      <c r="G657">
        <v>27</v>
      </c>
      <c r="H657" t="s">
        <v>1509</v>
      </c>
      <c r="I657" t="s">
        <v>72</v>
      </c>
      <c r="J657" t="s">
        <v>46</v>
      </c>
      <c r="K657" t="s">
        <v>29</v>
      </c>
      <c r="L657" t="str">
        <f t="array" ref="L657">_xlfn.IFS(HR_Data[[#This Row],[Experience]]&lt;2,"0-2 Years",HR_Data[[#This Row],[Experience]]&lt;5,"2-5 Years",HR_Data[[#This Row],[Experience]]&lt;10,"5-10 Years",TRUE(),"10+ Years")</f>
        <v>10+ Years</v>
      </c>
      <c r="M657" t="str">
        <f t="array" ref="M657">_xlfn.IFS(HR_Data[[#This Row],[Salary]]&lt;40000,"Low",HR_Data[[#This Row],[Salary]]&lt;70000,"Medium",HR_Data[[#This Row],[Salary]]&lt;100000,"High",TRUE(),"Very High")</f>
        <v>Very High</v>
      </c>
      <c r="N657" t="str">
        <f t="array" ref="N657">_xlfn.IFS(HR_Data[[#This Row],[Age]]&lt;25,"18-24",HR_Data[[#This Row],[Age]]&lt;35,"25-34",HR_Data[[#This Row],[Age]]&lt;45,"35-44",TRUE(),"45+")</f>
        <v>45+</v>
      </c>
      <c r="O657">
        <f>YEAR(HR_Data[[#This Row],[Joining Date]])</f>
        <v>2016</v>
      </c>
      <c r="P657" t="str">
        <f>TEXT(HR_Data[[#This Row],[Joining Date]],"mmmm")</f>
        <v>September</v>
      </c>
      <c r="Q657">
        <f t="array" ref="Q657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657">
        <f>HR_Data[[#This Row],[Salary]]*HR_Data[[#This Row],[Bonus %]]</f>
        <v>5984.2000000000007</v>
      </c>
      <c r="S657">
        <f>HR_Data[[#This Row],[Salary]]+HR_Data[[#This Row],[Bonus Amount]]</f>
        <v>125668.2</v>
      </c>
      <c r="T657" t="str">
        <f>IF(HR_Data[[#This Row],[Attrition]]="Yes","Inactive","Active")</f>
        <v>Active</v>
      </c>
      <c r="U657" t="str">
        <f t="array" ref="U657">_xlfn.IFS(HR_Data[[#This Row],[Salary]]&gt;=100000,"A",HR_Data[[#This Row],[Salary]]&gt;=70000,"B",HR_Data[[#This Row],[Salary]]&gt;=50000,"C",TRUE(),"D")</f>
        <v>A</v>
      </c>
      <c r="V657" t="str">
        <f t="array" ref="V657">_xlfn.IFS(HR_Data[[#This Row],[Experience]]&gt;=15,"Expert",HR_Data[[#This Row],[Experience]]&gt;=8,"Senior",HR_Data[[#This Row],[Experience]]&gt;=3,"Mid-Level",TRUE(),"Junior")</f>
        <v>Expert</v>
      </c>
    </row>
    <row r="658" spans="1:22" ht="14.25" customHeight="1" x14ac:dyDescent="0.3">
      <c r="A658" t="s">
        <v>1510</v>
      </c>
      <c r="B658" t="s">
        <v>363</v>
      </c>
      <c r="C658" t="s">
        <v>93</v>
      </c>
      <c r="D658" t="s">
        <v>25</v>
      </c>
      <c r="E658">
        <v>47</v>
      </c>
      <c r="F658">
        <v>100013</v>
      </c>
      <c r="G658">
        <v>25</v>
      </c>
      <c r="H658" t="s">
        <v>1511</v>
      </c>
      <c r="I658" t="s">
        <v>57</v>
      </c>
      <c r="J658" t="s">
        <v>36</v>
      </c>
      <c r="K658" t="s">
        <v>29</v>
      </c>
      <c r="L658" t="str">
        <f t="array" ref="L658">_xlfn.IFS(HR_Data[[#This Row],[Experience]]&lt;2,"0-2 Years",HR_Data[[#This Row],[Experience]]&lt;5,"2-5 Years",HR_Data[[#This Row],[Experience]]&lt;10,"5-10 Years",TRUE(),"10+ Years")</f>
        <v>10+ Years</v>
      </c>
      <c r="M658" t="str">
        <f t="array" ref="M658">_xlfn.IFS(HR_Data[[#This Row],[Salary]]&lt;40000,"Low",HR_Data[[#This Row],[Salary]]&lt;70000,"Medium",HR_Data[[#This Row],[Salary]]&lt;100000,"High",TRUE(),"Very High")</f>
        <v>Very High</v>
      </c>
      <c r="N658" t="str">
        <f t="array" ref="N658">_xlfn.IFS(HR_Data[[#This Row],[Age]]&lt;25,"18-24",HR_Data[[#This Row],[Age]]&lt;35,"25-34",HR_Data[[#This Row],[Age]]&lt;45,"35-44",TRUE(),"45+")</f>
        <v>45+</v>
      </c>
      <c r="O658">
        <f>YEAR(HR_Data[[#This Row],[Joining Date]])</f>
        <v>2017</v>
      </c>
      <c r="P658" t="str">
        <f>TEXT(HR_Data[[#This Row],[Joining Date]],"mmmm")</f>
        <v>February</v>
      </c>
      <c r="Q658">
        <f t="array" ref="Q65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58">
        <f>HR_Data[[#This Row],[Salary]]*HR_Data[[#This Row],[Bonus %]]</f>
        <v>10001.300000000001</v>
      </c>
      <c r="S658">
        <f>HR_Data[[#This Row],[Salary]]+HR_Data[[#This Row],[Bonus Amount]]</f>
        <v>110014.3</v>
      </c>
      <c r="T658" t="str">
        <f>IF(HR_Data[[#This Row],[Attrition]]="Yes","Inactive","Active")</f>
        <v>Active</v>
      </c>
      <c r="U658" t="str">
        <f t="array" ref="U658">_xlfn.IFS(HR_Data[[#This Row],[Salary]]&gt;=100000,"A",HR_Data[[#This Row],[Salary]]&gt;=70000,"B",HR_Data[[#This Row],[Salary]]&gt;=50000,"C",TRUE(),"D")</f>
        <v>A</v>
      </c>
      <c r="V658" t="str">
        <f t="array" ref="V658">_xlfn.IFS(HR_Data[[#This Row],[Experience]]&gt;=15,"Expert",HR_Data[[#This Row],[Experience]]&gt;=8,"Senior",HR_Data[[#This Row],[Experience]]&gt;=3,"Mid-Level",TRUE(),"Junior")</f>
        <v>Expert</v>
      </c>
    </row>
    <row r="659" spans="1:22" ht="14.25" customHeight="1" x14ac:dyDescent="0.3">
      <c r="A659" t="s">
        <v>1512</v>
      </c>
      <c r="B659" t="s">
        <v>528</v>
      </c>
      <c r="C659" t="s">
        <v>60</v>
      </c>
      <c r="D659" t="s">
        <v>25</v>
      </c>
      <c r="E659">
        <v>42</v>
      </c>
      <c r="F659">
        <v>97290</v>
      </c>
      <c r="G659">
        <v>22</v>
      </c>
      <c r="H659" t="s">
        <v>1513</v>
      </c>
      <c r="I659" t="s">
        <v>62</v>
      </c>
      <c r="J659" t="s">
        <v>46</v>
      </c>
      <c r="K659" t="s">
        <v>29</v>
      </c>
      <c r="L659" t="str">
        <f t="array" ref="L659">_xlfn.IFS(HR_Data[[#This Row],[Experience]]&lt;2,"0-2 Years",HR_Data[[#This Row],[Experience]]&lt;5,"2-5 Years",HR_Data[[#This Row],[Experience]]&lt;10,"5-10 Years",TRUE(),"10+ Years")</f>
        <v>10+ Years</v>
      </c>
      <c r="M659" t="str">
        <f t="array" ref="M659">_xlfn.IFS(HR_Data[[#This Row],[Salary]]&lt;40000,"Low",HR_Data[[#This Row],[Salary]]&lt;70000,"Medium",HR_Data[[#This Row],[Salary]]&lt;100000,"High",TRUE(),"Very High")</f>
        <v>High</v>
      </c>
      <c r="N659" t="str">
        <f t="array" ref="N659">_xlfn.IFS(HR_Data[[#This Row],[Age]]&lt;25,"18-24",HR_Data[[#This Row],[Age]]&lt;35,"25-34",HR_Data[[#This Row],[Age]]&lt;45,"35-44",TRUE(),"45+")</f>
        <v>35-44</v>
      </c>
      <c r="O659">
        <f>YEAR(HR_Data[[#This Row],[Joining Date]])</f>
        <v>2026</v>
      </c>
      <c r="P659" t="str">
        <f>TEXT(HR_Data[[#This Row],[Joining Date]],"mmmm")</f>
        <v>April</v>
      </c>
      <c r="Q659">
        <f t="array" ref="Q659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659">
        <f>HR_Data[[#This Row],[Salary]]*HR_Data[[#This Row],[Bonus %]]</f>
        <v>4864.5</v>
      </c>
      <c r="S659">
        <f>HR_Data[[#This Row],[Salary]]+HR_Data[[#This Row],[Bonus Amount]]</f>
        <v>102154.5</v>
      </c>
      <c r="T659" t="str">
        <f>IF(HR_Data[[#This Row],[Attrition]]="Yes","Inactive","Active")</f>
        <v>Active</v>
      </c>
      <c r="U659" t="str">
        <f t="array" ref="U659">_xlfn.IFS(HR_Data[[#This Row],[Salary]]&gt;=100000,"A",HR_Data[[#This Row],[Salary]]&gt;=70000,"B",HR_Data[[#This Row],[Salary]]&gt;=50000,"C",TRUE(),"D")</f>
        <v>B</v>
      </c>
      <c r="V659" t="str">
        <f t="array" ref="V659">_xlfn.IFS(HR_Data[[#This Row],[Experience]]&gt;=15,"Expert",HR_Data[[#This Row],[Experience]]&gt;=8,"Senior",HR_Data[[#This Row],[Experience]]&gt;=3,"Mid-Level",TRUE(),"Junior")</f>
        <v>Expert</v>
      </c>
    </row>
    <row r="660" spans="1:22" ht="14.25" customHeight="1" x14ac:dyDescent="0.3">
      <c r="A660" t="s">
        <v>1514</v>
      </c>
      <c r="B660" t="s">
        <v>946</v>
      </c>
      <c r="C660" t="s">
        <v>70</v>
      </c>
      <c r="D660" t="s">
        <v>25</v>
      </c>
      <c r="E660">
        <v>44</v>
      </c>
      <c r="F660">
        <v>85087</v>
      </c>
      <c r="G660">
        <v>16</v>
      </c>
      <c r="H660" t="s">
        <v>1377</v>
      </c>
      <c r="I660" t="s">
        <v>57</v>
      </c>
      <c r="J660" t="s">
        <v>36</v>
      </c>
      <c r="K660" t="s">
        <v>29</v>
      </c>
      <c r="L660" t="str">
        <f t="array" ref="L660">_xlfn.IFS(HR_Data[[#This Row],[Experience]]&lt;2,"0-2 Years",HR_Data[[#This Row],[Experience]]&lt;5,"2-5 Years",HR_Data[[#This Row],[Experience]]&lt;10,"5-10 Years",TRUE(),"10+ Years")</f>
        <v>10+ Years</v>
      </c>
      <c r="M660" t="str">
        <f t="array" ref="M660">_xlfn.IFS(HR_Data[[#This Row],[Salary]]&lt;40000,"Low",HR_Data[[#This Row],[Salary]]&lt;70000,"Medium",HR_Data[[#This Row],[Salary]]&lt;100000,"High",TRUE(),"Very High")</f>
        <v>High</v>
      </c>
      <c r="N660" t="str">
        <f t="array" ref="N660">_xlfn.IFS(HR_Data[[#This Row],[Age]]&lt;25,"18-24",HR_Data[[#This Row],[Age]]&lt;35,"25-34",HR_Data[[#This Row],[Age]]&lt;45,"35-44",TRUE(),"45+")</f>
        <v>35-44</v>
      </c>
      <c r="O660">
        <f>YEAR(HR_Data[[#This Row],[Joining Date]])</f>
        <v>2025</v>
      </c>
      <c r="P660" t="str">
        <f>TEXT(HR_Data[[#This Row],[Joining Date]],"mmmm")</f>
        <v>March</v>
      </c>
      <c r="Q660">
        <f t="array" ref="Q66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60">
        <f>HR_Data[[#This Row],[Salary]]*HR_Data[[#This Row],[Bonus %]]</f>
        <v>8508.7000000000007</v>
      </c>
      <c r="S660">
        <f>HR_Data[[#This Row],[Salary]]+HR_Data[[#This Row],[Bonus Amount]]</f>
        <v>93595.7</v>
      </c>
      <c r="T660" t="str">
        <f>IF(HR_Data[[#This Row],[Attrition]]="Yes","Inactive","Active")</f>
        <v>Active</v>
      </c>
      <c r="U660" t="str">
        <f t="array" ref="U660">_xlfn.IFS(HR_Data[[#This Row],[Salary]]&gt;=100000,"A",HR_Data[[#This Row],[Salary]]&gt;=70000,"B",HR_Data[[#This Row],[Salary]]&gt;=50000,"C",TRUE(),"D")</f>
        <v>B</v>
      </c>
      <c r="V660" t="str">
        <f t="array" ref="V660">_xlfn.IFS(HR_Data[[#This Row],[Experience]]&gt;=15,"Expert",HR_Data[[#This Row],[Experience]]&gt;=8,"Senior",HR_Data[[#This Row],[Experience]]&gt;=3,"Mid-Level",TRUE(),"Junior")</f>
        <v>Expert</v>
      </c>
    </row>
    <row r="661" spans="1:22" ht="14.25" customHeight="1" x14ac:dyDescent="0.3">
      <c r="A661" t="s">
        <v>1515</v>
      </c>
      <c r="B661" t="s">
        <v>831</v>
      </c>
      <c r="C661" t="s">
        <v>60</v>
      </c>
      <c r="D661" t="s">
        <v>25</v>
      </c>
      <c r="E661">
        <v>52</v>
      </c>
      <c r="F661">
        <v>127256</v>
      </c>
      <c r="G661">
        <v>29</v>
      </c>
      <c r="H661" t="s">
        <v>1516</v>
      </c>
      <c r="I661" t="s">
        <v>35</v>
      </c>
      <c r="J661" t="s">
        <v>90</v>
      </c>
      <c r="K661" t="s">
        <v>29</v>
      </c>
      <c r="L661" t="str">
        <f t="array" ref="L661">_xlfn.IFS(HR_Data[[#This Row],[Experience]]&lt;2,"0-2 Years",HR_Data[[#This Row],[Experience]]&lt;5,"2-5 Years",HR_Data[[#This Row],[Experience]]&lt;10,"5-10 Years",TRUE(),"10+ Years")</f>
        <v>10+ Years</v>
      </c>
      <c r="M661" t="str">
        <f t="array" ref="M661">_xlfn.IFS(HR_Data[[#This Row],[Salary]]&lt;40000,"Low",HR_Data[[#This Row],[Salary]]&lt;70000,"Medium",HR_Data[[#This Row],[Salary]]&lt;100000,"High",TRUE(),"Very High")</f>
        <v>Very High</v>
      </c>
      <c r="N661" t="str">
        <f t="array" ref="N661">_xlfn.IFS(HR_Data[[#This Row],[Age]]&lt;25,"18-24",HR_Data[[#This Row],[Age]]&lt;35,"25-34",HR_Data[[#This Row],[Age]]&lt;45,"35-44",TRUE(),"45+")</f>
        <v>45+</v>
      </c>
      <c r="O661">
        <f>YEAR(HR_Data[[#This Row],[Joining Date]])</f>
        <v>2024</v>
      </c>
      <c r="P661" t="str">
        <f>TEXT(HR_Data[[#This Row],[Joining Date]],"mmmm")</f>
        <v>September</v>
      </c>
      <c r="Q661">
        <f t="array" ref="Q661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661">
        <f>HR_Data[[#This Row],[Salary]]*HR_Data[[#This Row],[Bonus %]]</f>
        <v>0</v>
      </c>
      <c r="S661">
        <f>HR_Data[[#This Row],[Salary]]+HR_Data[[#This Row],[Bonus Amount]]</f>
        <v>127256</v>
      </c>
      <c r="T661" t="str">
        <f>IF(HR_Data[[#This Row],[Attrition]]="Yes","Inactive","Active")</f>
        <v>Active</v>
      </c>
      <c r="U661" t="str">
        <f t="array" ref="U661">_xlfn.IFS(HR_Data[[#This Row],[Salary]]&gt;=100000,"A",HR_Data[[#This Row],[Salary]]&gt;=70000,"B",HR_Data[[#This Row],[Salary]]&gt;=50000,"C",TRUE(),"D")</f>
        <v>A</v>
      </c>
      <c r="V661" t="str">
        <f t="array" ref="V661">_xlfn.IFS(HR_Data[[#This Row],[Experience]]&gt;=15,"Expert",HR_Data[[#This Row],[Experience]]&gt;=8,"Senior",HR_Data[[#This Row],[Experience]]&gt;=3,"Mid-Level",TRUE(),"Junior")</f>
        <v>Expert</v>
      </c>
    </row>
    <row r="662" spans="1:22" ht="14.25" customHeight="1" x14ac:dyDescent="0.3">
      <c r="A662" t="s">
        <v>1517</v>
      </c>
      <c r="B662" t="s">
        <v>130</v>
      </c>
      <c r="C662" t="s">
        <v>32</v>
      </c>
      <c r="D662" t="s">
        <v>25</v>
      </c>
      <c r="E662">
        <v>31</v>
      </c>
      <c r="F662">
        <v>50730</v>
      </c>
      <c r="G662">
        <v>9</v>
      </c>
      <c r="H662" t="s">
        <v>1518</v>
      </c>
      <c r="I662" t="s">
        <v>80</v>
      </c>
      <c r="J662" t="s">
        <v>46</v>
      </c>
      <c r="K662" t="s">
        <v>29</v>
      </c>
      <c r="L662" t="str">
        <f t="array" ref="L662">_xlfn.IFS(HR_Data[[#This Row],[Experience]]&lt;2,"0-2 Years",HR_Data[[#This Row],[Experience]]&lt;5,"2-5 Years",HR_Data[[#This Row],[Experience]]&lt;10,"5-10 Years",TRUE(),"10+ Years")</f>
        <v>5-10 Years</v>
      </c>
      <c r="M662" t="str">
        <f t="array" ref="M662">_xlfn.IFS(HR_Data[[#This Row],[Salary]]&lt;40000,"Low",HR_Data[[#This Row],[Salary]]&lt;70000,"Medium",HR_Data[[#This Row],[Salary]]&lt;100000,"High",TRUE(),"Very High")</f>
        <v>Medium</v>
      </c>
      <c r="N662" t="str">
        <f t="array" ref="N662">_xlfn.IFS(HR_Data[[#This Row],[Age]]&lt;25,"18-24",HR_Data[[#This Row],[Age]]&lt;35,"25-34",HR_Data[[#This Row],[Age]]&lt;45,"35-44",TRUE(),"45+")</f>
        <v>25-34</v>
      </c>
      <c r="O662">
        <f>YEAR(HR_Data[[#This Row],[Joining Date]])</f>
        <v>2021</v>
      </c>
      <c r="P662" t="str">
        <f>TEXT(HR_Data[[#This Row],[Joining Date]],"mmmm")</f>
        <v>September</v>
      </c>
      <c r="Q662">
        <f t="array" ref="Q662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662">
        <f>HR_Data[[#This Row],[Salary]]*HR_Data[[#This Row],[Bonus %]]</f>
        <v>2536.5</v>
      </c>
      <c r="S662">
        <f>HR_Data[[#This Row],[Salary]]+HR_Data[[#This Row],[Bonus Amount]]</f>
        <v>53266.5</v>
      </c>
      <c r="T662" t="str">
        <f>IF(HR_Data[[#This Row],[Attrition]]="Yes","Inactive","Active")</f>
        <v>Active</v>
      </c>
      <c r="U662" t="str">
        <f t="array" ref="U662">_xlfn.IFS(HR_Data[[#This Row],[Salary]]&gt;=100000,"A",HR_Data[[#This Row],[Salary]]&gt;=70000,"B",HR_Data[[#This Row],[Salary]]&gt;=50000,"C",TRUE(),"D")</f>
        <v>C</v>
      </c>
      <c r="V662" t="str">
        <f t="array" ref="V662">_xlfn.IFS(HR_Data[[#This Row],[Experience]]&gt;=15,"Expert",HR_Data[[#This Row],[Experience]]&gt;=8,"Senior",HR_Data[[#This Row],[Experience]]&gt;=3,"Mid-Level",TRUE(),"Junior")</f>
        <v>Senior</v>
      </c>
    </row>
    <row r="663" spans="1:22" ht="14.25" customHeight="1" x14ac:dyDescent="0.3">
      <c r="A663" t="s">
        <v>1519</v>
      </c>
      <c r="B663" t="s">
        <v>454</v>
      </c>
      <c r="C663" t="s">
        <v>60</v>
      </c>
      <c r="D663" t="s">
        <v>25</v>
      </c>
      <c r="E663">
        <v>33</v>
      </c>
      <c r="F663">
        <v>68701</v>
      </c>
      <c r="G663">
        <v>10</v>
      </c>
      <c r="H663" t="s">
        <v>1520</v>
      </c>
      <c r="I663" t="s">
        <v>35</v>
      </c>
      <c r="J663" t="s">
        <v>36</v>
      </c>
      <c r="K663" t="s">
        <v>37</v>
      </c>
      <c r="L663" t="str">
        <f t="array" ref="L663">_xlfn.IFS(HR_Data[[#This Row],[Experience]]&lt;2,"0-2 Years",HR_Data[[#This Row],[Experience]]&lt;5,"2-5 Years",HR_Data[[#This Row],[Experience]]&lt;10,"5-10 Years",TRUE(),"10+ Years")</f>
        <v>10+ Years</v>
      </c>
      <c r="M663" t="str">
        <f t="array" ref="M663">_xlfn.IFS(HR_Data[[#This Row],[Salary]]&lt;40000,"Low",HR_Data[[#This Row],[Salary]]&lt;70000,"Medium",HR_Data[[#This Row],[Salary]]&lt;100000,"High",TRUE(),"Very High")</f>
        <v>Medium</v>
      </c>
      <c r="N663" t="str">
        <f t="array" ref="N663">_xlfn.IFS(HR_Data[[#This Row],[Age]]&lt;25,"18-24",HR_Data[[#This Row],[Age]]&lt;35,"25-34",HR_Data[[#This Row],[Age]]&lt;45,"35-44",TRUE(),"45+")</f>
        <v>25-34</v>
      </c>
      <c r="O663">
        <f>YEAR(HR_Data[[#This Row],[Joining Date]])</f>
        <v>2020</v>
      </c>
      <c r="P663" t="str">
        <f>TEXT(HR_Data[[#This Row],[Joining Date]],"mmmm")</f>
        <v>April</v>
      </c>
      <c r="Q663">
        <f t="array" ref="Q663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63">
        <f>HR_Data[[#This Row],[Salary]]*HR_Data[[#This Row],[Bonus %]]</f>
        <v>6870.1</v>
      </c>
      <c r="S663">
        <f>HR_Data[[#This Row],[Salary]]+HR_Data[[#This Row],[Bonus Amount]]</f>
        <v>75571.100000000006</v>
      </c>
      <c r="T663" t="str">
        <f>IF(HR_Data[[#This Row],[Attrition]]="Yes","Inactive","Active")</f>
        <v>Inactive</v>
      </c>
      <c r="U663" t="str">
        <f t="array" ref="U663">_xlfn.IFS(HR_Data[[#This Row],[Salary]]&gt;=100000,"A",HR_Data[[#This Row],[Salary]]&gt;=70000,"B",HR_Data[[#This Row],[Salary]]&gt;=50000,"C",TRUE(),"D")</f>
        <v>C</v>
      </c>
      <c r="V663" t="str">
        <f t="array" ref="V663">_xlfn.IFS(HR_Data[[#This Row],[Experience]]&gt;=15,"Expert",HR_Data[[#This Row],[Experience]]&gt;=8,"Senior",HR_Data[[#This Row],[Experience]]&gt;=3,"Mid-Level",TRUE(),"Junior")</f>
        <v>Senior</v>
      </c>
    </row>
    <row r="664" spans="1:22" ht="14.25" customHeight="1" x14ac:dyDescent="0.3">
      <c r="A664" t="s">
        <v>1521</v>
      </c>
      <c r="B664" t="s">
        <v>820</v>
      </c>
      <c r="C664" t="s">
        <v>70</v>
      </c>
      <c r="D664" t="s">
        <v>33</v>
      </c>
      <c r="E664">
        <v>58</v>
      </c>
      <c r="F664">
        <v>130491</v>
      </c>
      <c r="G664">
        <v>31</v>
      </c>
      <c r="H664" t="s">
        <v>1522</v>
      </c>
      <c r="I664" t="s">
        <v>80</v>
      </c>
      <c r="J664" t="s">
        <v>36</v>
      </c>
      <c r="K664" t="s">
        <v>37</v>
      </c>
      <c r="L664" t="str">
        <f t="array" ref="L664">_xlfn.IFS(HR_Data[[#This Row],[Experience]]&lt;2,"0-2 Years",HR_Data[[#This Row],[Experience]]&lt;5,"2-5 Years",HR_Data[[#This Row],[Experience]]&lt;10,"5-10 Years",TRUE(),"10+ Years")</f>
        <v>10+ Years</v>
      </c>
      <c r="M664" t="str">
        <f t="array" ref="M664">_xlfn.IFS(HR_Data[[#This Row],[Salary]]&lt;40000,"Low",HR_Data[[#This Row],[Salary]]&lt;70000,"Medium",HR_Data[[#This Row],[Salary]]&lt;100000,"High",TRUE(),"Very High")</f>
        <v>Very High</v>
      </c>
      <c r="N664" t="str">
        <f t="array" ref="N664">_xlfn.IFS(HR_Data[[#This Row],[Age]]&lt;25,"18-24",HR_Data[[#This Row],[Age]]&lt;35,"25-34",HR_Data[[#This Row],[Age]]&lt;45,"35-44",TRUE(),"45+")</f>
        <v>45+</v>
      </c>
      <c r="O664">
        <f>YEAR(HR_Data[[#This Row],[Joining Date]])</f>
        <v>2024</v>
      </c>
      <c r="P664" t="str">
        <f>TEXT(HR_Data[[#This Row],[Joining Date]],"mmmm")</f>
        <v>June</v>
      </c>
      <c r="Q664">
        <f t="array" ref="Q664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64">
        <f>HR_Data[[#This Row],[Salary]]*HR_Data[[#This Row],[Bonus %]]</f>
        <v>13049.1</v>
      </c>
      <c r="S664">
        <f>HR_Data[[#This Row],[Salary]]+HR_Data[[#This Row],[Bonus Amount]]</f>
        <v>143540.1</v>
      </c>
      <c r="T664" t="str">
        <f>IF(HR_Data[[#This Row],[Attrition]]="Yes","Inactive","Active")</f>
        <v>Inactive</v>
      </c>
      <c r="U664" t="str">
        <f t="array" ref="U664">_xlfn.IFS(HR_Data[[#This Row],[Salary]]&gt;=100000,"A",HR_Data[[#This Row],[Salary]]&gt;=70000,"B",HR_Data[[#This Row],[Salary]]&gt;=50000,"C",TRUE(),"D")</f>
        <v>A</v>
      </c>
      <c r="V664" t="str">
        <f t="array" ref="V664">_xlfn.IFS(HR_Data[[#This Row],[Experience]]&gt;=15,"Expert",HR_Data[[#This Row],[Experience]]&gt;=8,"Senior",HR_Data[[#This Row],[Experience]]&gt;=3,"Mid-Level",TRUE(),"Junior")</f>
        <v>Expert</v>
      </c>
    </row>
    <row r="665" spans="1:22" ht="14.25" customHeight="1" x14ac:dyDescent="0.3">
      <c r="A665" t="s">
        <v>1523</v>
      </c>
      <c r="B665" t="s">
        <v>573</v>
      </c>
      <c r="C665" t="s">
        <v>112</v>
      </c>
      <c r="D665" t="s">
        <v>33</v>
      </c>
      <c r="E665">
        <v>46</v>
      </c>
      <c r="F665">
        <v>89445</v>
      </c>
      <c r="G665">
        <v>17</v>
      </c>
      <c r="H665" t="s">
        <v>1524</v>
      </c>
      <c r="I665" t="s">
        <v>67</v>
      </c>
      <c r="J665" t="s">
        <v>36</v>
      </c>
      <c r="K665" t="s">
        <v>37</v>
      </c>
      <c r="L665" t="str">
        <f t="array" ref="L665">_xlfn.IFS(HR_Data[[#This Row],[Experience]]&lt;2,"0-2 Years",HR_Data[[#This Row],[Experience]]&lt;5,"2-5 Years",HR_Data[[#This Row],[Experience]]&lt;10,"5-10 Years",TRUE(),"10+ Years")</f>
        <v>10+ Years</v>
      </c>
      <c r="M665" t="str">
        <f t="array" ref="M665">_xlfn.IFS(HR_Data[[#This Row],[Salary]]&lt;40000,"Low",HR_Data[[#This Row],[Salary]]&lt;70000,"Medium",HR_Data[[#This Row],[Salary]]&lt;100000,"High",TRUE(),"Very High")</f>
        <v>High</v>
      </c>
      <c r="N665" t="str">
        <f t="array" ref="N665">_xlfn.IFS(HR_Data[[#This Row],[Age]]&lt;25,"18-24",HR_Data[[#This Row],[Age]]&lt;35,"25-34",HR_Data[[#This Row],[Age]]&lt;45,"35-44",TRUE(),"45+")</f>
        <v>45+</v>
      </c>
      <c r="O665">
        <f>YEAR(HR_Data[[#This Row],[Joining Date]])</f>
        <v>2018</v>
      </c>
      <c r="P665" t="str">
        <f>TEXT(HR_Data[[#This Row],[Joining Date]],"mmmm")</f>
        <v>December</v>
      </c>
      <c r="Q665">
        <f t="array" ref="Q66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65">
        <f>HR_Data[[#This Row],[Salary]]*HR_Data[[#This Row],[Bonus %]]</f>
        <v>8944.5</v>
      </c>
      <c r="S665">
        <f>HR_Data[[#This Row],[Salary]]+HR_Data[[#This Row],[Bonus Amount]]</f>
        <v>98389.5</v>
      </c>
      <c r="T665" t="str">
        <f>IF(HR_Data[[#This Row],[Attrition]]="Yes","Inactive","Active")</f>
        <v>Inactive</v>
      </c>
      <c r="U665" t="str">
        <f t="array" ref="U665">_xlfn.IFS(HR_Data[[#This Row],[Salary]]&gt;=100000,"A",HR_Data[[#This Row],[Salary]]&gt;=70000,"B",HR_Data[[#This Row],[Salary]]&gt;=50000,"C",TRUE(),"D")</f>
        <v>B</v>
      </c>
      <c r="V665" t="str">
        <f t="array" ref="V665">_xlfn.IFS(HR_Data[[#This Row],[Experience]]&gt;=15,"Expert",HR_Data[[#This Row],[Experience]]&gt;=8,"Senior",HR_Data[[#This Row],[Experience]]&gt;=3,"Mid-Level",TRUE(),"Junior")</f>
        <v>Expert</v>
      </c>
    </row>
    <row r="666" spans="1:22" ht="14.25" customHeight="1" x14ac:dyDescent="0.3">
      <c r="A666" t="s">
        <v>1525</v>
      </c>
      <c r="B666" t="s">
        <v>199</v>
      </c>
      <c r="C666" t="s">
        <v>60</v>
      </c>
      <c r="D666" t="s">
        <v>33</v>
      </c>
      <c r="E666">
        <v>39</v>
      </c>
      <c r="F666">
        <v>91136</v>
      </c>
      <c r="G666">
        <v>19</v>
      </c>
      <c r="H666" t="s">
        <v>1526</v>
      </c>
      <c r="I666" t="s">
        <v>72</v>
      </c>
      <c r="J666" t="s">
        <v>36</v>
      </c>
      <c r="K666" t="s">
        <v>29</v>
      </c>
      <c r="L666" t="str">
        <f t="array" ref="L666">_xlfn.IFS(HR_Data[[#This Row],[Experience]]&lt;2,"0-2 Years",HR_Data[[#This Row],[Experience]]&lt;5,"2-5 Years",HR_Data[[#This Row],[Experience]]&lt;10,"5-10 Years",TRUE(),"10+ Years")</f>
        <v>10+ Years</v>
      </c>
      <c r="M666" t="str">
        <f t="array" ref="M666">_xlfn.IFS(HR_Data[[#This Row],[Salary]]&lt;40000,"Low",HR_Data[[#This Row],[Salary]]&lt;70000,"Medium",HR_Data[[#This Row],[Salary]]&lt;100000,"High",TRUE(),"Very High")</f>
        <v>High</v>
      </c>
      <c r="N666" t="str">
        <f t="array" ref="N666">_xlfn.IFS(HR_Data[[#This Row],[Age]]&lt;25,"18-24",HR_Data[[#This Row],[Age]]&lt;35,"25-34",HR_Data[[#This Row],[Age]]&lt;45,"35-44",TRUE(),"45+")</f>
        <v>35-44</v>
      </c>
      <c r="O666">
        <f>YEAR(HR_Data[[#This Row],[Joining Date]])</f>
        <v>2023</v>
      </c>
      <c r="P666" t="str">
        <f>TEXT(HR_Data[[#This Row],[Joining Date]],"mmmm")</f>
        <v>February</v>
      </c>
      <c r="Q666">
        <f t="array" ref="Q66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66">
        <f>HR_Data[[#This Row],[Salary]]*HR_Data[[#This Row],[Bonus %]]</f>
        <v>9113.6</v>
      </c>
      <c r="S666">
        <f>HR_Data[[#This Row],[Salary]]+HR_Data[[#This Row],[Bonus Amount]]</f>
        <v>100249.60000000001</v>
      </c>
      <c r="T666" t="str">
        <f>IF(HR_Data[[#This Row],[Attrition]]="Yes","Inactive","Active")</f>
        <v>Active</v>
      </c>
      <c r="U666" t="str">
        <f t="array" ref="U666">_xlfn.IFS(HR_Data[[#This Row],[Salary]]&gt;=100000,"A",HR_Data[[#This Row],[Salary]]&gt;=70000,"B",HR_Data[[#This Row],[Salary]]&gt;=50000,"C",TRUE(),"D")</f>
        <v>B</v>
      </c>
      <c r="V666" t="str">
        <f t="array" ref="V666">_xlfn.IFS(HR_Data[[#This Row],[Experience]]&gt;=15,"Expert",HR_Data[[#This Row],[Experience]]&gt;=8,"Senior",HR_Data[[#This Row],[Experience]]&gt;=3,"Mid-Level",TRUE(),"Junior")</f>
        <v>Expert</v>
      </c>
    </row>
    <row r="667" spans="1:22" ht="14.25" customHeight="1" x14ac:dyDescent="0.3">
      <c r="A667" t="s">
        <v>1527</v>
      </c>
      <c r="B667" t="s">
        <v>177</v>
      </c>
      <c r="C667" t="s">
        <v>55</v>
      </c>
      <c r="D667" t="s">
        <v>25</v>
      </c>
      <c r="E667">
        <v>52</v>
      </c>
      <c r="F667">
        <v>136503</v>
      </c>
      <c r="G667">
        <v>32</v>
      </c>
      <c r="H667" t="s">
        <v>1528</v>
      </c>
      <c r="I667" t="s">
        <v>72</v>
      </c>
      <c r="J667" t="s">
        <v>36</v>
      </c>
      <c r="K667" t="s">
        <v>37</v>
      </c>
      <c r="L667" t="str">
        <f t="array" ref="L667">_xlfn.IFS(HR_Data[[#This Row],[Experience]]&lt;2,"0-2 Years",HR_Data[[#This Row],[Experience]]&lt;5,"2-5 Years",HR_Data[[#This Row],[Experience]]&lt;10,"5-10 Years",TRUE(),"10+ Years")</f>
        <v>10+ Years</v>
      </c>
      <c r="M667" t="str">
        <f t="array" ref="M667">_xlfn.IFS(HR_Data[[#This Row],[Salary]]&lt;40000,"Low",HR_Data[[#This Row],[Salary]]&lt;70000,"Medium",HR_Data[[#This Row],[Salary]]&lt;100000,"High",TRUE(),"Very High")</f>
        <v>Very High</v>
      </c>
      <c r="N667" t="str">
        <f t="array" ref="N667">_xlfn.IFS(HR_Data[[#This Row],[Age]]&lt;25,"18-24",HR_Data[[#This Row],[Age]]&lt;35,"25-34",HR_Data[[#This Row],[Age]]&lt;45,"35-44",TRUE(),"45+")</f>
        <v>45+</v>
      </c>
      <c r="O667">
        <f>YEAR(HR_Data[[#This Row],[Joining Date]])</f>
        <v>2020</v>
      </c>
      <c r="P667" t="str">
        <f>TEXT(HR_Data[[#This Row],[Joining Date]],"mmmm")</f>
        <v>August</v>
      </c>
      <c r="Q667">
        <f t="array" ref="Q667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67">
        <f>HR_Data[[#This Row],[Salary]]*HR_Data[[#This Row],[Bonus %]]</f>
        <v>13650.300000000001</v>
      </c>
      <c r="S667">
        <f>HR_Data[[#This Row],[Salary]]+HR_Data[[#This Row],[Bonus Amount]]</f>
        <v>150153.29999999999</v>
      </c>
      <c r="T667" t="str">
        <f>IF(HR_Data[[#This Row],[Attrition]]="Yes","Inactive","Active")</f>
        <v>Inactive</v>
      </c>
      <c r="U667" t="str">
        <f t="array" ref="U667">_xlfn.IFS(HR_Data[[#This Row],[Salary]]&gt;=100000,"A",HR_Data[[#This Row],[Salary]]&gt;=70000,"B",HR_Data[[#This Row],[Salary]]&gt;=50000,"C",TRUE(),"D")</f>
        <v>A</v>
      </c>
      <c r="V667" t="str">
        <f t="array" ref="V667">_xlfn.IFS(HR_Data[[#This Row],[Experience]]&gt;=15,"Expert",HR_Data[[#This Row],[Experience]]&gt;=8,"Senior",HR_Data[[#This Row],[Experience]]&gt;=3,"Mid-Level",TRUE(),"Junior")</f>
        <v>Expert</v>
      </c>
    </row>
    <row r="668" spans="1:22" ht="14.25" customHeight="1" x14ac:dyDescent="0.3">
      <c r="A668" t="s">
        <v>1529</v>
      </c>
      <c r="B668" t="s">
        <v>137</v>
      </c>
      <c r="C668" t="s">
        <v>93</v>
      </c>
      <c r="D668" t="s">
        <v>25</v>
      </c>
      <c r="E668">
        <v>54</v>
      </c>
      <c r="F668">
        <v>101531</v>
      </c>
      <c r="G668">
        <v>24</v>
      </c>
      <c r="H668" t="s">
        <v>1530</v>
      </c>
      <c r="I668" t="s">
        <v>80</v>
      </c>
      <c r="J668" t="s">
        <v>28</v>
      </c>
      <c r="K668" t="s">
        <v>37</v>
      </c>
      <c r="L668" t="str">
        <f t="array" ref="L668">_xlfn.IFS(HR_Data[[#This Row],[Experience]]&lt;2,"0-2 Years",HR_Data[[#This Row],[Experience]]&lt;5,"2-5 Years",HR_Data[[#This Row],[Experience]]&lt;10,"5-10 Years",TRUE(),"10+ Years")</f>
        <v>10+ Years</v>
      </c>
      <c r="M668" t="str">
        <f t="array" ref="M668">_xlfn.IFS(HR_Data[[#This Row],[Salary]]&lt;40000,"Low",HR_Data[[#This Row],[Salary]]&lt;70000,"Medium",HR_Data[[#This Row],[Salary]]&lt;100000,"High",TRUE(),"Very High")</f>
        <v>Very High</v>
      </c>
      <c r="N668" t="str">
        <f t="array" ref="N668">_xlfn.IFS(HR_Data[[#This Row],[Age]]&lt;25,"18-24",HR_Data[[#This Row],[Age]]&lt;35,"25-34",HR_Data[[#This Row],[Age]]&lt;45,"35-44",TRUE(),"45+")</f>
        <v>45+</v>
      </c>
      <c r="O668">
        <f>YEAR(HR_Data[[#This Row],[Joining Date]])</f>
        <v>2024</v>
      </c>
      <c r="P668" t="str">
        <f>TEXT(HR_Data[[#This Row],[Joining Date]],"mmmm")</f>
        <v>June</v>
      </c>
      <c r="Q668">
        <f t="array" ref="Q668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668">
        <f>HR_Data[[#This Row],[Salary]]*HR_Data[[#This Row],[Bonus %]]</f>
        <v>15229.65</v>
      </c>
      <c r="S668">
        <f>HR_Data[[#This Row],[Salary]]+HR_Data[[#This Row],[Bonus Amount]]</f>
        <v>116760.65</v>
      </c>
      <c r="T668" t="str">
        <f>IF(HR_Data[[#This Row],[Attrition]]="Yes","Inactive","Active")</f>
        <v>Inactive</v>
      </c>
      <c r="U668" t="str">
        <f t="array" ref="U668">_xlfn.IFS(HR_Data[[#This Row],[Salary]]&gt;=100000,"A",HR_Data[[#This Row],[Salary]]&gt;=70000,"B",HR_Data[[#This Row],[Salary]]&gt;=50000,"C",TRUE(),"D")</f>
        <v>A</v>
      </c>
      <c r="V668" t="str">
        <f t="array" ref="V668">_xlfn.IFS(HR_Data[[#This Row],[Experience]]&gt;=15,"Expert",HR_Data[[#This Row],[Experience]]&gt;=8,"Senior",HR_Data[[#This Row],[Experience]]&gt;=3,"Mid-Level",TRUE(),"Junior")</f>
        <v>Expert</v>
      </c>
    </row>
    <row r="669" spans="1:22" ht="14.25" customHeight="1" x14ac:dyDescent="0.3">
      <c r="A669" t="s">
        <v>1531</v>
      </c>
      <c r="B669" t="s">
        <v>823</v>
      </c>
      <c r="C669" t="s">
        <v>93</v>
      </c>
      <c r="D669" t="s">
        <v>33</v>
      </c>
      <c r="E669">
        <v>29</v>
      </c>
      <c r="F669">
        <v>44080</v>
      </c>
      <c r="G669">
        <v>3</v>
      </c>
      <c r="H669" t="s">
        <v>1532</v>
      </c>
      <c r="I669" t="s">
        <v>80</v>
      </c>
      <c r="J669" t="s">
        <v>36</v>
      </c>
      <c r="K669" t="s">
        <v>37</v>
      </c>
      <c r="L669" t="str">
        <f t="array" ref="L669">_xlfn.IFS(HR_Data[[#This Row],[Experience]]&lt;2,"0-2 Years",HR_Data[[#This Row],[Experience]]&lt;5,"2-5 Years",HR_Data[[#This Row],[Experience]]&lt;10,"5-10 Years",TRUE(),"10+ Years")</f>
        <v>2-5 Years</v>
      </c>
      <c r="M669" t="str">
        <f t="array" ref="M669">_xlfn.IFS(HR_Data[[#This Row],[Salary]]&lt;40000,"Low",HR_Data[[#This Row],[Salary]]&lt;70000,"Medium",HR_Data[[#This Row],[Salary]]&lt;100000,"High",TRUE(),"Very High")</f>
        <v>Medium</v>
      </c>
      <c r="N669" t="str">
        <f t="array" ref="N669">_xlfn.IFS(HR_Data[[#This Row],[Age]]&lt;25,"18-24",HR_Data[[#This Row],[Age]]&lt;35,"25-34",HR_Data[[#This Row],[Age]]&lt;45,"35-44",TRUE(),"45+")</f>
        <v>25-34</v>
      </c>
      <c r="O669">
        <f>YEAR(HR_Data[[#This Row],[Joining Date]])</f>
        <v>2023</v>
      </c>
      <c r="P669" t="str">
        <f>TEXT(HR_Data[[#This Row],[Joining Date]],"mmmm")</f>
        <v>May</v>
      </c>
      <c r="Q669">
        <f t="array" ref="Q66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69">
        <f>HR_Data[[#This Row],[Salary]]*HR_Data[[#This Row],[Bonus %]]</f>
        <v>4408</v>
      </c>
      <c r="S669">
        <f>HR_Data[[#This Row],[Salary]]+HR_Data[[#This Row],[Bonus Amount]]</f>
        <v>48488</v>
      </c>
      <c r="T669" t="str">
        <f>IF(HR_Data[[#This Row],[Attrition]]="Yes","Inactive","Active")</f>
        <v>Inactive</v>
      </c>
      <c r="U669" t="str">
        <f t="array" ref="U669">_xlfn.IFS(HR_Data[[#This Row],[Salary]]&gt;=100000,"A",HR_Data[[#This Row],[Salary]]&gt;=70000,"B",HR_Data[[#This Row],[Salary]]&gt;=50000,"C",TRUE(),"D")</f>
        <v>D</v>
      </c>
      <c r="V669" t="str">
        <f t="array" ref="V669">_xlfn.IFS(HR_Data[[#This Row],[Experience]]&gt;=15,"Expert",HR_Data[[#This Row],[Experience]]&gt;=8,"Senior",HR_Data[[#This Row],[Experience]]&gt;=3,"Mid-Level",TRUE(),"Junior")</f>
        <v>Mid-Level</v>
      </c>
    </row>
    <row r="670" spans="1:22" ht="14.25" customHeight="1" x14ac:dyDescent="0.3">
      <c r="A670" t="s">
        <v>1533</v>
      </c>
      <c r="B670" t="s">
        <v>582</v>
      </c>
      <c r="C670" t="s">
        <v>112</v>
      </c>
      <c r="D670" t="s">
        <v>33</v>
      </c>
      <c r="E670">
        <v>33</v>
      </c>
      <c r="F670">
        <v>61372</v>
      </c>
      <c r="G670">
        <v>9</v>
      </c>
      <c r="H670" t="s">
        <v>1534</v>
      </c>
      <c r="I670" t="s">
        <v>80</v>
      </c>
      <c r="J670" t="s">
        <v>46</v>
      </c>
      <c r="K670" t="s">
        <v>37</v>
      </c>
      <c r="L670" t="str">
        <f t="array" ref="L670">_xlfn.IFS(HR_Data[[#This Row],[Experience]]&lt;2,"0-2 Years",HR_Data[[#This Row],[Experience]]&lt;5,"2-5 Years",HR_Data[[#This Row],[Experience]]&lt;10,"5-10 Years",TRUE(),"10+ Years")</f>
        <v>5-10 Years</v>
      </c>
      <c r="M670" t="str">
        <f t="array" ref="M670">_xlfn.IFS(HR_Data[[#This Row],[Salary]]&lt;40000,"Low",HR_Data[[#This Row],[Salary]]&lt;70000,"Medium",HR_Data[[#This Row],[Salary]]&lt;100000,"High",TRUE(),"Very High")</f>
        <v>Medium</v>
      </c>
      <c r="N670" t="str">
        <f t="array" ref="N670">_xlfn.IFS(HR_Data[[#This Row],[Age]]&lt;25,"18-24",HR_Data[[#This Row],[Age]]&lt;35,"25-34",HR_Data[[#This Row],[Age]]&lt;45,"35-44",TRUE(),"45+")</f>
        <v>25-34</v>
      </c>
      <c r="O670">
        <f>YEAR(HR_Data[[#This Row],[Joining Date]])</f>
        <v>2023</v>
      </c>
      <c r="P670" t="str">
        <f>TEXT(HR_Data[[#This Row],[Joining Date]],"mmmm")</f>
        <v>April</v>
      </c>
      <c r="Q670">
        <f t="array" ref="Q670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670">
        <f>HR_Data[[#This Row],[Salary]]*HR_Data[[#This Row],[Bonus %]]</f>
        <v>3068.6000000000004</v>
      </c>
      <c r="S670">
        <f>HR_Data[[#This Row],[Salary]]+HR_Data[[#This Row],[Bonus Amount]]</f>
        <v>64440.6</v>
      </c>
      <c r="T670" t="str">
        <f>IF(HR_Data[[#This Row],[Attrition]]="Yes","Inactive","Active")</f>
        <v>Inactive</v>
      </c>
      <c r="U670" t="str">
        <f t="array" ref="U670">_xlfn.IFS(HR_Data[[#This Row],[Salary]]&gt;=100000,"A",HR_Data[[#This Row],[Salary]]&gt;=70000,"B",HR_Data[[#This Row],[Salary]]&gt;=50000,"C",TRUE(),"D")</f>
        <v>C</v>
      </c>
      <c r="V670" t="str">
        <f t="array" ref="V670">_xlfn.IFS(HR_Data[[#This Row],[Experience]]&gt;=15,"Expert",HR_Data[[#This Row],[Experience]]&gt;=8,"Senior",HR_Data[[#This Row],[Experience]]&gt;=3,"Mid-Level",TRUE(),"Junior")</f>
        <v>Senior</v>
      </c>
    </row>
    <row r="671" spans="1:22" ht="14.25" customHeight="1" x14ac:dyDescent="0.3">
      <c r="A671" t="s">
        <v>1535</v>
      </c>
      <c r="B671" t="s">
        <v>54</v>
      </c>
      <c r="C671" t="s">
        <v>93</v>
      </c>
      <c r="D671" t="s">
        <v>25</v>
      </c>
      <c r="E671">
        <v>60</v>
      </c>
      <c r="F671">
        <v>139134</v>
      </c>
      <c r="G671">
        <v>35</v>
      </c>
      <c r="H671" t="s">
        <v>1536</v>
      </c>
      <c r="I671" t="s">
        <v>27</v>
      </c>
      <c r="J671" t="s">
        <v>46</v>
      </c>
      <c r="K671" t="s">
        <v>29</v>
      </c>
      <c r="L671" t="str">
        <f t="array" ref="L671">_xlfn.IFS(HR_Data[[#This Row],[Experience]]&lt;2,"0-2 Years",HR_Data[[#This Row],[Experience]]&lt;5,"2-5 Years",HR_Data[[#This Row],[Experience]]&lt;10,"5-10 Years",TRUE(),"10+ Years")</f>
        <v>10+ Years</v>
      </c>
      <c r="M671" t="str">
        <f t="array" ref="M671">_xlfn.IFS(HR_Data[[#This Row],[Salary]]&lt;40000,"Low",HR_Data[[#This Row],[Salary]]&lt;70000,"Medium",HR_Data[[#This Row],[Salary]]&lt;100000,"High",TRUE(),"Very High")</f>
        <v>Very High</v>
      </c>
      <c r="N671" t="str">
        <f t="array" ref="N671">_xlfn.IFS(HR_Data[[#This Row],[Age]]&lt;25,"18-24",HR_Data[[#This Row],[Age]]&lt;35,"25-34",HR_Data[[#This Row],[Age]]&lt;45,"35-44",TRUE(),"45+")</f>
        <v>45+</v>
      </c>
      <c r="O671">
        <f>YEAR(HR_Data[[#This Row],[Joining Date]])</f>
        <v>2023</v>
      </c>
      <c r="P671" t="str">
        <f>TEXT(HR_Data[[#This Row],[Joining Date]],"mmmm")</f>
        <v>February</v>
      </c>
      <c r="Q671">
        <f t="array" ref="Q671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671">
        <f>HR_Data[[#This Row],[Salary]]*HR_Data[[#This Row],[Bonus %]]</f>
        <v>6956.7000000000007</v>
      </c>
      <c r="S671">
        <f>HR_Data[[#This Row],[Salary]]+HR_Data[[#This Row],[Bonus Amount]]</f>
        <v>146090.70000000001</v>
      </c>
      <c r="T671" t="str">
        <f>IF(HR_Data[[#This Row],[Attrition]]="Yes","Inactive","Active")</f>
        <v>Active</v>
      </c>
      <c r="U671" t="str">
        <f t="array" ref="U671">_xlfn.IFS(HR_Data[[#This Row],[Salary]]&gt;=100000,"A",HR_Data[[#This Row],[Salary]]&gt;=70000,"B",HR_Data[[#This Row],[Salary]]&gt;=50000,"C",TRUE(),"D")</f>
        <v>A</v>
      </c>
      <c r="V671" t="str">
        <f t="array" ref="V671">_xlfn.IFS(HR_Data[[#This Row],[Experience]]&gt;=15,"Expert",HR_Data[[#This Row],[Experience]]&gt;=8,"Senior",HR_Data[[#This Row],[Experience]]&gt;=3,"Mid-Level",TRUE(),"Junior")</f>
        <v>Expert</v>
      </c>
    </row>
    <row r="672" spans="1:22" ht="14.25" customHeight="1" x14ac:dyDescent="0.3">
      <c r="A672" t="s">
        <v>1537</v>
      </c>
      <c r="B672" t="s">
        <v>313</v>
      </c>
      <c r="C672" t="s">
        <v>70</v>
      </c>
      <c r="D672" t="s">
        <v>25</v>
      </c>
      <c r="E672">
        <v>48</v>
      </c>
      <c r="F672">
        <v>106859</v>
      </c>
      <c r="G672">
        <v>25</v>
      </c>
      <c r="H672" t="s">
        <v>1538</v>
      </c>
      <c r="I672" t="s">
        <v>67</v>
      </c>
      <c r="J672" t="s">
        <v>90</v>
      </c>
      <c r="K672" t="s">
        <v>29</v>
      </c>
      <c r="L672" t="str">
        <f t="array" ref="L672">_xlfn.IFS(HR_Data[[#This Row],[Experience]]&lt;2,"0-2 Years",HR_Data[[#This Row],[Experience]]&lt;5,"2-5 Years",HR_Data[[#This Row],[Experience]]&lt;10,"5-10 Years",TRUE(),"10+ Years")</f>
        <v>10+ Years</v>
      </c>
      <c r="M672" t="str">
        <f t="array" ref="M672">_xlfn.IFS(HR_Data[[#This Row],[Salary]]&lt;40000,"Low",HR_Data[[#This Row],[Salary]]&lt;70000,"Medium",HR_Data[[#This Row],[Salary]]&lt;100000,"High",TRUE(),"Very High")</f>
        <v>Very High</v>
      </c>
      <c r="N672" t="str">
        <f t="array" ref="N672">_xlfn.IFS(HR_Data[[#This Row],[Age]]&lt;25,"18-24",HR_Data[[#This Row],[Age]]&lt;35,"25-34",HR_Data[[#This Row],[Age]]&lt;45,"35-44",TRUE(),"45+")</f>
        <v>45+</v>
      </c>
      <c r="O672">
        <f>YEAR(HR_Data[[#This Row],[Joining Date]])</f>
        <v>2017</v>
      </c>
      <c r="P672" t="str">
        <f>TEXT(HR_Data[[#This Row],[Joining Date]],"mmmm")</f>
        <v>January</v>
      </c>
      <c r="Q672">
        <f t="array" ref="Q672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672">
        <f>HR_Data[[#This Row],[Salary]]*HR_Data[[#This Row],[Bonus %]]</f>
        <v>0</v>
      </c>
      <c r="S672">
        <f>HR_Data[[#This Row],[Salary]]+HR_Data[[#This Row],[Bonus Amount]]</f>
        <v>106859</v>
      </c>
      <c r="T672" t="str">
        <f>IF(HR_Data[[#This Row],[Attrition]]="Yes","Inactive","Active")</f>
        <v>Active</v>
      </c>
      <c r="U672" t="str">
        <f t="array" ref="U672">_xlfn.IFS(HR_Data[[#This Row],[Salary]]&gt;=100000,"A",HR_Data[[#This Row],[Salary]]&gt;=70000,"B",HR_Data[[#This Row],[Salary]]&gt;=50000,"C",TRUE(),"D")</f>
        <v>A</v>
      </c>
      <c r="V672" t="str">
        <f t="array" ref="V672">_xlfn.IFS(HR_Data[[#This Row],[Experience]]&gt;=15,"Expert",HR_Data[[#This Row],[Experience]]&gt;=8,"Senior",HR_Data[[#This Row],[Experience]]&gt;=3,"Mid-Level",TRUE(),"Junior")</f>
        <v>Expert</v>
      </c>
    </row>
    <row r="673" spans="1:22" ht="14.25" customHeight="1" x14ac:dyDescent="0.3">
      <c r="A673" t="s">
        <v>1539</v>
      </c>
      <c r="B673" t="s">
        <v>1540</v>
      </c>
      <c r="C673" t="s">
        <v>55</v>
      </c>
      <c r="D673" t="s">
        <v>25</v>
      </c>
      <c r="E673">
        <v>45</v>
      </c>
      <c r="F673">
        <v>109179</v>
      </c>
      <c r="G673">
        <v>26</v>
      </c>
      <c r="H673" t="s">
        <v>1541</v>
      </c>
      <c r="I673" t="s">
        <v>42</v>
      </c>
      <c r="J673" t="s">
        <v>46</v>
      </c>
      <c r="K673" t="s">
        <v>29</v>
      </c>
      <c r="L673" t="str">
        <f t="array" ref="L673">_xlfn.IFS(HR_Data[[#This Row],[Experience]]&lt;2,"0-2 Years",HR_Data[[#This Row],[Experience]]&lt;5,"2-5 Years",HR_Data[[#This Row],[Experience]]&lt;10,"5-10 Years",TRUE(),"10+ Years")</f>
        <v>10+ Years</v>
      </c>
      <c r="M673" t="str">
        <f t="array" ref="M673">_xlfn.IFS(HR_Data[[#This Row],[Salary]]&lt;40000,"Low",HR_Data[[#This Row],[Salary]]&lt;70000,"Medium",HR_Data[[#This Row],[Salary]]&lt;100000,"High",TRUE(),"Very High")</f>
        <v>Very High</v>
      </c>
      <c r="N673" t="str">
        <f t="array" ref="N673">_xlfn.IFS(HR_Data[[#This Row],[Age]]&lt;25,"18-24",HR_Data[[#This Row],[Age]]&lt;35,"25-34",HR_Data[[#This Row],[Age]]&lt;45,"35-44",TRUE(),"45+")</f>
        <v>45+</v>
      </c>
      <c r="O673">
        <f>YEAR(HR_Data[[#This Row],[Joining Date]])</f>
        <v>2016</v>
      </c>
      <c r="P673" t="str">
        <f>TEXT(HR_Data[[#This Row],[Joining Date]],"mmmm")</f>
        <v>October</v>
      </c>
      <c r="Q673">
        <f t="array" ref="Q673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673">
        <f>HR_Data[[#This Row],[Salary]]*HR_Data[[#This Row],[Bonus %]]</f>
        <v>5458.9500000000007</v>
      </c>
      <c r="S673">
        <f>HR_Data[[#This Row],[Salary]]+HR_Data[[#This Row],[Bonus Amount]]</f>
        <v>114637.95</v>
      </c>
      <c r="T673" t="str">
        <f>IF(HR_Data[[#This Row],[Attrition]]="Yes","Inactive","Active")</f>
        <v>Active</v>
      </c>
      <c r="U673" t="str">
        <f t="array" ref="U673">_xlfn.IFS(HR_Data[[#This Row],[Salary]]&gt;=100000,"A",HR_Data[[#This Row],[Salary]]&gt;=70000,"B",HR_Data[[#This Row],[Salary]]&gt;=50000,"C",TRUE(),"D")</f>
        <v>A</v>
      </c>
      <c r="V673" t="str">
        <f t="array" ref="V673">_xlfn.IFS(HR_Data[[#This Row],[Experience]]&gt;=15,"Expert",HR_Data[[#This Row],[Experience]]&gt;=8,"Senior",HR_Data[[#This Row],[Experience]]&gt;=3,"Mid-Level",TRUE(),"Junior")</f>
        <v>Expert</v>
      </c>
    </row>
    <row r="674" spans="1:22" ht="14.25" customHeight="1" x14ac:dyDescent="0.3">
      <c r="A674" t="s">
        <v>1542</v>
      </c>
      <c r="B674" t="s">
        <v>528</v>
      </c>
      <c r="C674" t="s">
        <v>93</v>
      </c>
      <c r="D674" t="s">
        <v>33</v>
      </c>
      <c r="E674">
        <v>40</v>
      </c>
      <c r="F674">
        <v>57551</v>
      </c>
      <c r="G674">
        <v>10</v>
      </c>
      <c r="H674" t="s">
        <v>1543</v>
      </c>
      <c r="I674" t="s">
        <v>27</v>
      </c>
      <c r="J674" t="s">
        <v>63</v>
      </c>
      <c r="K674" t="s">
        <v>29</v>
      </c>
      <c r="L674" t="str">
        <f t="array" ref="L674">_xlfn.IFS(HR_Data[[#This Row],[Experience]]&lt;2,"0-2 Years",HR_Data[[#This Row],[Experience]]&lt;5,"2-5 Years",HR_Data[[#This Row],[Experience]]&lt;10,"5-10 Years",TRUE(),"10+ Years")</f>
        <v>10+ Years</v>
      </c>
      <c r="M674" t="str">
        <f t="array" ref="M674">_xlfn.IFS(HR_Data[[#This Row],[Salary]]&lt;40000,"Low",HR_Data[[#This Row],[Salary]]&lt;70000,"Medium",HR_Data[[#This Row],[Salary]]&lt;100000,"High",TRUE(),"Very High")</f>
        <v>Medium</v>
      </c>
      <c r="N674" t="str">
        <f t="array" ref="N674">_xlfn.IFS(HR_Data[[#This Row],[Age]]&lt;25,"18-24",HR_Data[[#This Row],[Age]]&lt;35,"25-34",HR_Data[[#This Row],[Age]]&lt;45,"35-44",TRUE(),"45+")</f>
        <v>35-44</v>
      </c>
      <c r="O674">
        <f>YEAR(HR_Data[[#This Row],[Joining Date]])</f>
        <v>2026</v>
      </c>
      <c r="P674" t="str">
        <f>TEXT(HR_Data[[#This Row],[Joining Date]],"mmmm")</f>
        <v>May</v>
      </c>
      <c r="Q674">
        <f t="array" ref="Q674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674">
        <f>HR_Data[[#This Row],[Salary]]*HR_Data[[#This Row],[Bonus %]]</f>
        <v>11510.2</v>
      </c>
      <c r="S674">
        <f>HR_Data[[#This Row],[Salary]]+HR_Data[[#This Row],[Bonus Amount]]</f>
        <v>69061.2</v>
      </c>
      <c r="T674" t="str">
        <f>IF(HR_Data[[#This Row],[Attrition]]="Yes","Inactive","Active")</f>
        <v>Active</v>
      </c>
      <c r="U674" t="str">
        <f t="array" ref="U674">_xlfn.IFS(HR_Data[[#This Row],[Salary]]&gt;=100000,"A",HR_Data[[#This Row],[Salary]]&gt;=70000,"B",HR_Data[[#This Row],[Salary]]&gt;=50000,"C",TRUE(),"D")</f>
        <v>C</v>
      </c>
      <c r="V674" t="str">
        <f t="array" ref="V674">_xlfn.IFS(HR_Data[[#This Row],[Experience]]&gt;=15,"Expert",HR_Data[[#This Row],[Experience]]&gt;=8,"Senior",HR_Data[[#This Row],[Experience]]&gt;=3,"Mid-Level",TRUE(),"Junior")</f>
        <v>Senior</v>
      </c>
    </row>
    <row r="675" spans="1:22" ht="14.25" customHeight="1" x14ac:dyDescent="0.3">
      <c r="A675" t="s">
        <v>1544</v>
      </c>
      <c r="B675" t="s">
        <v>370</v>
      </c>
      <c r="C675" t="s">
        <v>24</v>
      </c>
      <c r="D675" t="s">
        <v>33</v>
      </c>
      <c r="E675">
        <v>40</v>
      </c>
      <c r="F675">
        <v>66729</v>
      </c>
      <c r="G675">
        <v>11</v>
      </c>
      <c r="H675" t="s">
        <v>1545</v>
      </c>
      <c r="I675" t="s">
        <v>42</v>
      </c>
      <c r="J675" t="s">
        <v>63</v>
      </c>
      <c r="K675" t="s">
        <v>29</v>
      </c>
      <c r="L675" t="str">
        <f t="array" ref="L675">_xlfn.IFS(HR_Data[[#This Row],[Experience]]&lt;2,"0-2 Years",HR_Data[[#This Row],[Experience]]&lt;5,"2-5 Years",HR_Data[[#This Row],[Experience]]&lt;10,"5-10 Years",TRUE(),"10+ Years")</f>
        <v>10+ Years</v>
      </c>
      <c r="M675" t="str">
        <f t="array" ref="M675">_xlfn.IFS(HR_Data[[#This Row],[Salary]]&lt;40000,"Low",HR_Data[[#This Row],[Salary]]&lt;70000,"Medium",HR_Data[[#This Row],[Salary]]&lt;100000,"High",TRUE(),"Very High")</f>
        <v>Medium</v>
      </c>
      <c r="N675" t="str">
        <f t="array" ref="N675">_xlfn.IFS(HR_Data[[#This Row],[Age]]&lt;25,"18-24",HR_Data[[#This Row],[Age]]&lt;35,"25-34",HR_Data[[#This Row],[Age]]&lt;45,"35-44",TRUE(),"45+")</f>
        <v>35-44</v>
      </c>
      <c r="O675">
        <f>YEAR(HR_Data[[#This Row],[Joining Date]])</f>
        <v>2018</v>
      </c>
      <c r="P675" t="str">
        <f>TEXT(HR_Data[[#This Row],[Joining Date]],"mmmm")</f>
        <v>January</v>
      </c>
      <c r="Q675">
        <f t="array" ref="Q675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675">
        <f>HR_Data[[#This Row],[Salary]]*HR_Data[[#This Row],[Bonus %]]</f>
        <v>13345.800000000001</v>
      </c>
      <c r="S675">
        <f>HR_Data[[#This Row],[Salary]]+HR_Data[[#This Row],[Bonus Amount]]</f>
        <v>80074.8</v>
      </c>
      <c r="T675" t="str">
        <f>IF(HR_Data[[#This Row],[Attrition]]="Yes","Inactive","Active")</f>
        <v>Active</v>
      </c>
      <c r="U675" t="str">
        <f t="array" ref="U675">_xlfn.IFS(HR_Data[[#This Row],[Salary]]&gt;=100000,"A",HR_Data[[#This Row],[Salary]]&gt;=70000,"B",HR_Data[[#This Row],[Salary]]&gt;=50000,"C",TRUE(),"D")</f>
        <v>C</v>
      </c>
      <c r="V675" t="str">
        <f t="array" ref="V675">_xlfn.IFS(HR_Data[[#This Row],[Experience]]&gt;=15,"Expert",HR_Data[[#This Row],[Experience]]&gt;=8,"Senior",HR_Data[[#This Row],[Experience]]&gt;=3,"Mid-Level",TRUE(),"Junior")</f>
        <v>Senior</v>
      </c>
    </row>
    <row r="676" spans="1:22" ht="14.25" customHeight="1" x14ac:dyDescent="0.3">
      <c r="A676" t="s">
        <v>1546</v>
      </c>
      <c r="B676" t="s">
        <v>1068</v>
      </c>
      <c r="C676" t="s">
        <v>93</v>
      </c>
      <c r="D676" t="s">
        <v>33</v>
      </c>
      <c r="E676">
        <v>32</v>
      </c>
      <c r="F676">
        <v>65920</v>
      </c>
      <c r="G676">
        <v>10</v>
      </c>
      <c r="H676" t="s">
        <v>961</v>
      </c>
      <c r="I676" t="s">
        <v>80</v>
      </c>
      <c r="J676" t="s">
        <v>46</v>
      </c>
      <c r="K676" t="s">
        <v>29</v>
      </c>
      <c r="L676" t="str">
        <f t="array" ref="L676">_xlfn.IFS(HR_Data[[#This Row],[Experience]]&lt;2,"0-2 Years",HR_Data[[#This Row],[Experience]]&lt;5,"2-5 Years",HR_Data[[#This Row],[Experience]]&lt;10,"5-10 Years",TRUE(),"10+ Years")</f>
        <v>10+ Years</v>
      </c>
      <c r="M676" t="str">
        <f t="array" ref="M676">_xlfn.IFS(HR_Data[[#This Row],[Salary]]&lt;40000,"Low",HR_Data[[#This Row],[Salary]]&lt;70000,"Medium",HR_Data[[#This Row],[Salary]]&lt;100000,"High",TRUE(),"Very High")</f>
        <v>Medium</v>
      </c>
      <c r="N676" t="str">
        <f t="array" ref="N676">_xlfn.IFS(HR_Data[[#This Row],[Age]]&lt;25,"18-24",HR_Data[[#This Row],[Age]]&lt;35,"25-34",HR_Data[[#This Row],[Age]]&lt;45,"35-44",TRUE(),"45+")</f>
        <v>25-34</v>
      </c>
      <c r="O676">
        <f>YEAR(HR_Data[[#This Row],[Joining Date]])</f>
        <v>2017</v>
      </c>
      <c r="P676" t="str">
        <f>TEXT(HR_Data[[#This Row],[Joining Date]],"mmmm")</f>
        <v>December</v>
      </c>
      <c r="Q676">
        <f t="array" ref="Q676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676">
        <f>HR_Data[[#This Row],[Salary]]*HR_Data[[#This Row],[Bonus %]]</f>
        <v>3296</v>
      </c>
      <c r="S676">
        <f>HR_Data[[#This Row],[Salary]]+HR_Data[[#This Row],[Bonus Amount]]</f>
        <v>69216</v>
      </c>
      <c r="T676" t="str">
        <f>IF(HR_Data[[#This Row],[Attrition]]="Yes","Inactive","Active")</f>
        <v>Active</v>
      </c>
      <c r="U676" t="str">
        <f t="array" ref="U676">_xlfn.IFS(HR_Data[[#This Row],[Salary]]&gt;=100000,"A",HR_Data[[#This Row],[Salary]]&gt;=70000,"B",HR_Data[[#This Row],[Salary]]&gt;=50000,"C",TRUE(),"D")</f>
        <v>C</v>
      </c>
      <c r="V676" t="str">
        <f t="array" ref="V676">_xlfn.IFS(HR_Data[[#This Row],[Experience]]&gt;=15,"Expert",HR_Data[[#This Row],[Experience]]&gt;=8,"Senior",HR_Data[[#This Row],[Experience]]&gt;=3,"Mid-Level",TRUE(),"Junior")</f>
        <v>Senior</v>
      </c>
    </row>
    <row r="677" spans="1:22" ht="14.25" customHeight="1" x14ac:dyDescent="0.3">
      <c r="A677" t="s">
        <v>1547</v>
      </c>
      <c r="B677" t="s">
        <v>102</v>
      </c>
      <c r="C677" t="s">
        <v>70</v>
      </c>
      <c r="D677" t="s">
        <v>25</v>
      </c>
      <c r="E677">
        <v>40</v>
      </c>
      <c r="F677">
        <v>71632</v>
      </c>
      <c r="G677">
        <v>11</v>
      </c>
      <c r="H677" t="s">
        <v>1548</v>
      </c>
      <c r="I677" t="s">
        <v>62</v>
      </c>
      <c r="J677" t="s">
        <v>46</v>
      </c>
      <c r="K677" t="s">
        <v>29</v>
      </c>
      <c r="L677" t="str">
        <f t="array" ref="L677">_xlfn.IFS(HR_Data[[#This Row],[Experience]]&lt;2,"0-2 Years",HR_Data[[#This Row],[Experience]]&lt;5,"2-5 Years",HR_Data[[#This Row],[Experience]]&lt;10,"5-10 Years",TRUE(),"10+ Years")</f>
        <v>10+ Years</v>
      </c>
      <c r="M677" t="str">
        <f t="array" ref="M677">_xlfn.IFS(HR_Data[[#This Row],[Salary]]&lt;40000,"Low",HR_Data[[#This Row],[Salary]]&lt;70000,"Medium",HR_Data[[#This Row],[Salary]]&lt;100000,"High",TRUE(),"Very High")</f>
        <v>High</v>
      </c>
      <c r="N677" t="str">
        <f t="array" ref="N677">_xlfn.IFS(HR_Data[[#This Row],[Age]]&lt;25,"18-24",HR_Data[[#This Row],[Age]]&lt;35,"25-34",HR_Data[[#This Row],[Age]]&lt;45,"35-44",TRUE(),"45+")</f>
        <v>35-44</v>
      </c>
      <c r="O677">
        <f>YEAR(HR_Data[[#This Row],[Joining Date]])</f>
        <v>2022</v>
      </c>
      <c r="P677" t="str">
        <f>TEXT(HR_Data[[#This Row],[Joining Date]],"mmmm")</f>
        <v>May</v>
      </c>
      <c r="Q677">
        <f t="array" ref="Q677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677">
        <f>HR_Data[[#This Row],[Salary]]*HR_Data[[#This Row],[Bonus %]]</f>
        <v>3581.6000000000004</v>
      </c>
      <c r="S677">
        <f>HR_Data[[#This Row],[Salary]]+HR_Data[[#This Row],[Bonus Amount]]</f>
        <v>75213.600000000006</v>
      </c>
      <c r="T677" t="str">
        <f>IF(HR_Data[[#This Row],[Attrition]]="Yes","Inactive","Active")</f>
        <v>Active</v>
      </c>
      <c r="U677" t="str">
        <f t="array" ref="U677">_xlfn.IFS(HR_Data[[#This Row],[Salary]]&gt;=100000,"A",HR_Data[[#This Row],[Salary]]&gt;=70000,"B",HR_Data[[#This Row],[Salary]]&gt;=50000,"C",TRUE(),"D")</f>
        <v>B</v>
      </c>
      <c r="V677" t="str">
        <f t="array" ref="V677">_xlfn.IFS(HR_Data[[#This Row],[Experience]]&gt;=15,"Expert",HR_Data[[#This Row],[Experience]]&gt;=8,"Senior",HR_Data[[#This Row],[Experience]]&gt;=3,"Mid-Level",TRUE(),"Junior")</f>
        <v>Senior</v>
      </c>
    </row>
    <row r="678" spans="1:22" ht="14.25" customHeight="1" x14ac:dyDescent="0.3">
      <c r="A678" t="s">
        <v>1549</v>
      </c>
      <c r="B678" t="s">
        <v>137</v>
      </c>
      <c r="C678" t="s">
        <v>70</v>
      </c>
      <c r="D678" t="s">
        <v>33</v>
      </c>
      <c r="E678">
        <v>33</v>
      </c>
      <c r="F678">
        <v>62552</v>
      </c>
      <c r="G678">
        <v>14</v>
      </c>
      <c r="H678" t="s">
        <v>1550</v>
      </c>
      <c r="I678" t="s">
        <v>62</v>
      </c>
      <c r="J678" t="s">
        <v>46</v>
      </c>
      <c r="K678" t="s">
        <v>29</v>
      </c>
      <c r="L678" t="str">
        <f t="array" ref="L678">_xlfn.IFS(HR_Data[[#This Row],[Experience]]&lt;2,"0-2 Years",HR_Data[[#This Row],[Experience]]&lt;5,"2-5 Years",HR_Data[[#This Row],[Experience]]&lt;10,"5-10 Years",TRUE(),"10+ Years")</f>
        <v>10+ Years</v>
      </c>
      <c r="M678" t="str">
        <f t="array" ref="M678">_xlfn.IFS(HR_Data[[#This Row],[Salary]]&lt;40000,"Low",HR_Data[[#This Row],[Salary]]&lt;70000,"Medium",HR_Data[[#This Row],[Salary]]&lt;100000,"High",TRUE(),"Very High")</f>
        <v>Medium</v>
      </c>
      <c r="N678" t="str">
        <f t="array" ref="N678">_xlfn.IFS(HR_Data[[#This Row],[Age]]&lt;25,"18-24",HR_Data[[#This Row],[Age]]&lt;35,"25-34",HR_Data[[#This Row],[Age]]&lt;45,"35-44",TRUE(),"45+")</f>
        <v>25-34</v>
      </c>
      <c r="O678">
        <f>YEAR(HR_Data[[#This Row],[Joining Date]])</f>
        <v>2020</v>
      </c>
      <c r="P678" t="str">
        <f>TEXT(HR_Data[[#This Row],[Joining Date]],"mmmm")</f>
        <v>February</v>
      </c>
      <c r="Q678">
        <f t="array" ref="Q678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678">
        <f>HR_Data[[#This Row],[Salary]]*HR_Data[[#This Row],[Bonus %]]</f>
        <v>3127.6000000000004</v>
      </c>
      <c r="S678">
        <f>HR_Data[[#This Row],[Salary]]+HR_Data[[#This Row],[Bonus Amount]]</f>
        <v>65679.600000000006</v>
      </c>
      <c r="T678" t="str">
        <f>IF(HR_Data[[#This Row],[Attrition]]="Yes","Inactive","Active")</f>
        <v>Active</v>
      </c>
      <c r="U678" t="str">
        <f t="array" ref="U678">_xlfn.IFS(HR_Data[[#This Row],[Salary]]&gt;=100000,"A",HR_Data[[#This Row],[Salary]]&gt;=70000,"B",HR_Data[[#This Row],[Salary]]&gt;=50000,"C",TRUE(),"D")</f>
        <v>C</v>
      </c>
      <c r="V678" t="str">
        <f t="array" ref="V678">_xlfn.IFS(HR_Data[[#This Row],[Experience]]&gt;=15,"Expert",HR_Data[[#This Row],[Experience]]&gt;=8,"Senior",HR_Data[[#This Row],[Experience]]&gt;=3,"Mid-Level",TRUE(),"Junior")</f>
        <v>Senior</v>
      </c>
    </row>
    <row r="679" spans="1:22" ht="14.25" customHeight="1" x14ac:dyDescent="0.3">
      <c r="A679" t="s">
        <v>1551</v>
      </c>
      <c r="B679" t="s">
        <v>85</v>
      </c>
      <c r="C679" t="s">
        <v>112</v>
      </c>
      <c r="D679" t="s">
        <v>25</v>
      </c>
      <c r="E679">
        <v>55</v>
      </c>
      <c r="F679">
        <v>111924</v>
      </c>
      <c r="G679">
        <v>27</v>
      </c>
      <c r="H679" t="s">
        <v>1552</v>
      </c>
      <c r="I679" t="s">
        <v>35</v>
      </c>
      <c r="J679" t="s">
        <v>63</v>
      </c>
      <c r="K679" t="s">
        <v>29</v>
      </c>
      <c r="L679" t="str">
        <f t="array" ref="L679">_xlfn.IFS(HR_Data[[#This Row],[Experience]]&lt;2,"0-2 Years",HR_Data[[#This Row],[Experience]]&lt;5,"2-5 Years",HR_Data[[#This Row],[Experience]]&lt;10,"5-10 Years",TRUE(),"10+ Years")</f>
        <v>10+ Years</v>
      </c>
      <c r="M679" t="str">
        <f t="array" ref="M679">_xlfn.IFS(HR_Data[[#This Row],[Salary]]&lt;40000,"Low",HR_Data[[#This Row],[Salary]]&lt;70000,"Medium",HR_Data[[#This Row],[Salary]]&lt;100000,"High",TRUE(),"Very High")</f>
        <v>Very High</v>
      </c>
      <c r="N679" t="str">
        <f t="array" ref="N679">_xlfn.IFS(HR_Data[[#This Row],[Age]]&lt;25,"18-24",HR_Data[[#This Row],[Age]]&lt;35,"25-34",HR_Data[[#This Row],[Age]]&lt;45,"35-44",TRUE(),"45+")</f>
        <v>45+</v>
      </c>
      <c r="O679">
        <f>YEAR(HR_Data[[#This Row],[Joining Date]])</f>
        <v>2018</v>
      </c>
      <c r="P679" t="str">
        <f>TEXT(HR_Data[[#This Row],[Joining Date]],"mmmm")</f>
        <v>May</v>
      </c>
      <c r="Q679">
        <f t="array" ref="Q679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679">
        <f>HR_Data[[#This Row],[Salary]]*HR_Data[[#This Row],[Bonus %]]</f>
        <v>22384.800000000003</v>
      </c>
      <c r="S679">
        <f>HR_Data[[#This Row],[Salary]]+HR_Data[[#This Row],[Bonus Amount]]</f>
        <v>134308.79999999999</v>
      </c>
      <c r="T679" t="str">
        <f>IF(HR_Data[[#This Row],[Attrition]]="Yes","Inactive","Active")</f>
        <v>Active</v>
      </c>
      <c r="U679" t="str">
        <f t="array" ref="U679">_xlfn.IFS(HR_Data[[#This Row],[Salary]]&gt;=100000,"A",HR_Data[[#This Row],[Salary]]&gt;=70000,"B",HR_Data[[#This Row],[Salary]]&gt;=50000,"C",TRUE(),"D")</f>
        <v>A</v>
      </c>
      <c r="V679" t="str">
        <f t="array" ref="V679">_xlfn.IFS(HR_Data[[#This Row],[Experience]]&gt;=15,"Expert",HR_Data[[#This Row],[Experience]]&gt;=8,"Senior",HR_Data[[#This Row],[Experience]]&gt;=3,"Mid-Level",TRUE(),"Junior")</f>
        <v>Expert</v>
      </c>
    </row>
    <row r="680" spans="1:22" ht="14.25" customHeight="1" x14ac:dyDescent="0.3">
      <c r="A680" t="s">
        <v>1553</v>
      </c>
      <c r="B680" t="s">
        <v>1010</v>
      </c>
      <c r="C680" t="s">
        <v>93</v>
      </c>
      <c r="D680" t="s">
        <v>25</v>
      </c>
      <c r="E680">
        <v>51</v>
      </c>
      <c r="F680">
        <v>123555</v>
      </c>
      <c r="G680">
        <v>31</v>
      </c>
      <c r="H680" t="s">
        <v>1554</v>
      </c>
      <c r="I680" t="s">
        <v>132</v>
      </c>
      <c r="J680" t="s">
        <v>28</v>
      </c>
      <c r="K680" t="s">
        <v>29</v>
      </c>
      <c r="L680" t="str">
        <f t="array" ref="L680">_xlfn.IFS(HR_Data[[#This Row],[Experience]]&lt;2,"0-2 Years",HR_Data[[#This Row],[Experience]]&lt;5,"2-5 Years",HR_Data[[#This Row],[Experience]]&lt;10,"5-10 Years",TRUE(),"10+ Years")</f>
        <v>10+ Years</v>
      </c>
      <c r="M680" t="str">
        <f t="array" ref="M680">_xlfn.IFS(HR_Data[[#This Row],[Salary]]&lt;40000,"Low",HR_Data[[#This Row],[Salary]]&lt;70000,"Medium",HR_Data[[#This Row],[Salary]]&lt;100000,"High",TRUE(),"Very High")</f>
        <v>Very High</v>
      </c>
      <c r="N680" t="str">
        <f t="array" ref="N680">_xlfn.IFS(HR_Data[[#This Row],[Age]]&lt;25,"18-24",HR_Data[[#This Row],[Age]]&lt;35,"25-34",HR_Data[[#This Row],[Age]]&lt;45,"35-44",TRUE(),"45+")</f>
        <v>45+</v>
      </c>
      <c r="O680">
        <f>YEAR(HR_Data[[#This Row],[Joining Date]])</f>
        <v>2019</v>
      </c>
      <c r="P680" t="str">
        <f>TEXT(HR_Data[[#This Row],[Joining Date]],"mmmm")</f>
        <v>July</v>
      </c>
      <c r="Q680">
        <f t="array" ref="Q680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680">
        <f>HR_Data[[#This Row],[Salary]]*HR_Data[[#This Row],[Bonus %]]</f>
        <v>18533.25</v>
      </c>
      <c r="S680">
        <f>HR_Data[[#This Row],[Salary]]+HR_Data[[#This Row],[Bonus Amount]]</f>
        <v>142088.25</v>
      </c>
      <c r="T680" t="str">
        <f>IF(HR_Data[[#This Row],[Attrition]]="Yes","Inactive","Active")</f>
        <v>Active</v>
      </c>
      <c r="U680" t="str">
        <f t="array" ref="U680">_xlfn.IFS(HR_Data[[#This Row],[Salary]]&gt;=100000,"A",HR_Data[[#This Row],[Salary]]&gt;=70000,"B",HR_Data[[#This Row],[Salary]]&gt;=50000,"C",TRUE(),"D")</f>
        <v>A</v>
      </c>
      <c r="V680" t="str">
        <f t="array" ref="V680">_xlfn.IFS(HR_Data[[#This Row],[Experience]]&gt;=15,"Expert",HR_Data[[#This Row],[Experience]]&gt;=8,"Senior",HR_Data[[#This Row],[Experience]]&gt;=3,"Mid-Level",TRUE(),"Junior")</f>
        <v>Expert</v>
      </c>
    </row>
    <row r="681" spans="1:22" ht="14.25" customHeight="1" x14ac:dyDescent="0.3">
      <c r="A681" t="s">
        <v>1555</v>
      </c>
      <c r="B681" t="s">
        <v>111</v>
      </c>
      <c r="C681" t="s">
        <v>70</v>
      </c>
      <c r="D681" t="s">
        <v>25</v>
      </c>
      <c r="E681">
        <v>49</v>
      </c>
      <c r="F681">
        <v>123063</v>
      </c>
      <c r="G681">
        <v>27</v>
      </c>
      <c r="H681" t="s">
        <v>1556</v>
      </c>
      <c r="I681" t="s">
        <v>132</v>
      </c>
      <c r="J681" t="s">
        <v>90</v>
      </c>
      <c r="K681" t="s">
        <v>29</v>
      </c>
      <c r="L681" t="str">
        <f t="array" ref="L681">_xlfn.IFS(HR_Data[[#This Row],[Experience]]&lt;2,"0-2 Years",HR_Data[[#This Row],[Experience]]&lt;5,"2-5 Years",HR_Data[[#This Row],[Experience]]&lt;10,"5-10 Years",TRUE(),"10+ Years")</f>
        <v>10+ Years</v>
      </c>
      <c r="M681" t="str">
        <f t="array" ref="M681">_xlfn.IFS(HR_Data[[#This Row],[Salary]]&lt;40000,"Low",HR_Data[[#This Row],[Salary]]&lt;70000,"Medium",HR_Data[[#This Row],[Salary]]&lt;100000,"High",TRUE(),"Very High")</f>
        <v>Very High</v>
      </c>
      <c r="N681" t="str">
        <f t="array" ref="N681">_xlfn.IFS(HR_Data[[#This Row],[Age]]&lt;25,"18-24",HR_Data[[#This Row],[Age]]&lt;35,"25-34",HR_Data[[#This Row],[Age]]&lt;45,"35-44",TRUE(),"45+")</f>
        <v>45+</v>
      </c>
      <c r="O681">
        <f>YEAR(HR_Data[[#This Row],[Joining Date]])</f>
        <v>2019</v>
      </c>
      <c r="P681" t="str">
        <f>TEXT(HR_Data[[#This Row],[Joining Date]],"mmmm")</f>
        <v>November</v>
      </c>
      <c r="Q681">
        <f t="array" ref="Q681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681">
        <f>HR_Data[[#This Row],[Salary]]*HR_Data[[#This Row],[Bonus %]]</f>
        <v>0</v>
      </c>
      <c r="S681">
        <f>HR_Data[[#This Row],[Salary]]+HR_Data[[#This Row],[Bonus Amount]]</f>
        <v>123063</v>
      </c>
      <c r="T681" t="str">
        <f>IF(HR_Data[[#This Row],[Attrition]]="Yes","Inactive","Active")</f>
        <v>Active</v>
      </c>
      <c r="U681" t="str">
        <f t="array" ref="U681">_xlfn.IFS(HR_Data[[#This Row],[Salary]]&gt;=100000,"A",HR_Data[[#This Row],[Salary]]&gt;=70000,"B",HR_Data[[#This Row],[Salary]]&gt;=50000,"C",TRUE(),"D")</f>
        <v>A</v>
      </c>
      <c r="V681" t="str">
        <f t="array" ref="V681">_xlfn.IFS(HR_Data[[#This Row],[Experience]]&gt;=15,"Expert",HR_Data[[#This Row],[Experience]]&gt;=8,"Senior",HR_Data[[#This Row],[Experience]]&gt;=3,"Mid-Level",TRUE(),"Junior")</f>
        <v>Expert</v>
      </c>
    </row>
    <row r="682" spans="1:22" ht="14.25" customHeight="1" x14ac:dyDescent="0.3">
      <c r="A682" t="s">
        <v>1557</v>
      </c>
      <c r="B682" t="s">
        <v>310</v>
      </c>
      <c r="C682" t="s">
        <v>93</v>
      </c>
      <c r="D682" t="s">
        <v>33</v>
      </c>
      <c r="E682">
        <v>24</v>
      </c>
      <c r="F682">
        <v>28778</v>
      </c>
      <c r="G682">
        <v>1</v>
      </c>
      <c r="H682" t="s">
        <v>1558</v>
      </c>
      <c r="I682" t="s">
        <v>27</v>
      </c>
      <c r="J682" t="s">
        <v>36</v>
      </c>
      <c r="K682" t="s">
        <v>29</v>
      </c>
      <c r="L682" t="str">
        <f t="array" ref="L682">_xlfn.IFS(HR_Data[[#This Row],[Experience]]&lt;2,"0-2 Years",HR_Data[[#This Row],[Experience]]&lt;5,"2-5 Years",HR_Data[[#This Row],[Experience]]&lt;10,"5-10 Years",TRUE(),"10+ Years")</f>
        <v>0-2 Years</v>
      </c>
      <c r="M682" t="str">
        <f t="array" ref="M682">_xlfn.IFS(HR_Data[[#This Row],[Salary]]&lt;40000,"Low",HR_Data[[#This Row],[Salary]]&lt;70000,"Medium",HR_Data[[#This Row],[Salary]]&lt;100000,"High",TRUE(),"Very High")</f>
        <v>Low</v>
      </c>
      <c r="N682" t="str">
        <f t="array" ref="N682">_xlfn.IFS(HR_Data[[#This Row],[Age]]&lt;25,"18-24",HR_Data[[#This Row],[Age]]&lt;35,"25-34",HR_Data[[#This Row],[Age]]&lt;45,"35-44",TRUE(),"45+")</f>
        <v>18-24</v>
      </c>
      <c r="O682">
        <f>YEAR(HR_Data[[#This Row],[Joining Date]])</f>
        <v>2020</v>
      </c>
      <c r="P682" t="str">
        <f>TEXT(HR_Data[[#This Row],[Joining Date]],"mmmm")</f>
        <v>April</v>
      </c>
      <c r="Q682">
        <f t="array" ref="Q68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82">
        <f>HR_Data[[#This Row],[Salary]]*HR_Data[[#This Row],[Bonus %]]</f>
        <v>2877.8</v>
      </c>
      <c r="S682">
        <f>HR_Data[[#This Row],[Salary]]+HR_Data[[#This Row],[Bonus Amount]]</f>
        <v>31655.8</v>
      </c>
      <c r="T682" t="str">
        <f>IF(HR_Data[[#This Row],[Attrition]]="Yes","Inactive","Active")</f>
        <v>Active</v>
      </c>
      <c r="U682" t="str">
        <f t="array" ref="U682">_xlfn.IFS(HR_Data[[#This Row],[Salary]]&gt;=100000,"A",HR_Data[[#This Row],[Salary]]&gt;=70000,"B",HR_Data[[#This Row],[Salary]]&gt;=50000,"C",TRUE(),"D")</f>
        <v>D</v>
      </c>
      <c r="V682" t="str">
        <f t="array" ref="V682">_xlfn.IFS(HR_Data[[#This Row],[Experience]]&gt;=15,"Expert",HR_Data[[#This Row],[Experience]]&gt;=8,"Senior",HR_Data[[#This Row],[Experience]]&gt;=3,"Mid-Level",TRUE(),"Junior")</f>
        <v>Junior</v>
      </c>
    </row>
    <row r="683" spans="1:22" ht="14.25" customHeight="1" x14ac:dyDescent="0.3">
      <c r="A683" t="s">
        <v>1559</v>
      </c>
      <c r="B683" t="s">
        <v>161</v>
      </c>
      <c r="C683" t="s">
        <v>134</v>
      </c>
      <c r="D683" t="s">
        <v>33</v>
      </c>
      <c r="E683">
        <v>51</v>
      </c>
      <c r="F683">
        <v>123592</v>
      </c>
      <c r="G683">
        <v>30</v>
      </c>
      <c r="H683" t="s">
        <v>1560</v>
      </c>
      <c r="I683" t="s">
        <v>42</v>
      </c>
      <c r="J683" t="s">
        <v>36</v>
      </c>
      <c r="K683" t="s">
        <v>29</v>
      </c>
      <c r="L683" t="str">
        <f t="array" ref="L683">_xlfn.IFS(HR_Data[[#This Row],[Experience]]&lt;2,"0-2 Years",HR_Data[[#This Row],[Experience]]&lt;5,"2-5 Years",HR_Data[[#This Row],[Experience]]&lt;10,"5-10 Years",TRUE(),"10+ Years")</f>
        <v>10+ Years</v>
      </c>
      <c r="M683" t="str">
        <f t="array" ref="M683">_xlfn.IFS(HR_Data[[#This Row],[Salary]]&lt;40000,"Low",HR_Data[[#This Row],[Salary]]&lt;70000,"Medium",HR_Data[[#This Row],[Salary]]&lt;100000,"High",TRUE(),"Very High")</f>
        <v>Very High</v>
      </c>
      <c r="N683" t="str">
        <f t="array" ref="N683">_xlfn.IFS(HR_Data[[#This Row],[Age]]&lt;25,"18-24",HR_Data[[#This Row],[Age]]&lt;35,"25-34",HR_Data[[#This Row],[Age]]&lt;45,"35-44",TRUE(),"45+")</f>
        <v>45+</v>
      </c>
      <c r="O683">
        <f>YEAR(HR_Data[[#This Row],[Joining Date]])</f>
        <v>2023</v>
      </c>
      <c r="P683" t="str">
        <f>TEXT(HR_Data[[#This Row],[Joining Date]],"mmmm")</f>
        <v>December</v>
      </c>
      <c r="Q683">
        <f t="array" ref="Q683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83">
        <f>HR_Data[[#This Row],[Salary]]*HR_Data[[#This Row],[Bonus %]]</f>
        <v>12359.2</v>
      </c>
      <c r="S683">
        <f>HR_Data[[#This Row],[Salary]]+HR_Data[[#This Row],[Bonus Amount]]</f>
        <v>135951.20000000001</v>
      </c>
      <c r="T683" t="str">
        <f>IF(HR_Data[[#This Row],[Attrition]]="Yes","Inactive","Active")</f>
        <v>Active</v>
      </c>
      <c r="U683" t="str">
        <f t="array" ref="U683">_xlfn.IFS(HR_Data[[#This Row],[Salary]]&gt;=100000,"A",HR_Data[[#This Row],[Salary]]&gt;=70000,"B",HR_Data[[#This Row],[Salary]]&gt;=50000,"C",TRUE(),"D")</f>
        <v>A</v>
      </c>
      <c r="V683" t="str">
        <f t="array" ref="V683">_xlfn.IFS(HR_Data[[#This Row],[Experience]]&gt;=15,"Expert",HR_Data[[#This Row],[Experience]]&gt;=8,"Senior",HR_Data[[#This Row],[Experience]]&gt;=3,"Mid-Level",TRUE(),"Junior")</f>
        <v>Expert</v>
      </c>
    </row>
    <row r="684" spans="1:22" ht="14.25" customHeight="1" x14ac:dyDescent="0.3">
      <c r="A684" t="s">
        <v>1561</v>
      </c>
      <c r="B684" t="s">
        <v>310</v>
      </c>
      <c r="C684" t="s">
        <v>24</v>
      </c>
      <c r="D684" t="s">
        <v>33</v>
      </c>
      <c r="E684">
        <v>54</v>
      </c>
      <c r="F684">
        <v>130707</v>
      </c>
      <c r="G684">
        <v>35</v>
      </c>
      <c r="H684" t="s">
        <v>1562</v>
      </c>
      <c r="I684" t="s">
        <v>27</v>
      </c>
      <c r="J684" t="s">
        <v>90</v>
      </c>
      <c r="K684" t="s">
        <v>29</v>
      </c>
      <c r="L684" t="str">
        <f t="array" ref="L684">_xlfn.IFS(HR_Data[[#This Row],[Experience]]&lt;2,"0-2 Years",HR_Data[[#This Row],[Experience]]&lt;5,"2-5 Years",HR_Data[[#This Row],[Experience]]&lt;10,"5-10 Years",TRUE(),"10+ Years")</f>
        <v>10+ Years</v>
      </c>
      <c r="M684" t="str">
        <f t="array" ref="M684">_xlfn.IFS(HR_Data[[#This Row],[Salary]]&lt;40000,"Low",HR_Data[[#This Row],[Salary]]&lt;70000,"Medium",HR_Data[[#This Row],[Salary]]&lt;100000,"High",TRUE(),"Very High")</f>
        <v>Very High</v>
      </c>
      <c r="N684" t="str">
        <f t="array" ref="N684">_xlfn.IFS(HR_Data[[#This Row],[Age]]&lt;25,"18-24",HR_Data[[#This Row],[Age]]&lt;35,"25-34",HR_Data[[#This Row],[Age]]&lt;45,"35-44",TRUE(),"45+")</f>
        <v>45+</v>
      </c>
      <c r="O684">
        <f>YEAR(HR_Data[[#This Row],[Joining Date]])</f>
        <v>2022</v>
      </c>
      <c r="P684" t="str">
        <f>TEXT(HR_Data[[#This Row],[Joining Date]],"mmmm")</f>
        <v>June</v>
      </c>
      <c r="Q684">
        <f t="array" ref="Q684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684">
        <f>HR_Data[[#This Row],[Salary]]*HR_Data[[#This Row],[Bonus %]]</f>
        <v>0</v>
      </c>
      <c r="S684">
        <f>HR_Data[[#This Row],[Salary]]+HR_Data[[#This Row],[Bonus Amount]]</f>
        <v>130707</v>
      </c>
      <c r="T684" t="str">
        <f>IF(HR_Data[[#This Row],[Attrition]]="Yes","Inactive","Active")</f>
        <v>Active</v>
      </c>
      <c r="U684" t="str">
        <f t="array" ref="U684">_xlfn.IFS(HR_Data[[#This Row],[Salary]]&gt;=100000,"A",HR_Data[[#This Row],[Salary]]&gt;=70000,"B",HR_Data[[#This Row],[Salary]]&gt;=50000,"C",TRUE(),"D")</f>
        <v>A</v>
      </c>
      <c r="V684" t="str">
        <f t="array" ref="V684">_xlfn.IFS(HR_Data[[#This Row],[Experience]]&gt;=15,"Expert",HR_Data[[#This Row],[Experience]]&gt;=8,"Senior",HR_Data[[#This Row],[Experience]]&gt;=3,"Mid-Level",TRUE(),"Junior")</f>
        <v>Expert</v>
      </c>
    </row>
    <row r="685" spans="1:22" ht="14.25" customHeight="1" x14ac:dyDescent="0.3">
      <c r="A685" t="s">
        <v>1563</v>
      </c>
      <c r="B685" t="s">
        <v>143</v>
      </c>
      <c r="C685" t="s">
        <v>112</v>
      </c>
      <c r="D685" t="s">
        <v>33</v>
      </c>
      <c r="E685">
        <v>43</v>
      </c>
      <c r="F685">
        <v>80682</v>
      </c>
      <c r="G685">
        <v>16</v>
      </c>
      <c r="H685" t="s">
        <v>1564</v>
      </c>
      <c r="I685" t="s">
        <v>80</v>
      </c>
      <c r="J685" t="s">
        <v>90</v>
      </c>
      <c r="K685" t="s">
        <v>29</v>
      </c>
      <c r="L685" t="str">
        <f t="array" ref="L685">_xlfn.IFS(HR_Data[[#This Row],[Experience]]&lt;2,"0-2 Years",HR_Data[[#This Row],[Experience]]&lt;5,"2-5 Years",HR_Data[[#This Row],[Experience]]&lt;10,"5-10 Years",TRUE(),"10+ Years")</f>
        <v>10+ Years</v>
      </c>
      <c r="M685" t="str">
        <f t="array" ref="M685">_xlfn.IFS(HR_Data[[#This Row],[Salary]]&lt;40000,"Low",HR_Data[[#This Row],[Salary]]&lt;70000,"Medium",HR_Data[[#This Row],[Salary]]&lt;100000,"High",TRUE(),"Very High")</f>
        <v>High</v>
      </c>
      <c r="N685" t="str">
        <f t="array" ref="N685">_xlfn.IFS(HR_Data[[#This Row],[Age]]&lt;25,"18-24",HR_Data[[#This Row],[Age]]&lt;35,"25-34",HR_Data[[#This Row],[Age]]&lt;45,"35-44",TRUE(),"45+")</f>
        <v>35-44</v>
      </c>
      <c r="O685">
        <f>YEAR(HR_Data[[#This Row],[Joining Date]])</f>
        <v>2021</v>
      </c>
      <c r="P685" t="str">
        <f>TEXT(HR_Data[[#This Row],[Joining Date]],"mmmm")</f>
        <v>October</v>
      </c>
      <c r="Q685">
        <f t="array" ref="Q685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685">
        <f>HR_Data[[#This Row],[Salary]]*HR_Data[[#This Row],[Bonus %]]</f>
        <v>0</v>
      </c>
      <c r="S685">
        <f>HR_Data[[#This Row],[Salary]]+HR_Data[[#This Row],[Bonus Amount]]</f>
        <v>80682</v>
      </c>
      <c r="T685" t="str">
        <f>IF(HR_Data[[#This Row],[Attrition]]="Yes","Inactive","Active")</f>
        <v>Active</v>
      </c>
      <c r="U685" t="str">
        <f t="array" ref="U685">_xlfn.IFS(HR_Data[[#This Row],[Salary]]&gt;=100000,"A",HR_Data[[#This Row],[Salary]]&gt;=70000,"B",HR_Data[[#This Row],[Salary]]&gt;=50000,"C",TRUE(),"D")</f>
        <v>B</v>
      </c>
      <c r="V685" t="str">
        <f t="array" ref="V685">_xlfn.IFS(HR_Data[[#This Row],[Experience]]&gt;=15,"Expert",HR_Data[[#This Row],[Experience]]&gt;=8,"Senior",HR_Data[[#This Row],[Experience]]&gt;=3,"Mid-Level",TRUE(),"Junior")</f>
        <v>Expert</v>
      </c>
    </row>
    <row r="686" spans="1:22" ht="14.25" customHeight="1" x14ac:dyDescent="0.3">
      <c r="A686" t="s">
        <v>1565</v>
      </c>
      <c r="B686" t="s">
        <v>953</v>
      </c>
      <c r="C686" t="s">
        <v>32</v>
      </c>
      <c r="D686" t="s">
        <v>33</v>
      </c>
      <c r="E686">
        <v>37</v>
      </c>
      <c r="F686">
        <v>65149</v>
      </c>
      <c r="G686">
        <v>10</v>
      </c>
      <c r="H686" t="s">
        <v>1566</v>
      </c>
      <c r="I686" t="s">
        <v>80</v>
      </c>
      <c r="J686" t="s">
        <v>46</v>
      </c>
      <c r="K686" t="s">
        <v>29</v>
      </c>
      <c r="L686" t="str">
        <f t="array" ref="L686">_xlfn.IFS(HR_Data[[#This Row],[Experience]]&lt;2,"0-2 Years",HR_Data[[#This Row],[Experience]]&lt;5,"2-5 Years",HR_Data[[#This Row],[Experience]]&lt;10,"5-10 Years",TRUE(),"10+ Years")</f>
        <v>10+ Years</v>
      </c>
      <c r="M686" t="str">
        <f t="array" ref="M686">_xlfn.IFS(HR_Data[[#This Row],[Salary]]&lt;40000,"Low",HR_Data[[#This Row],[Salary]]&lt;70000,"Medium",HR_Data[[#This Row],[Salary]]&lt;100000,"High",TRUE(),"Very High")</f>
        <v>Medium</v>
      </c>
      <c r="N686" t="str">
        <f t="array" ref="N686">_xlfn.IFS(HR_Data[[#This Row],[Age]]&lt;25,"18-24",HR_Data[[#This Row],[Age]]&lt;35,"25-34",HR_Data[[#This Row],[Age]]&lt;45,"35-44",TRUE(),"45+")</f>
        <v>35-44</v>
      </c>
      <c r="O686">
        <f>YEAR(HR_Data[[#This Row],[Joining Date]])</f>
        <v>2022</v>
      </c>
      <c r="P686" t="str">
        <f>TEXT(HR_Data[[#This Row],[Joining Date]],"mmmm")</f>
        <v>August</v>
      </c>
      <c r="Q686">
        <f t="array" ref="Q686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686">
        <f>HR_Data[[#This Row],[Salary]]*HR_Data[[#This Row],[Bonus %]]</f>
        <v>3257.4500000000003</v>
      </c>
      <c r="S686">
        <f>HR_Data[[#This Row],[Salary]]+HR_Data[[#This Row],[Bonus Amount]]</f>
        <v>68406.45</v>
      </c>
      <c r="T686" t="str">
        <f>IF(HR_Data[[#This Row],[Attrition]]="Yes","Inactive","Active")</f>
        <v>Active</v>
      </c>
      <c r="U686" t="str">
        <f t="array" ref="U686">_xlfn.IFS(HR_Data[[#This Row],[Salary]]&gt;=100000,"A",HR_Data[[#This Row],[Salary]]&gt;=70000,"B",HR_Data[[#This Row],[Salary]]&gt;=50000,"C",TRUE(),"D")</f>
        <v>C</v>
      </c>
      <c r="V686" t="str">
        <f t="array" ref="V686">_xlfn.IFS(HR_Data[[#This Row],[Experience]]&gt;=15,"Expert",HR_Data[[#This Row],[Experience]]&gt;=8,"Senior",HR_Data[[#This Row],[Experience]]&gt;=3,"Mid-Level",TRUE(),"Junior")</f>
        <v>Senior</v>
      </c>
    </row>
    <row r="687" spans="1:22" ht="14.25" customHeight="1" x14ac:dyDescent="0.3">
      <c r="A687" t="s">
        <v>1567</v>
      </c>
      <c r="B687" t="s">
        <v>618</v>
      </c>
      <c r="C687" t="s">
        <v>32</v>
      </c>
      <c r="D687" t="s">
        <v>25</v>
      </c>
      <c r="E687">
        <v>31</v>
      </c>
      <c r="F687">
        <v>40847</v>
      </c>
      <c r="G687">
        <v>7</v>
      </c>
      <c r="H687" t="s">
        <v>1568</v>
      </c>
      <c r="I687" t="s">
        <v>80</v>
      </c>
      <c r="J687" t="s">
        <v>36</v>
      </c>
      <c r="K687" t="s">
        <v>29</v>
      </c>
      <c r="L687" t="str">
        <f t="array" ref="L687">_xlfn.IFS(HR_Data[[#This Row],[Experience]]&lt;2,"0-2 Years",HR_Data[[#This Row],[Experience]]&lt;5,"2-5 Years",HR_Data[[#This Row],[Experience]]&lt;10,"5-10 Years",TRUE(),"10+ Years")</f>
        <v>5-10 Years</v>
      </c>
      <c r="M687" t="str">
        <f t="array" ref="M687">_xlfn.IFS(HR_Data[[#This Row],[Salary]]&lt;40000,"Low",HR_Data[[#This Row],[Salary]]&lt;70000,"Medium",HR_Data[[#This Row],[Salary]]&lt;100000,"High",TRUE(),"Very High")</f>
        <v>Medium</v>
      </c>
      <c r="N687" t="str">
        <f t="array" ref="N687">_xlfn.IFS(HR_Data[[#This Row],[Age]]&lt;25,"18-24",HR_Data[[#This Row],[Age]]&lt;35,"25-34",HR_Data[[#This Row],[Age]]&lt;45,"35-44",TRUE(),"45+")</f>
        <v>25-34</v>
      </c>
      <c r="O687">
        <f>YEAR(HR_Data[[#This Row],[Joining Date]])</f>
        <v>2017</v>
      </c>
      <c r="P687" t="str">
        <f>TEXT(HR_Data[[#This Row],[Joining Date]],"mmmm")</f>
        <v>November</v>
      </c>
      <c r="Q687">
        <f t="array" ref="Q687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87">
        <f>HR_Data[[#This Row],[Salary]]*HR_Data[[#This Row],[Bonus %]]</f>
        <v>4084.7000000000003</v>
      </c>
      <c r="S687">
        <f>HR_Data[[#This Row],[Salary]]+HR_Data[[#This Row],[Bonus Amount]]</f>
        <v>44931.7</v>
      </c>
      <c r="T687" t="str">
        <f>IF(HR_Data[[#This Row],[Attrition]]="Yes","Inactive","Active")</f>
        <v>Active</v>
      </c>
      <c r="U687" t="str">
        <f t="array" ref="U687">_xlfn.IFS(HR_Data[[#This Row],[Salary]]&gt;=100000,"A",HR_Data[[#This Row],[Salary]]&gt;=70000,"B",HR_Data[[#This Row],[Salary]]&gt;=50000,"C",TRUE(),"D")</f>
        <v>D</v>
      </c>
      <c r="V687" t="str">
        <f t="array" ref="V687">_xlfn.IFS(HR_Data[[#This Row],[Experience]]&gt;=15,"Expert",HR_Data[[#This Row],[Experience]]&gt;=8,"Senior",HR_Data[[#This Row],[Experience]]&gt;=3,"Mid-Level",TRUE(),"Junior")</f>
        <v>Mid-Level</v>
      </c>
    </row>
    <row r="688" spans="1:22" ht="14.25" customHeight="1" x14ac:dyDescent="0.3">
      <c r="A688" t="s">
        <v>1569</v>
      </c>
      <c r="B688" t="s">
        <v>436</v>
      </c>
      <c r="C688" t="s">
        <v>75</v>
      </c>
      <c r="D688" t="s">
        <v>25</v>
      </c>
      <c r="E688">
        <v>43</v>
      </c>
      <c r="F688">
        <v>78456</v>
      </c>
      <c r="G688">
        <v>16</v>
      </c>
      <c r="H688" t="s">
        <v>1570</v>
      </c>
      <c r="I688" t="s">
        <v>27</v>
      </c>
      <c r="J688" t="s">
        <v>46</v>
      </c>
      <c r="K688" t="s">
        <v>29</v>
      </c>
      <c r="L688" t="str">
        <f t="array" ref="L688">_xlfn.IFS(HR_Data[[#This Row],[Experience]]&lt;2,"0-2 Years",HR_Data[[#This Row],[Experience]]&lt;5,"2-5 Years",HR_Data[[#This Row],[Experience]]&lt;10,"5-10 Years",TRUE(),"10+ Years")</f>
        <v>10+ Years</v>
      </c>
      <c r="M688" t="str">
        <f t="array" ref="M688">_xlfn.IFS(HR_Data[[#This Row],[Salary]]&lt;40000,"Low",HR_Data[[#This Row],[Salary]]&lt;70000,"Medium",HR_Data[[#This Row],[Salary]]&lt;100000,"High",TRUE(),"Very High")</f>
        <v>High</v>
      </c>
      <c r="N688" t="str">
        <f t="array" ref="N688">_xlfn.IFS(HR_Data[[#This Row],[Age]]&lt;25,"18-24",HR_Data[[#This Row],[Age]]&lt;35,"25-34",HR_Data[[#This Row],[Age]]&lt;45,"35-44",TRUE(),"45+")</f>
        <v>35-44</v>
      </c>
      <c r="O688">
        <f>YEAR(HR_Data[[#This Row],[Joining Date]])</f>
        <v>2024</v>
      </c>
      <c r="P688" t="str">
        <f>TEXT(HR_Data[[#This Row],[Joining Date]],"mmmm")</f>
        <v>October</v>
      </c>
      <c r="Q688">
        <f t="array" ref="Q688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688">
        <f>HR_Data[[#This Row],[Salary]]*HR_Data[[#This Row],[Bonus %]]</f>
        <v>3922.8</v>
      </c>
      <c r="S688">
        <f>HR_Data[[#This Row],[Salary]]+HR_Data[[#This Row],[Bonus Amount]]</f>
        <v>82378.8</v>
      </c>
      <c r="T688" t="str">
        <f>IF(HR_Data[[#This Row],[Attrition]]="Yes","Inactive","Active")</f>
        <v>Active</v>
      </c>
      <c r="U688" t="str">
        <f t="array" ref="U688">_xlfn.IFS(HR_Data[[#This Row],[Salary]]&gt;=100000,"A",HR_Data[[#This Row],[Salary]]&gt;=70000,"B",HR_Data[[#This Row],[Salary]]&gt;=50000,"C",TRUE(),"D")</f>
        <v>B</v>
      </c>
      <c r="V688" t="str">
        <f t="array" ref="V688">_xlfn.IFS(HR_Data[[#This Row],[Experience]]&gt;=15,"Expert",HR_Data[[#This Row],[Experience]]&gt;=8,"Senior",HR_Data[[#This Row],[Experience]]&gt;=3,"Mid-Level",TRUE(),"Junior")</f>
        <v>Expert</v>
      </c>
    </row>
    <row r="689" spans="1:22" ht="14.25" customHeight="1" x14ac:dyDescent="0.3">
      <c r="A689" t="s">
        <v>1571</v>
      </c>
      <c r="B689" t="s">
        <v>398</v>
      </c>
      <c r="C689" t="s">
        <v>32</v>
      </c>
      <c r="D689" t="s">
        <v>33</v>
      </c>
      <c r="E689">
        <v>33</v>
      </c>
      <c r="F689">
        <v>57188</v>
      </c>
      <c r="G689">
        <v>12</v>
      </c>
      <c r="H689" t="s">
        <v>1572</v>
      </c>
      <c r="I689" t="s">
        <v>35</v>
      </c>
      <c r="J689" t="s">
        <v>28</v>
      </c>
      <c r="K689" t="s">
        <v>29</v>
      </c>
      <c r="L689" t="str">
        <f t="array" ref="L689">_xlfn.IFS(HR_Data[[#This Row],[Experience]]&lt;2,"0-2 Years",HR_Data[[#This Row],[Experience]]&lt;5,"2-5 Years",HR_Data[[#This Row],[Experience]]&lt;10,"5-10 Years",TRUE(),"10+ Years")</f>
        <v>10+ Years</v>
      </c>
      <c r="M689" t="str">
        <f t="array" ref="M689">_xlfn.IFS(HR_Data[[#This Row],[Salary]]&lt;40000,"Low",HR_Data[[#This Row],[Salary]]&lt;70000,"Medium",HR_Data[[#This Row],[Salary]]&lt;100000,"High",TRUE(),"Very High")</f>
        <v>Medium</v>
      </c>
      <c r="N689" t="str">
        <f t="array" ref="N689">_xlfn.IFS(HR_Data[[#This Row],[Age]]&lt;25,"18-24",HR_Data[[#This Row],[Age]]&lt;35,"25-34",HR_Data[[#This Row],[Age]]&lt;45,"35-44",TRUE(),"45+")</f>
        <v>25-34</v>
      </c>
      <c r="O689">
        <f>YEAR(HR_Data[[#This Row],[Joining Date]])</f>
        <v>2020</v>
      </c>
      <c r="P689" t="str">
        <f>TEXT(HR_Data[[#This Row],[Joining Date]],"mmmm")</f>
        <v>February</v>
      </c>
      <c r="Q689">
        <f t="array" ref="Q68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689">
        <f>HR_Data[[#This Row],[Salary]]*HR_Data[[#This Row],[Bonus %]]</f>
        <v>8578.1999999999989</v>
      </c>
      <c r="S689">
        <f>HR_Data[[#This Row],[Salary]]+HR_Data[[#This Row],[Bonus Amount]]</f>
        <v>65766.2</v>
      </c>
      <c r="T689" t="str">
        <f>IF(HR_Data[[#This Row],[Attrition]]="Yes","Inactive","Active")</f>
        <v>Active</v>
      </c>
      <c r="U689" t="str">
        <f t="array" ref="U689">_xlfn.IFS(HR_Data[[#This Row],[Salary]]&gt;=100000,"A",HR_Data[[#This Row],[Salary]]&gt;=70000,"B",HR_Data[[#This Row],[Salary]]&gt;=50000,"C",TRUE(),"D")</f>
        <v>C</v>
      </c>
      <c r="V689" t="str">
        <f t="array" ref="V689">_xlfn.IFS(HR_Data[[#This Row],[Experience]]&gt;=15,"Expert",HR_Data[[#This Row],[Experience]]&gt;=8,"Senior",HR_Data[[#This Row],[Experience]]&gt;=3,"Mid-Level",TRUE(),"Junior")</f>
        <v>Senior</v>
      </c>
    </row>
    <row r="690" spans="1:22" ht="14.25" customHeight="1" x14ac:dyDescent="0.3">
      <c r="A690" t="s">
        <v>1573</v>
      </c>
      <c r="B690" t="s">
        <v>257</v>
      </c>
      <c r="C690" t="s">
        <v>55</v>
      </c>
      <c r="D690" t="s">
        <v>33</v>
      </c>
      <c r="E690">
        <v>28</v>
      </c>
      <c r="F690">
        <v>35082</v>
      </c>
      <c r="G690">
        <v>2</v>
      </c>
      <c r="H690" t="s">
        <v>1574</v>
      </c>
      <c r="I690" t="s">
        <v>57</v>
      </c>
      <c r="J690" t="s">
        <v>36</v>
      </c>
      <c r="K690" t="s">
        <v>37</v>
      </c>
      <c r="L690" t="str">
        <f t="array" ref="L690">_xlfn.IFS(HR_Data[[#This Row],[Experience]]&lt;2,"0-2 Years",HR_Data[[#This Row],[Experience]]&lt;5,"2-5 Years",HR_Data[[#This Row],[Experience]]&lt;10,"5-10 Years",TRUE(),"10+ Years")</f>
        <v>2-5 Years</v>
      </c>
      <c r="M690" t="str">
        <f t="array" ref="M690">_xlfn.IFS(HR_Data[[#This Row],[Salary]]&lt;40000,"Low",HR_Data[[#This Row],[Salary]]&lt;70000,"Medium",HR_Data[[#This Row],[Salary]]&lt;100000,"High",TRUE(),"Very High")</f>
        <v>Low</v>
      </c>
      <c r="N690" t="str">
        <f t="array" ref="N690">_xlfn.IFS(HR_Data[[#This Row],[Age]]&lt;25,"18-24",HR_Data[[#This Row],[Age]]&lt;35,"25-34",HR_Data[[#This Row],[Age]]&lt;45,"35-44",TRUE(),"45+")</f>
        <v>25-34</v>
      </c>
      <c r="O690">
        <f>YEAR(HR_Data[[#This Row],[Joining Date]])</f>
        <v>2025</v>
      </c>
      <c r="P690" t="str">
        <f>TEXT(HR_Data[[#This Row],[Joining Date]],"mmmm")</f>
        <v>November</v>
      </c>
      <c r="Q690">
        <f t="array" ref="Q69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90">
        <f>HR_Data[[#This Row],[Salary]]*HR_Data[[#This Row],[Bonus %]]</f>
        <v>3508.2000000000003</v>
      </c>
      <c r="S690">
        <f>HR_Data[[#This Row],[Salary]]+HR_Data[[#This Row],[Bonus Amount]]</f>
        <v>38590.199999999997</v>
      </c>
      <c r="T690" t="str">
        <f>IF(HR_Data[[#This Row],[Attrition]]="Yes","Inactive","Active")</f>
        <v>Inactive</v>
      </c>
      <c r="U690" t="str">
        <f t="array" ref="U690">_xlfn.IFS(HR_Data[[#This Row],[Salary]]&gt;=100000,"A",HR_Data[[#This Row],[Salary]]&gt;=70000,"B",HR_Data[[#This Row],[Salary]]&gt;=50000,"C",TRUE(),"D")</f>
        <v>D</v>
      </c>
      <c r="V690" t="str">
        <f t="array" ref="V690">_xlfn.IFS(HR_Data[[#This Row],[Experience]]&gt;=15,"Expert",HR_Data[[#This Row],[Experience]]&gt;=8,"Senior",HR_Data[[#This Row],[Experience]]&gt;=3,"Mid-Level",TRUE(),"Junior")</f>
        <v>Junior</v>
      </c>
    </row>
    <row r="691" spans="1:22" ht="14.25" customHeight="1" x14ac:dyDescent="0.3">
      <c r="A691" t="s">
        <v>1575</v>
      </c>
      <c r="B691" t="s">
        <v>210</v>
      </c>
      <c r="C691" t="s">
        <v>24</v>
      </c>
      <c r="D691" t="s">
        <v>33</v>
      </c>
      <c r="E691">
        <v>39</v>
      </c>
      <c r="F691">
        <v>80114</v>
      </c>
      <c r="G691">
        <v>18</v>
      </c>
      <c r="H691" t="s">
        <v>1576</v>
      </c>
      <c r="I691" t="s">
        <v>45</v>
      </c>
      <c r="J691" t="s">
        <v>46</v>
      </c>
      <c r="K691" t="s">
        <v>29</v>
      </c>
      <c r="L691" t="str">
        <f t="array" ref="L691">_xlfn.IFS(HR_Data[[#This Row],[Experience]]&lt;2,"0-2 Years",HR_Data[[#This Row],[Experience]]&lt;5,"2-5 Years",HR_Data[[#This Row],[Experience]]&lt;10,"5-10 Years",TRUE(),"10+ Years")</f>
        <v>10+ Years</v>
      </c>
      <c r="M691" t="str">
        <f t="array" ref="M691">_xlfn.IFS(HR_Data[[#This Row],[Salary]]&lt;40000,"Low",HR_Data[[#This Row],[Salary]]&lt;70000,"Medium",HR_Data[[#This Row],[Salary]]&lt;100000,"High",TRUE(),"Very High")</f>
        <v>High</v>
      </c>
      <c r="N691" t="str">
        <f t="array" ref="N691">_xlfn.IFS(HR_Data[[#This Row],[Age]]&lt;25,"18-24",HR_Data[[#This Row],[Age]]&lt;35,"25-34",HR_Data[[#This Row],[Age]]&lt;45,"35-44",TRUE(),"45+")</f>
        <v>35-44</v>
      </c>
      <c r="O691">
        <f>YEAR(HR_Data[[#This Row],[Joining Date]])</f>
        <v>2026</v>
      </c>
      <c r="P691" t="str">
        <f>TEXT(HR_Data[[#This Row],[Joining Date]],"mmmm")</f>
        <v>May</v>
      </c>
      <c r="Q691">
        <f t="array" ref="Q691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691">
        <f>HR_Data[[#This Row],[Salary]]*HR_Data[[#This Row],[Bonus %]]</f>
        <v>4005.7000000000003</v>
      </c>
      <c r="S691">
        <f>HR_Data[[#This Row],[Salary]]+HR_Data[[#This Row],[Bonus Amount]]</f>
        <v>84119.7</v>
      </c>
      <c r="T691" t="str">
        <f>IF(HR_Data[[#This Row],[Attrition]]="Yes","Inactive","Active")</f>
        <v>Active</v>
      </c>
      <c r="U691" t="str">
        <f t="array" ref="U691">_xlfn.IFS(HR_Data[[#This Row],[Salary]]&gt;=100000,"A",HR_Data[[#This Row],[Salary]]&gt;=70000,"B",HR_Data[[#This Row],[Salary]]&gt;=50000,"C",TRUE(),"D")</f>
        <v>B</v>
      </c>
      <c r="V691" t="str">
        <f t="array" ref="V691">_xlfn.IFS(HR_Data[[#This Row],[Experience]]&gt;=15,"Expert",HR_Data[[#This Row],[Experience]]&gt;=8,"Senior",HR_Data[[#This Row],[Experience]]&gt;=3,"Mid-Level",TRUE(),"Junior")</f>
        <v>Expert</v>
      </c>
    </row>
    <row r="692" spans="1:22" ht="14.25" customHeight="1" x14ac:dyDescent="0.3">
      <c r="A692" t="s">
        <v>1577</v>
      </c>
      <c r="B692" t="s">
        <v>158</v>
      </c>
      <c r="C692" t="s">
        <v>134</v>
      </c>
      <c r="D692" t="s">
        <v>33</v>
      </c>
      <c r="E692">
        <v>36</v>
      </c>
      <c r="F692">
        <v>54717</v>
      </c>
      <c r="G692">
        <v>11</v>
      </c>
      <c r="H692" t="s">
        <v>1578</v>
      </c>
      <c r="I692" t="s">
        <v>62</v>
      </c>
      <c r="J692" t="s">
        <v>46</v>
      </c>
      <c r="K692" t="s">
        <v>29</v>
      </c>
      <c r="L692" t="str">
        <f t="array" ref="L692">_xlfn.IFS(HR_Data[[#This Row],[Experience]]&lt;2,"0-2 Years",HR_Data[[#This Row],[Experience]]&lt;5,"2-5 Years",HR_Data[[#This Row],[Experience]]&lt;10,"5-10 Years",TRUE(),"10+ Years")</f>
        <v>10+ Years</v>
      </c>
      <c r="M692" t="str">
        <f t="array" ref="M692">_xlfn.IFS(HR_Data[[#This Row],[Salary]]&lt;40000,"Low",HR_Data[[#This Row],[Salary]]&lt;70000,"Medium",HR_Data[[#This Row],[Salary]]&lt;100000,"High",TRUE(),"Very High")</f>
        <v>Medium</v>
      </c>
      <c r="N692" t="str">
        <f t="array" ref="N692">_xlfn.IFS(HR_Data[[#This Row],[Age]]&lt;25,"18-24",HR_Data[[#This Row],[Age]]&lt;35,"25-34",HR_Data[[#This Row],[Age]]&lt;45,"35-44",TRUE(),"45+")</f>
        <v>35-44</v>
      </c>
      <c r="O692">
        <f>YEAR(HR_Data[[#This Row],[Joining Date]])</f>
        <v>2020</v>
      </c>
      <c r="P692" t="str">
        <f>TEXT(HR_Data[[#This Row],[Joining Date]],"mmmm")</f>
        <v>July</v>
      </c>
      <c r="Q692">
        <f t="array" ref="Q692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692">
        <f>HR_Data[[#This Row],[Salary]]*HR_Data[[#This Row],[Bonus %]]</f>
        <v>2735.8500000000004</v>
      </c>
      <c r="S692">
        <f>HR_Data[[#This Row],[Salary]]+HR_Data[[#This Row],[Bonus Amount]]</f>
        <v>57452.85</v>
      </c>
      <c r="T692" t="str">
        <f>IF(HR_Data[[#This Row],[Attrition]]="Yes","Inactive","Active")</f>
        <v>Active</v>
      </c>
      <c r="U692" t="str">
        <f t="array" ref="U692">_xlfn.IFS(HR_Data[[#This Row],[Salary]]&gt;=100000,"A",HR_Data[[#This Row],[Salary]]&gt;=70000,"B",HR_Data[[#This Row],[Salary]]&gt;=50000,"C",TRUE(),"D")</f>
        <v>C</v>
      </c>
      <c r="V692" t="str">
        <f t="array" ref="V692">_xlfn.IFS(HR_Data[[#This Row],[Experience]]&gt;=15,"Expert",HR_Data[[#This Row],[Experience]]&gt;=8,"Senior",HR_Data[[#This Row],[Experience]]&gt;=3,"Mid-Level",TRUE(),"Junior")</f>
        <v>Senior</v>
      </c>
    </row>
    <row r="693" spans="1:22" ht="14.25" customHeight="1" x14ac:dyDescent="0.3">
      <c r="A693" t="s">
        <v>1579</v>
      </c>
      <c r="B693" t="s">
        <v>185</v>
      </c>
      <c r="C693" t="s">
        <v>134</v>
      </c>
      <c r="D693" t="s">
        <v>33</v>
      </c>
      <c r="E693">
        <v>51</v>
      </c>
      <c r="F693">
        <v>94075</v>
      </c>
      <c r="G693">
        <v>23</v>
      </c>
      <c r="H693" t="s">
        <v>1580</v>
      </c>
      <c r="I693" t="s">
        <v>67</v>
      </c>
      <c r="J693" t="s">
        <v>28</v>
      </c>
      <c r="K693" t="s">
        <v>37</v>
      </c>
      <c r="L693" t="str">
        <f t="array" ref="L693">_xlfn.IFS(HR_Data[[#This Row],[Experience]]&lt;2,"0-2 Years",HR_Data[[#This Row],[Experience]]&lt;5,"2-5 Years",HR_Data[[#This Row],[Experience]]&lt;10,"5-10 Years",TRUE(),"10+ Years")</f>
        <v>10+ Years</v>
      </c>
      <c r="M693" t="str">
        <f t="array" ref="M693">_xlfn.IFS(HR_Data[[#This Row],[Salary]]&lt;40000,"Low",HR_Data[[#This Row],[Salary]]&lt;70000,"Medium",HR_Data[[#This Row],[Salary]]&lt;100000,"High",TRUE(),"Very High")</f>
        <v>High</v>
      </c>
      <c r="N693" t="str">
        <f t="array" ref="N693">_xlfn.IFS(HR_Data[[#This Row],[Age]]&lt;25,"18-24",HR_Data[[#This Row],[Age]]&lt;35,"25-34",HR_Data[[#This Row],[Age]]&lt;45,"35-44",TRUE(),"45+")</f>
        <v>45+</v>
      </c>
      <c r="O693">
        <f>YEAR(HR_Data[[#This Row],[Joining Date]])</f>
        <v>2022</v>
      </c>
      <c r="P693" t="str">
        <f>TEXT(HR_Data[[#This Row],[Joining Date]],"mmmm")</f>
        <v>April</v>
      </c>
      <c r="Q693">
        <f t="array" ref="Q69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693">
        <f>HR_Data[[#This Row],[Salary]]*HR_Data[[#This Row],[Bonus %]]</f>
        <v>14111.25</v>
      </c>
      <c r="S693">
        <f>HR_Data[[#This Row],[Salary]]+HR_Data[[#This Row],[Bonus Amount]]</f>
        <v>108186.25</v>
      </c>
      <c r="T693" t="str">
        <f>IF(HR_Data[[#This Row],[Attrition]]="Yes","Inactive","Active")</f>
        <v>Inactive</v>
      </c>
      <c r="U693" t="str">
        <f t="array" ref="U693">_xlfn.IFS(HR_Data[[#This Row],[Salary]]&gt;=100000,"A",HR_Data[[#This Row],[Salary]]&gt;=70000,"B",HR_Data[[#This Row],[Salary]]&gt;=50000,"C",TRUE(),"D")</f>
        <v>B</v>
      </c>
      <c r="V693" t="str">
        <f t="array" ref="V693">_xlfn.IFS(HR_Data[[#This Row],[Experience]]&gt;=15,"Expert",HR_Data[[#This Row],[Experience]]&gt;=8,"Senior",HR_Data[[#This Row],[Experience]]&gt;=3,"Mid-Level",TRUE(),"Junior")</f>
        <v>Expert</v>
      </c>
    </row>
    <row r="694" spans="1:22" ht="14.25" customHeight="1" x14ac:dyDescent="0.3">
      <c r="A694" t="s">
        <v>1581</v>
      </c>
      <c r="B694" t="s">
        <v>471</v>
      </c>
      <c r="C694" t="s">
        <v>60</v>
      </c>
      <c r="D694" t="s">
        <v>33</v>
      </c>
      <c r="E694">
        <v>31</v>
      </c>
      <c r="F694">
        <v>38247</v>
      </c>
      <c r="G694">
        <v>2</v>
      </c>
      <c r="H694" t="s">
        <v>1582</v>
      </c>
      <c r="I694" t="s">
        <v>80</v>
      </c>
      <c r="J694" t="s">
        <v>90</v>
      </c>
      <c r="K694" t="s">
        <v>29</v>
      </c>
      <c r="L694" t="str">
        <f t="array" ref="L694">_xlfn.IFS(HR_Data[[#This Row],[Experience]]&lt;2,"0-2 Years",HR_Data[[#This Row],[Experience]]&lt;5,"2-5 Years",HR_Data[[#This Row],[Experience]]&lt;10,"5-10 Years",TRUE(),"10+ Years")</f>
        <v>2-5 Years</v>
      </c>
      <c r="M694" t="str">
        <f t="array" ref="M694">_xlfn.IFS(HR_Data[[#This Row],[Salary]]&lt;40000,"Low",HR_Data[[#This Row],[Salary]]&lt;70000,"Medium",HR_Data[[#This Row],[Salary]]&lt;100000,"High",TRUE(),"Very High")</f>
        <v>Low</v>
      </c>
      <c r="N694" t="str">
        <f t="array" ref="N694">_xlfn.IFS(HR_Data[[#This Row],[Age]]&lt;25,"18-24",HR_Data[[#This Row],[Age]]&lt;35,"25-34",HR_Data[[#This Row],[Age]]&lt;45,"35-44",TRUE(),"45+")</f>
        <v>25-34</v>
      </c>
      <c r="O694">
        <f>YEAR(HR_Data[[#This Row],[Joining Date]])</f>
        <v>2022</v>
      </c>
      <c r="P694" t="str">
        <f>TEXT(HR_Data[[#This Row],[Joining Date]],"mmmm")</f>
        <v>April</v>
      </c>
      <c r="Q694">
        <f t="array" ref="Q694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694">
        <f>HR_Data[[#This Row],[Salary]]*HR_Data[[#This Row],[Bonus %]]</f>
        <v>0</v>
      </c>
      <c r="S694">
        <f>HR_Data[[#This Row],[Salary]]+HR_Data[[#This Row],[Bonus Amount]]</f>
        <v>38247</v>
      </c>
      <c r="T694" t="str">
        <f>IF(HR_Data[[#This Row],[Attrition]]="Yes","Inactive","Active")</f>
        <v>Active</v>
      </c>
      <c r="U694" t="str">
        <f t="array" ref="U694">_xlfn.IFS(HR_Data[[#This Row],[Salary]]&gt;=100000,"A",HR_Data[[#This Row],[Salary]]&gt;=70000,"B",HR_Data[[#This Row],[Salary]]&gt;=50000,"C",TRUE(),"D")</f>
        <v>D</v>
      </c>
      <c r="V694" t="str">
        <f t="array" ref="V694">_xlfn.IFS(HR_Data[[#This Row],[Experience]]&gt;=15,"Expert",HR_Data[[#This Row],[Experience]]&gt;=8,"Senior",HR_Data[[#This Row],[Experience]]&gt;=3,"Mid-Level",TRUE(),"Junior")</f>
        <v>Junior</v>
      </c>
    </row>
    <row r="695" spans="1:22" ht="14.25" customHeight="1" x14ac:dyDescent="0.3">
      <c r="A695" t="s">
        <v>1583</v>
      </c>
      <c r="B695" t="s">
        <v>121</v>
      </c>
      <c r="C695" t="s">
        <v>40</v>
      </c>
      <c r="D695" t="s">
        <v>33</v>
      </c>
      <c r="E695">
        <v>39</v>
      </c>
      <c r="F695">
        <v>83317</v>
      </c>
      <c r="G695">
        <v>20</v>
      </c>
      <c r="H695" t="s">
        <v>1584</v>
      </c>
      <c r="I695" t="s">
        <v>57</v>
      </c>
      <c r="J695" t="s">
        <v>63</v>
      </c>
      <c r="K695" t="s">
        <v>29</v>
      </c>
      <c r="L695" t="str">
        <f t="array" ref="L695">_xlfn.IFS(HR_Data[[#This Row],[Experience]]&lt;2,"0-2 Years",HR_Data[[#This Row],[Experience]]&lt;5,"2-5 Years",HR_Data[[#This Row],[Experience]]&lt;10,"5-10 Years",TRUE(),"10+ Years")</f>
        <v>10+ Years</v>
      </c>
      <c r="M695" t="str">
        <f t="array" ref="M695">_xlfn.IFS(HR_Data[[#This Row],[Salary]]&lt;40000,"Low",HR_Data[[#This Row],[Salary]]&lt;70000,"Medium",HR_Data[[#This Row],[Salary]]&lt;100000,"High",TRUE(),"Very High")</f>
        <v>High</v>
      </c>
      <c r="N695" t="str">
        <f t="array" ref="N695">_xlfn.IFS(HR_Data[[#This Row],[Age]]&lt;25,"18-24",HR_Data[[#This Row],[Age]]&lt;35,"25-34",HR_Data[[#This Row],[Age]]&lt;45,"35-44",TRUE(),"45+")</f>
        <v>35-44</v>
      </c>
      <c r="O695">
        <f>YEAR(HR_Data[[#This Row],[Joining Date]])</f>
        <v>2023</v>
      </c>
      <c r="P695" t="str">
        <f>TEXT(HR_Data[[#This Row],[Joining Date]],"mmmm")</f>
        <v>July</v>
      </c>
      <c r="Q695">
        <f t="array" ref="Q695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695">
        <f>HR_Data[[#This Row],[Salary]]*HR_Data[[#This Row],[Bonus %]]</f>
        <v>16663.400000000001</v>
      </c>
      <c r="S695">
        <f>HR_Data[[#This Row],[Salary]]+HR_Data[[#This Row],[Bonus Amount]]</f>
        <v>99980.4</v>
      </c>
      <c r="T695" t="str">
        <f>IF(HR_Data[[#This Row],[Attrition]]="Yes","Inactive","Active")</f>
        <v>Active</v>
      </c>
      <c r="U695" t="str">
        <f t="array" ref="U695">_xlfn.IFS(HR_Data[[#This Row],[Salary]]&gt;=100000,"A",HR_Data[[#This Row],[Salary]]&gt;=70000,"B",HR_Data[[#This Row],[Salary]]&gt;=50000,"C",TRUE(),"D")</f>
        <v>B</v>
      </c>
      <c r="V695" t="str">
        <f t="array" ref="V695">_xlfn.IFS(HR_Data[[#This Row],[Experience]]&gt;=15,"Expert",HR_Data[[#This Row],[Experience]]&gt;=8,"Senior",HR_Data[[#This Row],[Experience]]&gt;=3,"Mid-Level",TRUE(),"Junior")</f>
        <v>Expert</v>
      </c>
    </row>
    <row r="696" spans="1:22" ht="14.25" customHeight="1" x14ac:dyDescent="0.3">
      <c r="A696" t="s">
        <v>1585</v>
      </c>
      <c r="B696" t="s">
        <v>257</v>
      </c>
      <c r="C696" t="s">
        <v>134</v>
      </c>
      <c r="D696" t="s">
        <v>25</v>
      </c>
      <c r="E696">
        <v>35</v>
      </c>
      <c r="F696">
        <v>62185</v>
      </c>
      <c r="G696">
        <v>10</v>
      </c>
      <c r="H696" t="s">
        <v>1586</v>
      </c>
      <c r="I696" t="s">
        <v>62</v>
      </c>
      <c r="J696" t="s">
        <v>36</v>
      </c>
      <c r="K696" t="s">
        <v>29</v>
      </c>
      <c r="L696" t="str">
        <f t="array" ref="L696">_xlfn.IFS(HR_Data[[#This Row],[Experience]]&lt;2,"0-2 Years",HR_Data[[#This Row],[Experience]]&lt;5,"2-5 Years",HR_Data[[#This Row],[Experience]]&lt;10,"5-10 Years",TRUE(),"10+ Years")</f>
        <v>10+ Years</v>
      </c>
      <c r="M696" t="str">
        <f t="array" ref="M696">_xlfn.IFS(HR_Data[[#This Row],[Salary]]&lt;40000,"Low",HR_Data[[#This Row],[Salary]]&lt;70000,"Medium",HR_Data[[#This Row],[Salary]]&lt;100000,"High",TRUE(),"Very High")</f>
        <v>Medium</v>
      </c>
      <c r="N696" t="str">
        <f t="array" ref="N696">_xlfn.IFS(HR_Data[[#This Row],[Age]]&lt;25,"18-24",HR_Data[[#This Row],[Age]]&lt;35,"25-34",HR_Data[[#This Row],[Age]]&lt;45,"35-44",TRUE(),"45+")</f>
        <v>35-44</v>
      </c>
      <c r="O696">
        <f>YEAR(HR_Data[[#This Row],[Joining Date]])</f>
        <v>2021</v>
      </c>
      <c r="P696" t="str">
        <f>TEXT(HR_Data[[#This Row],[Joining Date]],"mmmm")</f>
        <v>May</v>
      </c>
      <c r="Q696">
        <f t="array" ref="Q69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696">
        <f>HR_Data[[#This Row],[Salary]]*HR_Data[[#This Row],[Bonus %]]</f>
        <v>6218.5</v>
      </c>
      <c r="S696">
        <f>HR_Data[[#This Row],[Salary]]+HR_Data[[#This Row],[Bonus Amount]]</f>
        <v>68403.5</v>
      </c>
      <c r="T696" t="str">
        <f>IF(HR_Data[[#This Row],[Attrition]]="Yes","Inactive","Active")</f>
        <v>Active</v>
      </c>
      <c r="U696" t="str">
        <f t="array" ref="U696">_xlfn.IFS(HR_Data[[#This Row],[Salary]]&gt;=100000,"A",HR_Data[[#This Row],[Salary]]&gt;=70000,"B",HR_Data[[#This Row],[Salary]]&gt;=50000,"C",TRUE(),"D")</f>
        <v>C</v>
      </c>
      <c r="V696" t="str">
        <f t="array" ref="V696">_xlfn.IFS(HR_Data[[#This Row],[Experience]]&gt;=15,"Expert",HR_Data[[#This Row],[Experience]]&gt;=8,"Senior",HR_Data[[#This Row],[Experience]]&gt;=3,"Mid-Level",TRUE(),"Junior")</f>
        <v>Senior</v>
      </c>
    </row>
    <row r="697" spans="1:22" ht="14.25" customHeight="1" x14ac:dyDescent="0.3">
      <c r="A697" t="s">
        <v>1587</v>
      </c>
      <c r="B697" t="s">
        <v>349</v>
      </c>
      <c r="C697" t="s">
        <v>60</v>
      </c>
      <c r="D697" t="s">
        <v>25</v>
      </c>
      <c r="E697">
        <v>48</v>
      </c>
      <c r="F697">
        <v>97575</v>
      </c>
      <c r="G697">
        <v>19</v>
      </c>
      <c r="H697" t="s">
        <v>1102</v>
      </c>
      <c r="I697" t="s">
        <v>35</v>
      </c>
      <c r="J697" t="s">
        <v>28</v>
      </c>
      <c r="K697" t="s">
        <v>37</v>
      </c>
      <c r="L697" t="str">
        <f t="array" ref="L697">_xlfn.IFS(HR_Data[[#This Row],[Experience]]&lt;2,"0-2 Years",HR_Data[[#This Row],[Experience]]&lt;5,"2-5 Years",HR_Data[[#This Row],[Experience]]&lt;10,"5-10 Years",TRUE(),"10+ Years")</f>
        <v>10+ Years</v>
      </c>
      <c r="M697" t="str">
        <f t="array" ref="M697">_xlfn.IFS(HR_Data[[#This Row],[Salary]]&lt;40000,"Low",HR_Data[[#This Row],[Salary]]&lt;70000,"Medium",HR_Data[[#This Row],[Salary]]&lt;100000,"High",TRUE(),"Very High")</f>
        <v>High</v>
      </c>
      <c r="N697" t="str">
        <f t="array" ref="N697">_xlfn.IFS(HR_Data[[#This Row],[Age]]&lt;25,"18-24",HR_Data[[#This Row],[Age]]&lt;35,"25-34",HR_Data[[#This Row],[Age]]&lt;45,"35-44",TRUE(),"45+")</f>
        <v>45+</v>
      </c>
      <c r="O697">
        <f>YEAR(HR_Data[[#This Row],[Joining Date]])</f>
        <v>2017</v>
      </c>
      <c r="P697" t="str">
        <f>TEXT(HR_Data[[#This Row],[Joining Date]],"mmmm")</f>
        <v>December</v>
      </c>
      <c r="Q697">
        <f t="array" ref="Q69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697">
        <f>HR_Data[[#This Row],[Salary]]*HR_Data[[#This Row],[Bonus %]]</f>
        <v>14636.25</v>
      </c>
      <c r="S697">
        <f>HR_Data[[#This Row],[Salary]]+HR_Data[[#This Row],[Bonus Amount]]</f>
        <v>112211.25</v>
      </c>
      <c r="T697" t="str">
        <f>IF(HR_Data[[#This Row],[Attrition]]="Yes","Inactive","Active")</f>
        <v>Inactive</v>
      </c>
      <c r="U697" t="str">
        <f t="array" ref="U697">_xlfn.IFS(HR_Data[[#This Row],[Salary]]&gt;=100000,"A",HR_Data[[#This Row],[Salary]]&gt;=70000,"B",HR_Data[[#This Row],[Salary]]&gt;=50000,"C",TRUE(),"D")</f>
        <v>B</v>
      </c>
      <c r="V697" t="str">
        <f t="array" ref="V697">_xlfn.IFS(HR_Data[[#This Row],[Experience]]&gt;=15,"Expert",HR_Data[[#This Row],[Experience]]&gt;=8,"Senior",HR_Data[[#This Row],[Experience]]&gt;=3,"Mid-Level",TRUE(),"Junior")</f>
        <v>Expert</v>
      </c>
    </row>
    <row r="698" spans="1:22" ht="14.25" customHeight="1" x14ac:dyDescent="0.3">
      <c r="A698" t="s">
        <v>1588</v>
      </c>
      <c r="B698" t="s">
        <v>310</v>
      </c>
      <c r="C698" t="s">
        <v>70</v>
      </c>
      <c r="D698" t="s">
        <v>25</v>
      </c>
      <c r="E698">
        <v>50</v>
      </c>
      <c r="F698">
        <v>102597</v>
      </c>
      <c r="G698">
        <v>24</v>
      </c>
      <c r="H698" t="s">
        <v>684</v>
      </c>
      <c r="I698" t="s">
        <v>62</v>
      </c>
      <c r="J698" t="s">
        <v>63</v>
      </c>
      <c r="K698" t="s">
        <v>29</v>
      </c>
      <c r="L698" t="str">
        <f t="array" ref="L698">_xlfn.IFS(HR_Data[[#This Row],[Experience]]&lt;2,"0-2 Years",HR_Data[[#This Row],[Experience]]&lt;5,"2-5 Years",HR_Data[[#This Row],[Experience]]&lt;10,"5-10 Years",TRUE(),"10+ Years")</f>
        <v>10+ Years</v>
      </c>
      <c r="M698" t="str">
        <f t="array" ref="M698">_xlfn.IFS(HR_Data[[#This Row],[Salary]]&lt;40000,"Low",HR_Data[[#This Row],[Salary]]&lt;70000,"Medium",HR_Data[[#This Row],[Salary]]&lt;100000,"High",TRUE(),"Very High")</f>
        <v>Very High</v>
      </c>
      <c r="N698" t="str">
        <f t="array" ref="N698">_xlfn.IFS(HR_Data[[#This Row],[Age]]&lt;25,"18-24",HR_Data[[#This Row],[Age]]&lt;35,"25-34",HR_Data[[#This Row],[Age]]&lt;45,"35-44",TRUE(),"45+")</f>
        <v>45+</v>
      </c>
      <c r="O698">
        <f>YEAR(HR_Data[[#This Row],[Joining Date]])</f>
        <v>2024</v>
      </c>
      <c r="P698" t="str">
        <f>TEXT(HR_Data[[#This Row],[Joining Date]],"mmmm")</f>
        <v>June</v>
      </c>
      <c r="Q698">
        <f t="array" ref="Q698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698">
        <f>HR_Data[[#This Row],[Salary]]*HR_Data[[#This Row],[Bonus %]]</f>
        <v>20519.400000000001</v>
      </c>
      <c r="S698">
        <f>HR_Data[[#This Row],[Salary]]+HR_Data[[#This Row],[Bonus Amount]]</f>
        <v>123116.4</v>
      </c>
      <c r="T698" t="str">
        <f>IF(HR_Data[[#This Row],[Attrition]]="Yes","Inactive","Active")</f>
        <v>Active</v>
      </c>
      <c r="U698" t="str">
        <f t="array" ref="U698">_xlfn.IFS(HR_Data[[#This Row],[Salary]]&gt;=100000,"A",HR_Data[[#This Row],[Salary]]&gt;=70000,"B",HR_Data[[#This Row],[Salary]]&gt;=50000,"C",TRUE(),"D")</f>
        <v>A</v>
      </c>
      <c r="V698" t="str">
        <f t="array" ref="V698">_xlfn.IFS(HR_Data[[#This Row],[Experience]]&gt;=15,"Expert",HR_Data[[#This Row],[Experience]]&gt;=8,"Senior",HR_Data[[#This Row],[Experience]]&gt;=3,"Mid-Level",TRUE(),"Junior")</f>
        <v>Expert</v>
      </c>
    </row>
    <row r="699" spans="1:22" ht="14.25" customHeight="1" x14ac:dyDescent="0.3">
      <c r="A699" t="s">
        <v>1589</v>
      </c>
      <c r="B699" t="s">
        <v>182</v>
      </c>
      <c r="C699" t="s">
        <v>75</v>
      </c>
      <c r="D699" t="s">
        <v>33</v>
      </c>
      <c r="E699">
        <v>24</v>
      </c>
      <c r="F699">
        <v>49821</v>
      </c>
      <c r="G699">
        <v>5</v>
      </c>
      <c r="H699" t="s">
        <v>1590</v>
      </c>
      <c r="I699" t="s">
        <v>80</v>
      </c>
      <c r="J699" t="s">
        <v>90</v>
      </c>
      <c r="K699" t="s">
        <v>29</v>
      </c>
      <c r="L699" t="str">
        <f t="array" ref="L699">_xlfn.IFS(HR_Data[[#This Row],[Experience]]&lt;2,"0-2 Years",HR_Data[[#This Row],[Experience]]&lt;5,"2-5 Years",HR_Data[[#This Row],[Experience]]&lt;10,"5-10 Years",TRUE(),"10+ Years")</f>
        <v>5-10 Years</v>
      </c>
      <c r="M699" t="str">
        <f t="array" ref="M699">_xlfn.IFS(HR_Data[[#This Row],[Salary]]&lt;40000,"Low",HR_Data[[#This Row],[Salary]]&lt;70000,"Medium",HR_Data[[#This Row],[Salary]]&lt;100000,"High",TRUE(),"Very High")</f>
        <v>Medium</v>
      </c>
      <c r="N699" t="str">
        <f t="array" ref="N699">_xlfn.IFS(HR_Data[[#This Row],[Age]]&lt;25,"18-24",HR_Data[[#This Row],[Age]]&lt;35,"25-34",HR_Data[[#This Row],[Age]]&lt;45,"35-44",TRUE(),"45+")</f>
        <v>18-24</v>
      </c>
      <c r="O699">
        <f>YEAR(HR_Data[[#This Row],[Joining Date]])</f>
        <v>2022</v>
      </c>
      <c r="P699" t="str">
        <f>TEXT(HR_Data[[#This Row],[Joining Date]],"mmmm")</f>
        <v>August</v>
      </c>
      <c r="Q699">
        <f t="array" ref="Q699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699">
        <f>HR_Data[[#This Row],[Salary]]*HR_Data[[#This Row],[Bonus %]]</f>
        <v>0</v>
      </c>
      <c r="S699">
        <f>HR_Data[[#This Row],[Salary]]+HR_Data[[#This Row],[Bonus Amount]]</f>
        <v>49821</v>
      </c>
      <c r="T699" t="str">
        <f>IF(HR_Data[[#This Row],[Attrition]]="Yes","Inactive","Active")</f>
        <v>Active</v>
      </c>
      <c r="U699" t="str">
        <f t="array" ref="U699">_xlfn.IFS(HR_Data[[#This Row],[Salary]]&gt;=100000,"A",HR_Data[[#This Row],[Salary]]&gt;=70000,"B",HR_Data[[#This Row],[Salary]]&gt;=50000,"C",TRUE(),"D")</f>
        <v>D</v>
      </c>
      <c r="V699" t="str">
        <f t="array" ref="V699">_xlfn.IFS(HR_Data[[#This Row],[Experience]]&gt;=15,"Expert",HR_Data[[#This Row],[Experience]]&gt;=8,"Senior",HR_Data[[#This Row],[Experience]]&gt;=3,"Mid-Level",TRUE(),"Junior")</f>
        <v>Mid-Level</v>
      </c>
    </row>
    <row r="700" spans="1:22" ht="14.25" customHeight="1" x14ac:dyDescent="0.3">
      <c r="A700" t="s">
        <v>1591</v>
      </c>
      <c r="B700" t="s">
        <v>313</v>
      </c>
      <c r="C700" t="s">
        <v>75</v>
      </c>
      <c r="D700" t="s">
        <v>25</v>
      </c>
      <c r="E700">
        <v>54</v>
      </c>
      <c r="F700">
        <v>112394</v>
      </c>
      <c r="G700">
        <v>29</v>
      </c>
      <c r="H700" t="s">
        <v>1592</v>
      </c>
      <c r="I700" t="s">
        <v>80</v>
      </c>
      <c r="J700" t="s">
        <v>28</v>
      </c>
      <c r="K700" t="s">
        <v>29</v>
      </c>
      <c r="L700" t="str">
        <f t="array" ref="L700">_xlfn.IFS(HR_Data[[#This Row],[Experience]]&lt;2,"0-2 Years",HR_Data[[#This Row],[Experience]]&lt;5,"2-5 Years",HR_Data[[#This Row],[Experience]]&lt;10,"5-10 Years",TRUE(),"10+ Years")</f>
        <v>10+ Years</v>
      </c>
      <c r="M700" t="str">
        <f t="array" ref="M700">_xlfn.IFS(HR_Data[[#This Row],[Salary]]&lt;40000,"Low",HR_Data[[#This Row],[Salary]]&lt;70000,"Medium",HR_Data[[#This Row],[Salary]]&lt;100000,"High",TRUE(),"Very High")</f>
        <v>Very High</v>
      </c>
      <c r="N700" t="str">
        <f t="array" ref="N700">_xlfn.IFS(HR_Data[[#This Row],[Age]]&lt;25,"18-24",HR_Data[[#This Row],[Age]]&lt;35,"25-34",HR_Data[[#This Row],[Age]]&lt;45,"35-44",TRUE(),"45+")</f>
        <v>45+</v>
      </c>
      <c r="O700">
        <f>YEAR(HR_Data[[#This Row],[Joining Date]])</f>
        <v>2025</v>
      </c>
      <c r="P700" t="str">
        <f>TEXT(HR_Data[[#This Row],[Joining Date]],"mmmm")</f>
        <v>September</v>
      </c>
      <c r="Q700">
        <f t="array" ref="Q700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700">
        <f>HR_Data[[#This Row],[Salary]]*HR_Data[[#This Row],[Bonus %]]</f>
        <v>16859.099999999999</v>
      </c>
      <c r="S700">
        <f>HR_Data[[#This Row],[Salary]]+HR_Data[[#This Row],[Bonus Amount]]</f>
        <v>129253.1</v>
      </c>
      <c r="T700" t="str">
        <f>IF(HR_Data[[#This Row],[Attrition]]="Yes","Inactive","Active")</f>
        <v>Active</v>
      </c>
      <c r="U700" t="str">
        <f t="array" ref="U700">_xlfn.IFS(HR_Data[[#This Row],[Salary]]&gt;=100000,"A",HR_Data[[#This Row],[Salary]]&gt;=70000,"B",HR_Data[[#This Row],[Salary]]&gt;=50000,"C",TRUE(),"D")</f>
        <v>A</v>
      </c>
      <c r="V700" t="str">
        <f t="array" ref="V700">_xlfn.IFS(HR_Data[[#This Row],[Experience]]&gt;=15,"Expert",HR_Data[[#This Row],[Experience]]&gt;=8,"Senior",HR_Data[[#This Row],[Experience]]&gt;=3,"Mid-Level",TRUE(),"Junior")</f>
        <v>Expert</v>
      </c>
    </row>
    <row r="701" spans="1:22" ht="14.25" customHeight="1" x14ac:dyDescent="0.3">
      <c r="A701" t="s">
        <v>1593</v>
      </c>
      <c r="B701" t="s">
        <v>335</v>
      </c>
      <c r="C701" t="s">
        <v>93</v>
      </c>
      <c r="D701" t="s">
        <v>25</v>
      </c>
      <c r="E701">
        <v>30</v>
      </c>
      <c r="F701">
        <v>29107</v>
      </c>
      <c r="G701">
        <v>3</v>
      </c>
      <c r="H701" t="s">
        <v>1499</v>
      </c>
      <c r="I701" t="s">
        <v>67</v>
      </c>
      <c r="J701" t="s">
        <v>36</v>
      </c>
      <c r="K701" t="s">
        <v>29</v>
      </c>
      <c r="L701" t="str">
        <f t="array" ref="L701">_xlfn.IFS(HR_Data[[#This Row],[Experience]]&lt;2,"0-2 Years",HR_Data[[#This Row],[Experience]]&lt;5,"2-5 Years",HR_Data[[#This Row],[Experience]]&lt;10,"5-10 Years",TRUE(),"10+ Years")</f>
        <v>2-5 Years</v>
      </c>
      <c r="M701" t="str">
        <f t="array" ref="M701">_xlfn.IFS(HR_Data[[#This Row],[Salary]]&lt;40000,"Low",HR_Data[[#This Row],[Salary]]&lt;70000,"Medium",HR_Data[[#This Row],[Salary]]&lt;100000,"High",TRUE(),"Very High")</f>
        <v>Low</v>
      </c>
      <c r="N701" t="str">
        <f t="array" ref="N701">_xlfn.IFS(HR_Data[[#This Row],[Age]]&lt;25,"18-24",HR_Data[[#This Row],[Age]]&lt;35,"25-34",HR_Data[[#This Row],[Age]]&lt;45,"35-44",TRUE(),"45+")</f>
        <v>25-34</v>
      </c>
      <c r="O701">
        <f>YEAR(HR_Data[[#This Row],[Joining Date]])</f>
        <v>2016</v>
      </c>
      <c r="P701" t="str">
        <f>TEXT(HR_Data[[#This Row],[Joining Date]],"mmmm")</f>
        <v>January</v>
      </c>
      <c r="Q701">
        <f t="array" ref="Q70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01">
        <f>HR_Data[[#This Row],[Salary]]*HR_Data[[#This Row],[Bonus %]]</f>
        <v>2910.7000000000003</v>
      </c>
      <c r="S701">
        <f>HR_Data[[#This Row],[Salary]]+HR_Data[[#This Row],[Bonus Amount]]</f>
        <v>32017.7</v>
      </c>
      <c r="T701" t="str">
        <f>IF(HR_Data[[#This Row],[Attrition]]="Yes","Inactive","Active")</f>
        <v>Active</v>
      </c>
      <c r="U701" t="str">
        <f t="array" ref="U701">_xlfn.IFS(HR_Data[[#This Row],[Salary]]&gt;=100000,"A",HR_Data[[#This Row],[Salary]]&gt;=70000,"B",HR_Data[[#This Row],[Salary]]&gt;=50000,"C",TRUE(),"D")</f>
        <v>D</v>
      </c>
      <c r="V701" t="str">
        <f t="array" ref="V701">_xlfn.IFS(HR_Data[[#This Row],[Experience]]&gt;=15,"Expert",HR_Data[[#This Row],[Experience]]&gt;=8,"Senior",HR_Data[[#This Row],[Experience]]&gt;=3,"Mid-Level",TRUE(),"Junior")</f>
        <v>Mid-Level</v>
      </c>
    </row>
    <row r="702" spans="1:22" ht="14.25" customHeight="1" x14ac:dyDescent="0.3">
      <c r="A702" t="s">
        <v>1594</v>
      </c>
      <c r="B702" t="s">
        <v>202</v>
      </c>
      <c r="C702" t="s">
        <v>70</v>
      </c>
      <c r="D702" t="s">
        <v>25</v>
      </c>
      <c r="E702">
        <v>44</v>
      </c>
      <c r="F702">
        <v>70879</v>
      </c>
      <c r="G702">
        <v>16</v>
      </c>
      <c r="H702" t="s">
        <v>1595</v>
      </c>
      <c r="I702" t="s">
        <v>27</v>
      </c>
      <c r="J702" t="s">
        <v>63</v>
      </c>
      <c r="K702" t="s">
        <v>29</v>
      </c>
      <c r="L702" t="str">
        <f t="array" ref="L702">_xlfn.IFS(HR_Data[[#This Row],[Experience]]&lt;2,"0-2 Years",HR_Data[[#This Row],[Experience]]&lt;5,"2-5 Years",HR_Data[[#This Row],[Experience]]&lt;10,"5-10 Years",TRUE(),"10+ Years")</f>
        <v>10+ Years</v>
      </c>
      <c r="M702" t="str">
        <f t="array" ref="M702">_xlfn.IFS(HR_Data[[#This Row],[Salary]]&lt;40000,"Low",HR_Data[[#This Row],[Salary]]&lt;70000,"Medium",HR_Data[[#This Row],[Salary]]&lt;100000,"High",TRUE(),"Very High")</f>
        <v>High</v>
      </c>
      <c r="N702" t="str">
        <f t="array" ref="N702">_xlfn.IFS(HR_Data[[#This Row],[Age]]&lt;25,"18-24",HR_Data[[#This Row],[Age]]&lt;35,"25-34",HR_Data[[#This Row],[Age]]&lt;45,"35-44",TRUE(),"45+")</f>
        <v>35-44</v>
      </c>
      <c r="O702">
        <f>YEAR(HR_Data[[#This Row],[Joining Date]])</f>
        <v>2026</v>
      </c>
      <c r="P702" t="str">
        <f>TEXT(HR_Data[[#This Row],[Joining Date]],"mmmm")</f>
        <v>April</v>
      </c>
      <c r="Q702">
        <f t="array" ref="Q702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702">
        <f>HR_Data[[#This Row],[Salary]]*HR_Data[[#This Row],[Bonus %]]</f>
        <v>14175.800000000001</v>
      </c>
      <c r="S702">
        <f>HR_Data[[#This Row],[Salary]]+HR_Data[[#This Row],[Bonus Amount]]</f>
        <v>85054.8</v>
      </c>
      <c r="T702" t="str">
        <f>IF(HR_Data[[#This Row],[Attrition]]="Yes","Inactive","Active")</f>
        <v>Active</v>
      </c>
      <c r="U702" t="str">
        <f t="array" ref="U702">_xlfn.IFS(HR_Data[[#This Row],[Salary]]&gt;=100000,"A",HR_Data[[#This Row],[Salary]]&gt;=70000,"B",HR_Data[[#This Row],[Salary]]&gt;=50000,"C",TRUE(),"D")</f>
        <v>B</v>
      </c>
      <c r="V702" t="str">
        <f t="array" ref="V702">_xlfn.IFS(HR_Data[[#This Row],[Experience]]&gt;=15,"Expert",HR_Data[[#This Row],[Experience]]&gt;=8,"Senior",HR_Data[[#This Row],[Experience]]&gt;=3,"Mid-Level",TRUE(),"Junior")</f>
        <v>Expert</v>
      </c>
    </row>
    <row r="703" spans="1:22" ht="14.25" customHeight="1" x14ac:dyDescent="0.3">
      <c r="A703" t="s">
        <v>1596</v>
      </c>
      <c r="B703" t="s">
        <v>561</v>
      </c>
      <c r="C703" t="s">
        <v>134</v>
      </c>
      <c r="D703" t="s">
        <v>25</v>
      </c>
      <c r="E703">
        <v>30</v>
      </c>
      <c r="F703">
        <v>42753</v>
      </c>
      <c r="G703">
        <v>5</v>
      </c>
      <c r="H703" t="s">
        <v>941</v>
      </c>
      <c r="I703" t="s">
        <v>132</v>
      </c>
      <c r="J703" t="s">
        <v>36</v>
      </c>
      <c r="K703" t="s">
        <v>29</v>
      </c>
      <c r="L703" t="str">
        <f t="array" ref="L703">_xlfn.IFS(HR_Data[[#This Row],[Experience]]&lt;2,"0-2 Years",HR_Data[[#This Row],[Experience]]&lt;5,"2-5 Years",HR_Data[[#This Row],[Experience]]&lt;10,"5-10 Years",TRUE(),"10+ Years")</f>
        <v>5-10 Years</v>
      </c>
      <c r="M703" t="str">
        <f t="array" ref="M703">_xlfn.IFS(HR_Data[[#This Row],[Salary]]&lt;40000,"Low",HR_Data[[#This Row],[Salary]]&lt;70000,"Medium",HR_Data[[#This Row],[Salary]]&lt;100000,"High",TRUE(),"Very High")</f>
        <v>Medium</v>
      </c>
      <c r="N703" t="str">
        <f t="array" ref="N703">_xlfn.IFS(HR_Data[[#This Row],[Age]]&lt;25,"18-24",HR_Data[[#This Row],[Age]]&lt;35,"25-34",HR_Data[[#This Row],[Age]]&lt;45,"35-44",TRUE(),"45+")</f>
        <v>25-34</v>
      </c>
      <c r="O703">
        <f>YEAR(HR_Data[[#This Row],[Joining Date]])</f>
        <v>2022</v>
      </c>
      <c r="P703" t="str">
        <f>TEXT(HR_Data[[#This Row],[Joining Date]],"mmmm")</f>
        <v>January</v>
      </c>
      <c r="Q703">
        <f t="array" ref="Q703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03">
        <f>HR_Data[[#This Row],[Salary]]*HR_Data[[#This Row],[Bonus %]]</f>
        <v>4275.3</v>
      </c>
      <c r="S703">
        <f>HR_Data[[#This Row],[Salary]]+HR_Data[[#This Row],[Bonus Amount]]</f>
        <v>47028.3</v>
      </c>
      <c r="T703" t="str">
        <f>IF(HR_Data[[#This Row],[Attrition]]="Yes","Inactive","Active")</f>
        <v>Active</v>
      </c>
      <c r="U703" t="str">
        <f t="array" ref="U703">_xlfn.IFS(HR_Data[[#This Row],[Salary]]&gt;=100000,"A",HR_Data[[#This Row],[Salary]]&gt;=70000,"B",HR_Data[[#This Row],[Salary]]&gt;=50000,"C",TRUE(),"D")</f>
        <v>D</v>
      </c>
      <c r="V703" t="str">
        <f t="array" ref="V703">_xlfn.IFS(HR_Data[[#This Row],[Experience]]&gt;=15,"Expert",HR_Data[[#This Row],[Experience]]&gt;=8,"Senior",HR_Data[[#This Row],[Experience]]&gt;=3,"Mid-Level",TRUE(),"Junior")</f>
        <v>Mid-Level</v>
      </c>
    </row>
    <row r="704" spans="1:22" ht="14.25" customHeight="1" x14ac:dyDescent="0.3">
      <c r="A704" t="s">
        <v>1597</v>
      </c>
      <c r="B704" t="s">
        <v>828</v>
      </c>
      <c r="C704" t="s">
        <v>112</v>
      </c>
      <c r="D704" t="s">
        <v>25</v>
      </c>
      <c r="E704">
        <v>34</v>
      </c>
      <c r="F704">
        <v>61163</v>
      </c>
      <c r="G704">
        <v>13</v>
      </c>
      <c r="H704" t="s">
        <v>1598</v>
      </c>
      <c r="I704" t="s">
        <v>42</v>
      </c>
      <c r="J704" t="s">
        <v>46</v>
      </c>
      <c r="K704" t="s">
        <v>37</v>
      </c>
      <c r="L704" t="str">
        <f t="array" ref="L704">_xlfn.IFS(HR_Data[[#This Row],[Experience]]&lt;2,"0-2 Years",HR_Data[[#This Row],[Experience]]&lt;5,"2-5 Years",HR_Data[[#This Row],[Experience]]&lt;10,"5-10 Years",TRUE(),"10+ Years")</f>
        <v>10+ Years</v>
      </c>
      <c r="M704" t="str">
        <f t="array" ref="M704">_xlfn.IFS(HR_Data[[#This Row],[Salary]]&lt;40000,"Low",HR_Data[[#This Row],[Salary]]&lt;70000,"Medium",HR_Data[[#This Row],[Salary]]&lt;100000,"High",TRUE(),"Very High")</f>
        <v>Medium</v>
      </c>
      <c r="N704" t="str">
        <f t="array" ref="N704">_xlfn.IFS(HR_Data[[#This Row],[Age]]&lt;25,"18-24",HR_Data[[#This Row],[Age]]&lt;35,"25-34",HR_Data[[#This Row],[Age]]&lt;45,"35-44",TRUE(),"45+")</f>
        <v>25-34</v>
      </c>
      <c r="O704">
        <f>YEAR(HR_Data[[#This Row],[Joining Date]])</f>
        <v>2020</v>
      </c>
      <c r="P704" t="str">
        <f>TEXT(HR_Data[[#This Row],[Joining Date]],"mmmm")</f>
        <v>October</v>
      </c>
      <c r="Q704">
        <f t="array" ref="Q704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704">
        <f>HR_Data[[#This Row],[Salary]]*HR_Data[[#This Row],[Bonus %]]</f>
        <v>3058.15</v>
      </c>
      <c r="S704">
        <f>HR_Data[[#This Row],[Salary]]+HR_Data[[#This Row],[Bonus Amount]]</f>
        <v>64221.15</v>
      </c>
      <c r="T704" t="str">
        <f>IF(HR_Data[[#This Row],[Attrition]]="Yes","Inactive","Active")</f>
        <v>Inactive</v>
      </c>
      <c r="U704" t="str">
        <f t="array" ref="U704">_xlfn.IFS(HR_Data[[#This Row],[Salary]]&gt;=100000,"A",HR_Data[[#This Row],[Salary]]&gt;=70000,"B",HR_Data[[#This Row],[Salary]]&gt;=50000,"C",TRUE(),"D")</f>
        <v>C</v>
      </c>
      <c r="V704" t="str">
        <f t="array" ref="V704">_xlfn.IFS(HR_Data[[#This Row],[Experience]]&gt;=15,"Expert",HR_Data[[#This Row],[Experience]]&gt;=8,"Senior",HR_Data[[#This Row],[Experience]]&gt;=3,"Mid-Level",TRUE(),"Junior")</f>
        <v>Senior</v>
      </c>
    </row>
    <row r="705" spans="1:22" ht="14.25" customHeight="1" x14ac:dyDescent="0.3">
      <c r="A705" t="s">
        <v>1599</v>
      </c>
      <c r="B705" t="s">
        <v>390</v>
      </c>
      <c r="C705" t="s">
        <v>134</v>
      </c>
      <c r="D705" t="s">
        <v>25</v>
      </c>
      <c r="E705">
        <v>21</v>
      </c>
      <c r="F705">
        <v>32634</v>
      </c>
      <c r="G705">
        <v>0</v>
      </c>
      <c r="H705" t="s">
        <v>1600</v>
      </c>
      <c r="I705" t="s">
        <v>62</v>
      </c>
      <c r="J705" t="s">
        <v>36</v>
      </c>
      <c r="K705" t="s">
        <v>29</v>
      </c>
      <c r="L705" t="str">
        <f t="array" ref="L705">_xlfn.IFS(HR_Data[[#This Row],[Experience]]&lt;2,"0-2 Years",HR_Data[[#This Row],[Experience]]&lt;5,"2-5 Years",HR_Data[[#This Row],[Experience]]&lt;10,"5-10 Years",TRUE(),"10+ Years")</f>
        <v>0-2 Years</v>
      </c>
      <c r="M705" t="str">
        <f t="array" ref="M705">_xlfn.IFS(HR_Data[[#This Row],[Salary]]&lt;40000,"Low",HR_Data[[#This Row],[Salary]]&lt;70000,"Medium",HR_Data[[#This Row],[Salary]]&lt;100000,"High",TRUE(),"Very High")</f>
        <v>Low</v>
      </c>
      <c r="N705" t="str">
        <f t="array" ref="N705">_xlfn.IFS(HR_Data[[#This Row],[Age]]&lt;25,"18-24",HR_Data[[#This Row],[Age]]&lt;35,"25-34",HR_Data[[#This Row],[Age]]&lt;45,"35-44",TRUE(),"45+")</f>
        <v>18-24</v>
      </c>
      <c r="O705">
        <f>YEAR(HR_Data[[#This Row],[Joining Date]])</f>
        <v>2025</v>
      </c>
      <c r="P705" t="str">
        <f>TEXT(HR_Data[[#This Row],[Joining Date]],"mmmm")</f>
        <v>April</v>
      </c>
      <c r="Q705">
        <f t="array" ref="Q70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05">
        <f>HR_Data[[#This Row],[Salary]]*HR_Data[[#This Row],[Bonus %]]</f>
        <v>3263.4</v>
      </c>
      <c r="S705">
        <f>HR_Data[[#This Row],[Salary]]+HR_Data[[#This Row],[Bonus Amount]]</f>
        <v>35897.4</v>
      </c>
      <c r="T705" t="str">
        <f>IF(HR_Data[[#This Row],[Attrition]]="Yes","Inactive","Active")</f>
        <v>Active</v>
      </c>
      <c r="U705" t="str">
        <f t="array" ref="U705">_xlfn.IFS(HR_Data[[#This Row],[Salary]]&gt;=100000,"A",HR_Data[[#This Row],[Salary]]&gt;=70000,"B",HR_Data[[#This Row],[Salary]]&gt;=50000,"C",TRUE(),"D")</f>
        <v>D</v>
      </c>
      <c r="V705" t="str">
        <f t="array" ref="V705">_xlfn.IFS(HR_Data[[#This Row],[Experience]]&gt;=15,"Expert",HR_Data[[#This Row],[Experience]]&gt;=8,"Senior",HR_Data[[#This Row],[Experience]]&gt;=3,"Mid-Level",TRUE(),"Junior")</f>
        <v>Junior</v>
      </c>
    </row>
    <row r="706" spans="1:22" ht="14.25" customHeight="1" x14ac:dyDescent="0.3">
      <c r="A706" t="s">
        <v>1601</v>
      </c>
      <c r="B706" t="s">
        <v>570</v>
      </c>
      <c r="C706" t="s">
        <v>112</v>
      </c>
      <c r="D706" t="s">
        <v>33</v>
      </c>
      <c r="E706">
        <v>39</v>
      </c>
      <c r="F706">
        <v>81898</v>
      </c>
      <c r="G706">
        <v>19</v>
      </c>
      <c r="H706" t="s">
        <v>1602</v>
      </c>
      <c r="I706" t="s">
        <v>35</v>
      </c>
      <c r="J706" t="s">
        <v>63</v>
      </c>
      <c r="K706" t="s">
        <v>37</v>
      </c>
      <c r="L706" t="str">
        <f t="array" ref="L706">_xlfn.IFS(HR_Data[[#This Row],[Experience]]&lt;2,"0-2 Years",HR_Data[[#This Row],[Experience]]&lt;5,"2-5 Years",HR_Data[[#This Row],[Experience]]&lt;10,"5-10 Years",TRUE(),"10+ Years")</f>
        <v>10+ Years</v>
      </c>
      <c r="M706" t="str">
        <f t="array" ref="M706">_xlfn.IFS(HR_Data[[#This Row],[Salary]]&lt;40000,"Low",HR_Data[[#This Row],[Salary]]&lt;70000,"Medium",HR_Data[[#This Row],[Salary]]&lt;100000,"High",TRUE(),"Very High")</f>
        <v>High</v>
      </c>
      <c r="N706" t="str">
        <f t="array" ref="N706">_xlfn.IFS(HR_Data[[#This Row],[Age]]&lt;25,"18-24",HR_Data[[#This Row],[Age]]&lt;35,"25-34",HR_Data[[#This Row],[Age]]&lt;45,"35-44",TRUE(),"45+")</f>
        <v>35-44</v>
      </c>
      <c r="O706">
        <f>YEAR(HR_Data[[#This Row],[Joining Date]])</f>
        <v>2018</v>
      </c>
      <c r="P706" t="str">
        <f>TEXT(HR_Data[[#This Row],[Joining Date]],"mmmm")</f>
        <v>January</v>
      </c>
      <c r="Q706">
        <f t="array" ref="Q706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706">
        <f>HR_Data[[#This Row],[Salary]]*HR_Data[[#This Row],[Bonus %]]</f>
        <v>16379.6</v>
      </c>
      <c r="S706">
        <f>HR_Data[[#This Row],[Salary]]+HR_Data[[#This Row],[Bonus Amount]]</f>
        <v>98277.6</v>
      </c>
      <c r="T706" t="str">
        <f>IF(HR_Data[[#This Row],[Attrition]]="Yes","Inactive","Active")</f>
        <v>Inactive</v>
      </c>
      <c r="U706" t="str">
        <f t="array" ref="U706">_xlfn.IFS(HR_Data[[#This Row],[Salary]]&gt;=100000,"A",HR_Data[[#This Row],[Salary]]&gt;=70000,"B",HR_Data[[#This Row],[Salary]]&gt;=50000,"C",TRUE(),"D")</f>
        <v>B</v>
      </c>
      <c r="V706" t="str">
        <f t="array" ref="V706">_xlfn.IFS(HR_Data[[#This Row],[Experience]]&gt;=15,"Expert",HR_Data[[#This Row],[Experience]]&gt;=8,"Senior",HR_Data[[#This Row],[Experience]]&gt;=3,"Mid-Level",TRUE(),"Junior")</f>
        <v>Expert</v>
      </c>
    </row>
    <row r="707" spans="1:22" ht="14.25" customHeight="1" x14ac:dyDescent="0.3">
      <c r="A707" t="s">
        <v>1603</v>
      </c>
      <c r="B707" t="s">
        <v>54</v>
      </c>
      <c r="C707" t="s">
        <v>40</v>
      </c>
      <c r="D707" t="s">
        <v>25</v>
      </c>
      <c r="E707">
        <v>38</v>
      </c>
      <c r="F707">
        <v>53722</v>
      </c>
      <c r="G707">
        <v>9</v>
      </c>
      <c r="H707" t="s">
        <v>1570</v>
      </c>
      <c r="I707" t="s">
        <v>35</v>
      </c>
      <c r="J707" t="s">
        <v>46</v>
      </c>
      <c r="K707" t="s">
        <v>29</v>
      </c>
      <c r="L707" t="str">
        <f t="array" ref="L707">_xlfn.IFS(HR_Data[[#This Row],[Experience]]&lt;2,"0-2 Years",HR_Data[[#This Row],[Experience]]&lt;5,"2-5 Years",HR_Data[[#This Row],[Experience]]&lt;10,"5-10 Years",TRUE(),"10+ Years")</f>
        <v>5-10 Years</v>
      </c>
      <c r="M707" t="str">
        <f t="array" ref="M707">_xlfn.IFS(HR_Data[[#This Row],[Salary]]&lt;40000,"Low",HR_Data[[#This Row],[Salary]]&lt;70000,"Medium",HR_Data[[#This Row],[Salary]]&lt;100000,"High",TRUE(),"Very High")</f>
        <v>Medium</v>
      </c>
      <c r="N707" t="str">
        <f t="array" ref="N707">_xlfn.IFS(HR_Data[[#This Row],[Age]]&lt;25,"18-24",HR_Data[[#This Row],[Age]]&lt;35,"25-34",HR_Data[[#This Row],[Age]]&lt;45,"35-44",TRUE(),"45+")</f>
        <v>35-44</v>
      </c>
      <c r="O707">
        <f>YEAR(HR_Data[[#This Row],[Joining Date]])</f>
        <v>2024</v>
      </c>
      <c r="P707" t="str">
        <f>TEXT(HR_Data[[#This Row],[Joining Date]],"mmmm")</f>
        <v>October</v>
      </c>
      <c r="Q707">
        <f t="array" ref="Q707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707">
        <f>HR_Data[[#This Row],[Salary]]*HR_Data[[#This Row],[Bonus %]]</f>
        <v>2686.1000000000004</v>
      </c>
      <c r="S707">
        <f>HR_Data[[#This Row],[Salary]]+HR_Data[[#This Row],[Bonus Amount]]</f>
        <v>56408.1</v>
      </c>
      <c r="T707" t="str">
        <f>IF(HR_Data[[#This Row],[Attrition]]="Yes","Inactive","Active")</f>
        <v>Active</v>
      </c>
      <c r="U707" t="str">
        <f t="array" ref="U707">_xlfn.IFS(HR_Data[[#This Row],[Salary]]&gt;=100000,"A",HR_Data[[#This Row],[Salary]]&gt;=70000,"B",HR_Data[[#This Row],[Salary]]&gt;=50000,"C",TRUE(),"D")</f>
        <v>C</v>
      </c>
      <c r="V707" t="str">
        <f t="array" ref="V707">_xlfn.IFS(HR_Data[[#This Row],[Experience]]&gt;=15,"Expert",HR_Data[[#This Row],[Experience]]&gt;=8,"Senior",HR_Data[[#This Row],[Experience]]&gt;=3,"Mid-Level",TRUE(),"Junior")</f>
        <v>Senior</v>
      </c>
    </row>
    <row r="708" spans="1:22" ht="14.25" customHeight="1" x14ac:dyDescent="0.3">
      <c r="A708" t="s">
        <v>1604</v>
      </c>
      <c r="B708" t="s">
        <v>689</v>
      </c>
      <c r="C708" t="s">
        <v>93</v>
      </c>
      <c r="D708" t="s">
        <v>33</v>
      </c>
      <c r="E708">
        <v>35</v>
      </c>
      <c r="F708">
        <v>59624</v>
      </c>
      <c r="G708">
        <v>9</v>
      </c>
      <c r="H708" t="s">
        <v>1605</v>
      </c>
      <c r="I708" t="s">
        <v>35</v>
      </c>
      <c r="J708" t="s">
        <v>63</v>
      </c>
      <c r="K708" t="s">
        <v>29</v>
      </c>
      <c r="L708" t="str">
        <f t="array" ref="L708">_xlfn.IFS(HR_Data[[#This Row],[Experience]]&lt;2,"0-2 Years",HR_Data[[#This Row],[Experience]]&lt;5,"2-5 Years",HR_Data[[#This Row],[Experience]]&lt;10,"5-10 Years",TRUE(),"10+ Years")</f>
        <v>5-10 Years</v>
      </c>
      <c r="M708" t="str">
        <f t="array" ref="M708">_xlfn.IFS(HR_Data[[#This Row],[Salary]]&lt;40000,"Low",HR_Data[[#This Row],[Salary]]&lt;70000,"Medium",HR_Data[[#This Row],[Salary]]&lt;100000,"High",TRUE(),"Very High")</f>
        <v>Medium</v>
      </c>
      <c r="N708" t="str">
        <f t="array" ref="N708">_xlfn.IFS(HR_Data[[#This Row],[Age]]&lt;25,"18-24",HR_Data[[#This Row],[Age]]&lt;35,"25-34",HR_Data[[#This Row],[Age]]&lt;45,"35-44",TRUE(),"45+")</f>
        <v>35-44</v>
      </c>
      <c r="O708">
        <f>YEAR(HR_Data[[#This Row],[Joining Date]])</f>
        <v>2015</v>
      </c>
      <c r="P708" t="str">
        <f>TEXT(HR_Data[[#This Row],[Joining Date]],"mmmm")</f>
        <v>June</v>
      </c>
      <c r="Q708">
        <f t="array" ref="Q708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708">
        <f>HR_Data[[#This Row],[Salary]]*HR_Data[[#This Row],[Bonus %]]</f>
        <v>11924.800000000001</v>
      </c>
      <c r="S708">
        <f>HR_Data[[#This Row],[Salary]]+HR_Data[[#This Row],[Bonus Amount]]</f>
        <v>71548.800000000003</v>
      </c>
      <c r="T708" t="str">
        <f>IF(HR_Data[[#This Row],[Attrition]]="Yes","Inactive","Active")</f>
        <v>Active</v>
      </c>
      <c r="U708" t="str">
        <f t="array" ref="U708">_xlfn.IFS(HR_Data[[#This Row],[Salary]]&gt;=100000,"A",HR_Data[[#This Row],[Salary]]&gt;=70000,"B",HR_Data[[#This Row],[Salary]]&gt;=50000,"C",TRUE(),"D")</f>
        <v>C</v>
      </c>
      <c r="V708" t="str">
        <f t="array" ref="V708">_xlfn.IFS(HR_Data[[#This Row],[Experience]]&gt;=15,"Expert",HR_Data[[#This Row],[Experience]]&gt;=8,"Senior",HR_Data[[#This Row],[Experience]]&gt;=3,"Mid-Level",TRUE(),"Junior")</f>
        <v>Senior</v>
      </c>
    </row>
    <row r="709" spans="1:22" ht="14.25" customHeight="1" x14ac:dyDescent="0.3">
      <c r="A709" t="s">
        <v>1606</v>
      </c>
      <c r="B709" t="s">
        <v>657</v>
      </c>
      <c r="C709" t="s">
        <v>93</v>
      </c>
      <c r="D709" t="s">
        <v>25</v>
      </c>
      <c r="E709">
        <v>37</v>
      </c>
      <c r="F709">
        <v>74661</v>
      </c>
      <c r="G709">
        <v>15</v>
      </c>
      <c r="H709" t="s">
        <v>1607</v>
      </c>
      <c r="I709" t="s">
        <v>27</v>
      </c>
      <c r="J709" t="s">
        <v>63</v>
      </c>
      <c r="K709" t="s">
        <v>37</v>
      </c>
      <c r="L709" t="str">
        <f t="array" ref="L709">_xlfn.IFS(HR_Data[[#This Row],[Experience]]&lt;2,"0-2 Years",HR_Data[[#This Row],[Experience]]&lt;5,"2-5 Years",HR_Data[[#This Row],[Experience]]&lt;10,"5-10 Years",TRUE(),"10+ Years")</f>
        <v>10+ Years</v>
      </c>
      <c r="M709" t="str">
        <f t="array" ref="M709">_xlfn.IFS(HR_Data[[#This Row],[Salary]]&lt;40000,"Low",HR_Data[[#This Row],[Salary]]&lt;70000,"Medium",HR_Data[[#This Row],[Salary]]&lt;100000,"High",TRUE(),"Very High")</f>
        <v>High</v>
      </c>
      <c r="N709" t="str">
        <f t="array" ref="N709">_xlfn.IFS(HR_Data[[#This Row],[Age]]&lt;25,"18-24",HR_Data[[#This Row],[Age]]&lt;35,"25-34",HR_Data[[#This Row],[Age]]&lt;45,"35-44",TRUE(),"45+")</f>
        <v>35-44</v>
      </c>
      <c r="O709">
        <f>YEAR(HR_Data[[#This Row],[Joining Date]])</f>
        <v>2023</v>
      </c>
      <c r="P709" t="str">
        <f>TEXT(HR_Data[[#This Row],[Joining Date]],"mmmm")</f>
        <v>October</v>
      </c>
      <c r="Q709">
        <f t="array" ref="Q709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709">
        <f>HR_Data[[#This Row],[Salary]]*HR_Data[[#This Row],[Bonus %]]</f>
        <v>14932.2</v>
      </c>
      <c r="S709">
        <f>HR_Data[[#This Row],[Salary]]+HR_Data[[#This Row],[Bonus Amount]]</f>
        <v>89593.2</v>
      </c>
      <c r="T709" t="str">
        <f>IF(HR_Data[[#This Row],[Attrition]]="Yes","Inactive","Active")</f>
        <v>Inactive</v>
      </c>
      <c r="U709" t="str">
        <f t="array" ref="U709">_xlfn.IFS(HR_Data[[#This Row],[Salary]]&gt;=100000,"A",HR_Data[[#This Row],[Salary]]&gt;=70000,"B",HR_Data[[#This Row],[Salary]]&gt;=50000,"C",TRUE(),"D")</f>
        <v>B</v>
      </c>
      <c r="V709" t="str">
        <f t="array" ref="V709">_xlfn.IFS(HR_Data[[#This Row],[Experience]]&gt;=15,"Expert",HR_Data[[#This Row],[Experience]]&gt;=8,"Senior",HR_Data[[#This Row],[Experience]]&gt;=3,"Mid-Level",TRUE(),"Junior")</f>
        <v>Expert</v>
      </c>
    </row>
    <row r="710" spans="1:22" ht="14.25" customHeight="1" x14ac:dyDescent="0.3">
      <c r="A710" t="s">
        <v>1608</v>
      </c>
      <c r="B710" t="s">
        <v>1186</v>
      </c>
      <c r="C710" t="s">
        <v>24</v>
      </c>
      <c r="D710" t="s">
        <v>25</v>
      </c>
      <c r="E710">
        <v>56</v>
      </c>
      <c r="F710">
        <v>132128</v>
      </c>
      <c r="G710">
        <v>31</v>
      </c>
      <c r="H710" t="s">
        <v>1609</v>
      </c>
      <c r="I710" t="s">
        <v>45</v>
      </c>
      <c r="J710" t="s">
        <v>28</v>
      </c>
      <c r="K710" t="s">
        <v>37</v>
      </c>
      <c r="L710" t="str">
        <f t="array" ref="L710">_xlfn.IFS(HR_Data[[#This Row],[Experience]]&lt;2,"0-2 Years",HR_Data[[#This Row],[Experience]]&lt;5,"2-5 Years",HR_Data[[#This Row],[Experience]]&lt;10,"5-10 Years",TRUE(),"10+ Years")</f>
        <v>10+ Years</v>
      </c>
      <c r="M710" t="str">
        <f t="array" ref="M710">_xlfn.IFS(HR_Data[[#This Row],[Salary]]&lt;40000,"Low",HR_Data[[#This Row],[Salary]]&lt;70000,"Medium",HR_Data[[#This Row],[Salary]]&lt;100000,"High",TRUE(),"Very High")</f>
        <v>Very High</v>
      </c>
      <c r="N710" t="str">
        <f t="array" ref="N710">_xlfn.IFS(HR_Data[[#This Row],[Age]]&lt;25,"18-24",HR_Data[[#This Row],[Age]]&lt;35,"25-34",HR_Data[[#This Row],[Age]]&lt;45,"35-44",TRUE(),"45+")</f>
        <v>45+</v>
      </c>
      <c r="O710">
        <f>YEAR(HR_Data[[#This Row],[Joining Date]])</f>
        <v>2025</v>
      </c>
      <c r="P710" t="str">
        <f>TEXT(HR_Data[[#This Row],[Joining Date]],"mmmm")</f>
        <v>December</v>
      </c>
      <c r="Q710">
        <f t="array" ref="Q710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710">
        <f>HR_Data[[#This Row],[Salary]]*HR_Data[[#This Row],[Bonus %]]</f>
        <v>19819.2</v>
      </c>
      <c r="S710">
        <f>HR_Data[[#This Row],[Salary]]+HR_Data[[#This Row],[Bonus Amount]]</f>
        <v>151947.20000000001</v>
      </c>
      <c r="T710" t="str">
        <f>IF(HR_Data[[#This Row],[Attrition]]="Yes","Inactive","Active")</f>
        <v>Inactive</v>
      </c>
      <c r="U710" t="str">
        <f t="array" ref="U710">_xlfn.IFS(HR_Data[[#This Row],[Salary]]&gt;=100000,"A",HR_Data[[#This Row],[Salary]]&gt;=70000,"B",HR_Data[[#This Row],[Salary]]&gt;=50000,"C",TRUE(),"D")</f>
        <v>A</v>
      </c>
      <c r="V710" t="str">
        <f t="array" ref="V710">_xlfn.IFS(HR_Data[[#This Row],[Experience]]&gt;=15,"Expert",HR_Data[[#This Row],[Experience]]&gt;=8,"Senior",HR_Data[[#This Row],[Experience]]&gt;=3,"Mid-Level",TRUE(),"Junior")</f>
        <v>Expert</v>
      </c>
    </row>
    <row r="711" spans="1:22" ht="14.25" customHeight="1" x14ac:dyDescent="0.3">
      <c r="A711" t="s">
        <v>1610</v>
      </c>
      <c r="B711" t="s">
        <v>703</v>
      </c>
      <c r="C711" t="s">
        <v>32</v>
      </c>
      <c r="D711" t="s">
        <v>33</v>
      </c>
      <c r="E711">
        <v>27</v>
      </c>
      <c r="F711">
        <v>43468</v>
      </c>
      <c r="G711">
        <v>4</v>
      </c>
      <c r="H711" t="s">
        <v>1611</v>
      </c>
      <c r="I711" t="s">
        <v>132</v>
      </c>
      <c r="J711" t="s">
        <v>63</v>
      </c>
      <c r="K711" t="s">
        <v>29</v>
      </c>
      <c r="L711" t="str">
        <f t="array" ref="L711">_xlfn.IFS(HR_Data[[#This Row],[Experience]]&lt;2,"0-2 Years",HR_Data[[#This Row],[Experience]]&lt;5,"2-5 Years",HR_Data[[#This Row],[Experience]]&lt;10,"5-10 Years",TRUE(),"10+ Years")</f>
        <v>2-5 Years</v>
      </c>
      <c r="M711" t="str">
        <f t="array" ref="M711">_xlfn.IFS(HR_Data[[#This Row],[Salary]]&lt;40000,"Low",HR_Data[[#This Row],[Salary]]&lt;70000,"Medium",HR_Data[[#This Row],[Salary]]&lt;100000,"High",TRUE(),"Very High")</f>
        <v>Medium</v>
      </c>
      <c r="N711" t="str">
        <f t="array" ref="N711">_xlfn.IFS(HR_Data[[#This Row],[Age]]&lt;25,"18-24",HR_Data[[#This Row],[Age]]&lt;35,"25-34",HR_Data[[#This Row],[Age]]&lt;45,"35-44",TRUE(),"45+")</f>
        <v>25-34</v>
      </c>
      <c r="O711">
        <f>YEAR(HR_Data[[#This Row],[Joining Date]])</f>
        <v>2025</v>
      </c>
      <c r="P711" t="str">
        <f>TEXT(HR_Data[[#This Row],[Joining Date]],"mmmm")</f>
        <v>August</v>
      </c>
      <c r="Q711">
        <f t="array" ref="Q711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711">
        <f>HR_Data[[#This Row],[Salary]]*HR_Data[[#This Row],[Bonus %]]</f>
        <v>8693.6</v>
      </c>
      <c r="S711">
        <f>HR_Data[[#This Row],[Salary]]+HR_Data[[#This Row],[Bonus Amount]]</f>
        <v>52161.599999999999</v>
      </c>
      <c r="T711" t="str">
        <f>IF(HR_Data[[#This Row],[Attrition]]="Yes","Inactive","Active")</f>
        <v>Active</v>
      </c>
      <c r="U711" t="str">
        <f t="array" ref="U711">_xlfn.IFS(HR_Data[[#This Row],[Salary]]&gt;=100000,"A",HR_Data[[#This Row],[Salary]]&gt;=70000,"B",HR_Data[[#This Row],[Salary]]&gt;=50000,"C",TRUE(),"D")</f>
        <v>D</v>
      </c>
      <c r="V711" t="str">
        <f t="array" ref="V711">_xlfn.IFS(HR_Data[[#This Row],[Experience]]&gt;=15,"Expert",HR_Data[[#This Row],[Experience]]&gt;=8,"Senior",HR_Data[[#This Row],[Experience]]&gt;=3,"Mid-Level",TRUE(),"Junior")</f>
        <v>Mid-Level</v>
      </c>
    </row>
    <row r="712" spans="1:22" ht="14.25" customHeight="1" x14ac:dyDescent="0.3">
      <c r="A712" t="s">
        <v>1612</v>
      </c>
      <c r="B712" t="s">
        <v>1391</v>
      </c>
      <c r="C712" t="s">
        <v>55</v>
      </c>
      <c r="D712" t="s">
        <v>25</v>
      </c>
      <c r="E712">
        <v>48</v>
      </c>
      <c r="F712">
        <v>80898</v>
      </c>
      <c r="G712">
        <v>18</v>
      </c>
      <c r="H712" t="s">
        <v>1613</v>
      </c>
      <c r="I712" t="s">
        <v>132</v>
      </c>
      <c r="J712" t="s">
        <v>28</v>
      </c>
      <c r="K712" t="s">
        <v>29</v>
      </c>
      <c r="L712" t="str">
        <f t="array" ref="L712">_xlfn.IFS(HR_Data[[#This Row],[Experience]]&lt;2,"0-2 Years",HR_Data[[#This Row],[Experience]]&lt;5,"2-5 Years",HR_Data[[#This Row],[Experience]]&lt;10,"5-10 Years",TRUE(),"10+ Years")</f>
        <v>10+ Years</v>
      </c>
      <c r="M712" t="str">
        <f t="array" ref="M712">_xlfn.IFS(HR_Data[[#This Row],[Salary]]&lt;40000,"Low",HR_Data[[#This Row],[Salary]]&lt;70000,"Medium",HR_Data[[#This Row],[Salary]]&lt;100000,"High",TRUE(),"Very High")</f>
        <v>High</v>
      </c>
      <c r="N712" t="str">
        <f t="array" ref="N712">_xlfn.IFS(HR_Data[[#This Row],[Age]]&lt;25,"18-24",HR_Data[[#This Row],[Age]]&lt;35,"25-34",HR_Data[[#This Row],[Age]]&lt;45,"35-44",TRUE(),"45+")</f>
        <v>45+</v>
      </c>
      <c r="O712">
        <f>YEAR(HR_Data[[#This Row],[Joining Date]])</f>
        <v>2025</v>
      </c>
      <c r="P712" t="str">
        <f>TEXT(HR_Data[[#This Row],[Joining Date]],"mmmm")</f>
        <v>July</v>
      </c>
      <c r="Q712">
        <f t="array" ref="Q712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712">
        <f>HR_Data[[#This Row],[Salary]]*HR_Data[[#This Row],[Bonus %]]</f>
        <v>12134.699999999999</v>
      </c>
      <c r="S712">
        <f>HR_Data[[#This Row],[Salary]]+HR_Data[[#This Row],[Bonus Amount]]</f>
        <v>93032.7</v>
      </c>
      <c r="T712" t="str">
        <f>IF(HR_Data[[#This Row],[Attrition]]="Yes","Inactive","Active")</f>
        <v>Active</v>
      </c>
      <c r="U712" t="str">
        <f t="array" ref="U712">_xlfn.IFS(HR_Data[[#This Row],[Salary]]&gt;=100000,"A",HR_Data[[#This Row],[Salary]]&gt;=70000,"B",HR_Data[[#This Row],[Salary]]&gt;=50000,"C",TRUE(),"D")</f>
        <v>B</v>
      </c>
      <c r="V712" t="str">
        <f t="array" ref="V712">_xlfn.IFS(HR_Data[[#This Row],[Experience]]&gt;=15,"Expert",HR_Data[[#This Row],[Experience]]&gt;=8,"Senior",HR_Data[[#This Row],[Experience]]&gt;=3,"Mid-Level",TRUE(),"Junior")</f>
        <v>Expert</v>
      </c>
    </row>
    <row r="713" spans="1:22" ht="14.25" customHeight="1" x14ac:dyDescent="0.3">
      <c r="A713" t="s">
        <v>1614</v>
      </c>
      <c r="B713" t="s">
        <v>703</v>
      </c>
      <c r="C713" t="s">
        <v>70</v>
      </c>
      <c r="D713" t="s">
        <v>33</v>
      </c>
      <c r="E713">
        <v>48</v>
      </c>
      <c r="F713">
        <v>87391</v>
      </c>
      <c r="G713">
        <v>18</v>
      </c>
      <c r="H713" t="s">
        <v>1615</v>
      </c>
      <c r="I713" t="s">
        <v>80</v>
      </c>
      <c r="J713" t="s">
        <v>46</v>
      </c>
      <c r="K713" t="s">
        <v>29</v>
      </c>
      <c r="L713" t="str">
        <f t="array" ref="L713">_xlfn.IFS(HR_Data[[#This Row],[Experience]]&lt;2,"0-2 Years",HR_Data[[#This Row],[Experience]]&lt;5,"2-5 Years",HR_Data[[#This Row],[Experience]]&lt;10,"5-10 Years",TRUE(),"10+ Years")</f>
        <v>10+ Years</v>
      </c>
      <c r="M713" t="str">
        <f t="array" ref="M713">_xlfn.IFS(HR_Data[[#This Row],[Salary]]&lt;40000,"Low",HR_Data[[#This Row],[Salary]]&lt;70000,"Medium",HR_Data[[#This Row],[Salary]]&lt;100000,"High",TRUE(),"Very High")</f>
        <v>High</v>
      </c>
      <c r="N713" t="str">
        <f t="array" ref="N713">_xlfn.IFS(HR_Data[[#This Row],[Age]]&lt;25,"18-24",HR_Data[[#This Row],[Age]]&lt;35,"25-34",HR_Data[[#This Row],[Age]]&lt;45,"35-44",TRUE(),"45+")</f>
        <v>45+</v>
      </c>
      <c r="O713">
        <f>YEAR(HR_Data[[#This Row],[Joining Date]])</f>
        <v>2024</v>
      </c>
      <c r="P713" t="str">
        <f>TEXT(HR_Data[[#This Row],[Joining Date]],"mmmm")</f>
        <v>May</v>
      </c>
      <c r="Q713">
        <f t="array" ref="Q713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713">
        <f>HR_Data[[#This Row],[Salary]]*HR_Data[[#This Row],[Bonus %]]</f>
        <v>4369.55</v>
      </c>
      <c r="S713">
        <f>HR_Data[[#This Row],[Salary]]+HR_Data[[#This Row],[Bonus Amount]]</f>
        <v>91760.55</v>
      </c>
      <c r="T713" t="str">
        <f>IF(HR_Data[[#This Row],[Attrition]]="Yes","Inactive","Active")</f>
        <v>Active</v>
      </c>
      <c r="U713" t="str">
        <f t="array" ref="U713">_xlfn.IFS(HR_Data[[#This Row],[Salary]]&gt;=100000,"A",HR_Data[[#This Row],[Salary]]&gt;=70000,"B",HR_Data[[#This Row],[Salary]]&gt;=50000,"C",TRUE(),"D")</f>
        <v>B</v>
      </c>
      <c r="V713" t="str">
        <f t="array" ref="V713">_xlfn.IFS(HR_Data[[#This Row],[Experience]]&gt;=15,"Expert",HR_Data[[#This Row],[Experience]]&gt;=8,"Senior",HR_Data[[#This Row],[Experience]]&gt;=3,"Mid-Level",TRUE(),"Junior")</f>
        <v>Expert</v>
      </c>
    </row>
    <row r="714" spans="1:22" ht="14.25" customHeight="1" x14ac:dyDescent="0.3">
      <c r="A714" t="s">
        <v>1616</v>
      </c>
      <c r="B714" t="s">
        <v>245</v>
      </c>
      <c r="C714" t="s">
        <v>32</v>
      </c>
      <c r="D714" t="s">
        <v>25</v>
      </c>
      <c r="E714">
        <v>34</v>
      </c>
      <c r="F714">
        <v>48823</v>
      </c>
      <c r="G714">
        <v>5</v>
      </c>
      <c r="H714" t="s">
        <v>1617</v>
      </c>
      <c r="I714" t="s">
        <v>80</v>
      </c>
      <c r="J714" t="s">
        <v>28</v>
      </c>
      <c r="K714" t="s">
        <v>29</v>
      </c>
      <c r="L714" t="str">
        <f t="array" ref="L714">_xlfn.IFS(HR_Data[[#This Row],[Experience]]&lt;2,"0-2 Years",HR_Data[[#This Row],[Experience]]&lt;5,"2-5 Years",HR_Data[[#This Row],[Experience]]&lt;10,"5-10 Years",TRUE(),"10+ Years")</f>
        <v>5-10 Years</v>
      </c>
      <c r="M714" t="str">
        <f t="array" ref="M714">_xlfn.IFS(HR_Data[[#This Row],[Salary]]&lt;40000,"Low",HR_Data[[#This Row],[Salary]]&lt;70000,"Medium",HR_Data[[#This Row],[Salary]]&lt;100000,"High",TRUE(),"Very High")</f>
        <v>Medium</v>
      </c>
      <c r="N714" t="str">
        <f t="array" ref="N714">_xlfn.IFS(HR_Data[[#This Row],[Age]]&lt;25,"18-24",HR_Data[[#This Row],[Age]]&lt;35,"25-34",HR_Data[[#This Row],[Age]]&lt;45,"35-44",TRUE(),"45+")</f>
        <v>25-34</v>
      </c>
      <c r="O714">
        <f>YEAR(HR_Data[[#This Row],[Joining Date]])</f>
        <v>2017</v>
      </c>
      <c r="P714" t="str">
        <f>TEXT(HR_Data[[#This Row],[Joining Date]],"mmmm")</f>
        <v>November</v>
      </c>
      <c r="Q714">
        <f t="array" ref="Q714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714">
        <f>HR_Data[[#This Row],[Salary]]*HR_Data[[#This Row],[Bonus %]]</f>
        <v>7323.45</v>
      </c>
      <c r="S714">
        <f>HR_Data[[#This Row],[Salary]]+HR_Data[[#This Row],[Bonus Amount]]</f>
        <v>56146.45</v>
      </c>
      <c r="T714" t="str">
        <f>IF(HR_Data[[#This Row],[Attrition]]="Yes","Inactive","Active")</f>
        <v>Active</v>
      </c>
      <c r="U714" t="str">
        <f t="array" ref="U714">_xlfn.IFS(HR_Data[[#This Row],[Salary]]&gt;=100000,"A",HR_Data[[#This Row],[Salary]]&gt;=70000,"B",HR_Data[[#This Row],[Salary]]&gt;=50000,"C",TRUE(),"D")</f>
        <v>D</v>
      </c>
      <c r="V714" t="str">
        <f t="array" ref="V714">_xlfn.IFS(HR_Data[[#This Row],[Experience]]&gt;=15,"Expert",HR_Data[[#This Row],[Experience]]&gt;=8,"Senior",HR_Data[[#This Row],[Experience]]&gt;=3,"Mid-Level",TRUE(),"Junior")</f>
        <v>Mid-Level</v>
      </c>
    </row>
    <row r="715" spans="1:22" ht="14.25" customHeight="1" x14ac:dyDescent="0.3">
      <c r="A715" t="s">
        <v>1618</v>
      </c>
      <c r="B715" t="s">
        <v>618</v>
      </c>
      <c r="C715" t="s">
        <v>70</v>
      </c>
      <c r="D715" t="s">
        <v>33</v>
      </c>
      <c r="E715">
        <v>37</v>
      </c>
      <c r="F715">
        <v>83246</v>
      </c>
      <c r="G715">
        <v>15</v>
      </c>
      <c r="H715" t="s">
        <v>1619</v>
      </c>
      <c r="I715" t="s">
        <v>45</v>
      </c>
      <c r="J715" t="s">
        <v>90</v>
      </c>
      <c r="K715" t="s">
        <v>29</v>
      </c>
      <c r="L715" t="str">
        <f t="array" ref="L715">_xlfn.IFS(HR_Data[[#This Row],[Experience]]&lt;2,"0-2 Years",HR_Data[[#This Row],[Experience]]&lt;5,"2-5 Years",HR_Data[[#This Row],[Experience]]&lt;10,"5-10 Years",TRUE(),"10+ Years")</f>
        <v>10+ Years</v>
      </c>
      <c r="M715" t="str">
        <f t="array" ref="M715">_xlfn.IFS(HR_Data[[#This Row],[Salary]]&lt;40000,"Low",HR_Data[[#This Row],[Salary]]&lt;70000,"Medium",HR_Data[[#This Row],[Salary]]&lt;100000,"High",TRUE(),"Very High")</f>
        <v>High</v>
      </c>
      <c r="N715" t="str">
        <f t="array" ref="N715">_xlfn.IFS(HR_Data[[#This Row],[Age]]&lt;25,"18-24",HR_Data[[#This Row],[Age]]&lt;35,"25-34",HR_Data[[#This Row],[Age]]&lt;45,"35-44",TRUE(),"45+")</f>
        <v>35-44</v>
      </c>
      <c r="O715">
        <f>YEAR(HR_Data[[#This Row],[Joining Date]])</f>
        <v>2016</v>
      </c>
      <c r="P715" t="str">
        <f>TEXT(HR_Data[[#This Row],[Joining Date]],"mmmm")</f>
        <v>January</v>
      </c>
      <c r="Q715">
        <f t="array" ref="Q715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715">
        <f>HR_Data[[#This Row],[Salary]]*HR_Data[[#This Row],[Bonus %]]</f>
        <v>0</v>
      </c>
      <c r="S715">
        <f>HR_Data[[#This Row],[Salary]]+HR_Data[[#This Row],[Bonus Amount]]</f>
        <v>83246</v>
      </c>
      <c r="T715" t="str">
        <f>IF(HR_Data[[#This Row],[Attrition]]="Yes","Inactive","Active")</f>
        <v>Active</v>
      </c>
      <c r="U715" t="str">
        <f t="array" ref="U715">_xlfn.IFS(HR_Data[[#This Row],[Salary]]&gt;=100000,"A",HR_Data[[#This Row],[Salary]]&gt;=70000,"B",HR_Data[[#This Row],[Salary]]&gt;=50000,"C",TRUE(),"D")</f>
        <v>B</v>
      </c>
      <c r="V715" t="str">
        <f t="array" ref="V715">_xlfn.IFS(HR_Data[[#This Row],[Experience]]&gt;=15,"Expert",HR_Data[[#This Row],[Experience]]&gt;=8,"Senior",HR_Data[[#This Row],[Experience]]&gt;=3,"Mid-Level",TRUE(),"Junior")</f>
        <v>Expert</v>
      </c>
    </row>
    <row r="716" spans="1:22" ht="14.25" customHeight="1" x14ac:dyDescent="0.3">
      <c r="A716" t="s">
        <v>1620</v>
      </c>
      <c r="B716" t="s">
        <v>54</v>
      </c>
      <c r="C716" t="s">
        <v>93</v>
      </c>
      <c r="D716" t="s">
        <v>25</v>
      </c>
      <c r="E716">
        <v>22</v>
      </c>
      <c r="F716">
        <v>34466</v>
      </c>
      <c r="G716">
        <v>2</v>
      </c>
      <c r="H716" t="s">
        <v>386</v>
      </c>
      <c r="I716" t="s">
        <v>67</v>
      </c>
      <c r="J716" t="s">
        <v>63</v>
      </c>
      <c r="K716" t="s">
        <v>29</v>
      </c>
      <c r="L716" t="str">
        <f t="array" ref="L716">_xlfn.IFS(HR_Data[[#This Row],[Experience]]&lt;2,"0-2 Years",HR_Data[[#This Row],[Experience]]&lt;5,"2-5 Years",HR_Data[[#This Row],[Experience]]&lt;10,"5-10 Years",TRUE(),"10+ Years")</f>
        <v>2-5 Years</v>
      </c>
      <c r="M716" t="str">
        <f t="array" ref="M716">_xlfn.IFS(HR_Data[[#This Row],[Salary]]&lt;40000,"Low",HR_Data[[#This Row],[Salary]]&lt;70000,"Medium",HR_Data[[#This Row],[Salary]]&lt;100000,"High",TRUE(),"Very High")</f>
        <v>Low</v>
      </c>
      <c r="N716" t="str">
        <f t="array" ref="N716">_xlfn.IFS(HR_Data[[#This Row],[Age]]&lt;25,"18-24",HR_Data[[#This Row],[Age]]&lt;35,"25-34",HR_Data[[#This Row],[Age]]&lt;45,"35-44",TRUE(),"45+")</f>
        <v>18-24</v>
      </c>
      <c r="O716">
        <f>YEAR(HR_Data[[#This Row],[Joining Date]])</f>
        <v>2024</v>
      </c>
      <c r="P716" t="str">
        <f>TEXT(HR_Data[[#This Row],[Joining Date]],"mmmm")</f>
        <v>August</v>
      </c>
      <c r="Q716">
        <f t="array" ref="Q716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716">
        <f>HR_Data[[#This Row],[Salary]]*HR_Data[[#This Row],[Bonus %]]</f>
        <v>6893.2000000000007</v>
      </c>
      <c r="S716">
        <f>HR_Data[[#This Row],[Salary]]+HR_Data[[#This Row],[Bonus Amount]]</f>
        <v>41359.199999999997</v>
      </c>
      <c r="T716" t="str">
        <f>IF(HR_Data[[#This Row],[Attrition]]="Yes","Inactive","Active")</f>
        <v>Active</v>
      </c>
      <c r="U716" t="str">
        <f t="array" ref="U716">_xlfn.IFS(HR_Data[[#This Row],[Salary]]&gt;=100000,"A",HR_Data[[#This Row],[Salary]]&gt;=70000,"B",HR_Data[[#This Row],[Salary]]&gt;=50000,"C",TRUE(),"D")</f>
        <v>D</v>
      </c>
      <c r="V716" t="str">
        <f t="array" ref="V716">_xlfn.IFS(HR_Data[[#This Row],[Experience]]&gt;=15,"Expert",HR_Data[[#This Row],[Experience]]&gt;=8,"Senior",HR_Data[[#This Row],[Experience]]&gt;=3,"Mid-Level",TRUE(),"Junior")</f>
        <v>Junior</v>
      </c>
    </row>
    <row r="717" spans="1:22" ht="14.25" customHeight="1" x14ac:dyDescent="0.3">
      <c r="A717" t="s">
        <v>1621</v>
      </c>
      <c r="B717" t="s">
        <v>88</v>
      </c>
      <c r="C717" t="s">
        <v>40</v>
      </c>
      <c r="D717" t="s">
        <v>33</v>
      </c>
      <c r="E717">
        <v>41</v>
      </c>
      <c r="F717">
        <v>105652</v>
      </c>
      <c r="G717">
        <v>22</v>
      </c>
      <c r="H717" t="s">
        <v>1622</v>
      </c>
      <c r="I717" t="s">
        <v>35</v>
      </c>
      <c r="J717" t="s">
        <v>46</v>
      </c>
      <c r="K717" t="s">
        <v>29</v>
      </c>
      <c r="L717" t="str">
        <f t="array" ref="L717">_xlfn.IFS(HR_Data[[#This Row],[Experience]]&lt;2,"0-2 Years",HR_Data[[#This Row],[Experience]]&lt;5,"2-5 Years",HR_Data[[#This Row],[Experience]]&lt;10,"5-10 Years",TRUE(),"10+ Years")</f>
        <v>10+ Years</v>
      </c>
      <c r="M717" t="str">
        <f t="array" ref="M717">_xlfn.IFS(HR_Data[[#This Row],[Salary]]&lt;40000,"Low",HR_Data[[#This Row],[Salary]]&lt;70000,"Medium",HR_Data[[#This Row],[Salary]]&lt;100000,"High",TRUE(),"Very High")</f>
        <v>Very High</v>
      </c>
      <c r="N717" t="str">
        <f t="array" ref="N717">_xlfn.IFS(HR_Data[[#This Row],[Age]]&lt;25,"18-24",HR_Data[[#This Row],[Age]]&lt;35,"25-34",HR_Data[[#This Row],[Age]]&lt;45,"35-44",TRUE(),"45+")</f>
        <v>35-44</v>
      </c>
      <c r="O717">
        <f>YEAR(HR_Data[[#This Row],[Joining Date]])</f>
        <v>2020</v>
      </c>
      <c r="P717" t="str">
        <f>TEXT(HR_Data[[#This Row],[Joining Date]],"mmmm")</f>
        <v>December</v>
      </c>
      <c r="Q717">
        <f t="array" ref="Q717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717">
        <f>HR_Data[[#This Row],[Salary]]*HR_Data[[#This Row],[Bonus %]]</f>
        <v>5282.6</v>
      </c>
      <c r="S717">
        <f>HR_Data[[#This Row],[Salary]]+HR_Data[[#This Row],[Bonus Amount]]</f>
        <v>110934.6</v>
      </c>
      <c r="T717" t="str">
        <f>IF(HR_Data[[#This Row],[Attrition]]="Yes","Inactive","Active")</f>
        <v>Active</v>
      </c>
      <c r="U717" t="str">
        <f t="array" ref="U717">_xlfn.IFS(HR_Data[[#This Row],[Salary]]&gt;=100000,"A",HR_Data[[#This Row],[Salary]]&gt;=70000,"B",HR_Data[[#This Row],[Salary]]&gt;=50000,"C",TRUE(),"D")</f>
        <v>A</v>
      </c>
      <c r="V717" t="str">
        <f t="array" ref="V717">_xlfn.IFS(HR_Data[[#This Row],[Experience]]&gt;=15,"Expert",HR_Data[[#This Row],[Experience]]&gt;=8,"Senior",HR_Data[[#This Row],[Experience]]&gt;=3,"Mid-Level",TRUE(),"Junior")</f>
        <v>Expert</v>
      </c>
    </row>
    <row r="718" spans="1:22" ht="14.25" customHeight="1" x14ac:dyDescent="0.3">
      <c r="A718" t="s">
        <v>1623</v>
      </c>
      <c r="B718" t="s">
        <v>69</v>
      </c>
      <c r="C718" t="s">
        <v>40</v>
      </c>
      <c r="D718" t="s">
        <v>33</v>
      </c>
      <c r="E718">
        <v>49</v>
      </c>
      <c r="F718">
        <v>113269</v>
      </c>
      <c r="G718">
        <v>29</v>
      </c>
      <c r="H718" t="s">
        <v>1624</v>
      </c>
      <c r="I718" t="s">
        <v>67</v>
      </c>
      <c r="J718" t="s">
        <v>46</v>
      </c>
      <c r="K718" t="s">
        <v>37</v>
      </c>
      <c r="L718" t="str">
        <f t="array" ref="L718">_xlfn.IFS(HR_Data[[#This Row],[Experience]]&lt;2,"0-2 Years",HR_Data[[#This Row],[Experience]]&lt;5,"2-5 Years",HR_Data[[#This Row],[Experience]]&lt;10,"5-10 Years",TRUE(),"10+ Years")</f>
        <v>10+ Years</v>
      </c>
      <c r="M718" t="str">
        <f t="array" ref="M718">_xlfn.IFS(HR_Data[[#This Row],[Salary]]&lt;40000,"Low",HR_Data[[#This Row],[Salary]]&lt;70000,"Medium",HR_Data[[#This Row],[Salary]]&lt;100000,"High",TRUE(),"Very High")</f>
        <v>Very High</v>
      </c>
      <c r="N718" t="str">
        <f t="array" ref="N718">_xlfn.IFS(HR_Data[[#This Row],[Age]]&lt;25,"18-24",HR_Data[[#This Row],[Age]]&lt;35,"25-34",HR_Data[[#This Row],[Age]]&lt;45,"35-44",TRUE(),"45+")</f>
        <v>45+</v>
      </c>
      <c r="O718">
        <f>YEAR(HR_Data[[#This Row],[Joining Date]])</f>
        <v>2017</v>
      </c>
      <c r="P718" t="str">
        <f>TEXT(HR_Data[[#This Row],[Joining Date]],"mmmm")</f>
        <v>April</v>
      </c>
      <c r="Q718">
        <f t="array" ref="Q718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718">
        <f>HR_Data[[#This Row],[Salary]]*HR_Data[[#This Row],[Bonus %]]</f>
        <v>5663.4500000000007</v>
      </c>
      <c r="S718">
        <f>HR_Data[[#This Row],[Salary]]+HR_Data[[#This Row],[Bonus Amount]]</f>
        <v>118932.45</v>
      </c>
      <c r="T718" t="str">
        <f>IF(HR_Data[[#This Row],[Attrition]]="Yes","Inactive","Active")</f>
        <v>Inactive</v>
      </c>
      <c r="U718" t="str">
        <f t="array" ref="U718">_xlfn.IFS(HR_Data[[#This Row],[Salary]]&gt;=100000,"A",HR_Data[[#This Row],[Salary]]&gt;=70000,"B",HR_Data[[#This Row],[Salary]]&gt;=50000,"C",TRUE(),"D")</f>
        <v>A</v>
      </c>
      <c r="V718" t="str">
        <f t="array" ref="V718">_xlfn.IFS(HR_Data[[#This Row],[Experience]]&gt;=15,"Expert",HR_Data[[#This Row],[Experience]]&gt;=8,"Senior",HR_Data[[#This Row],[Experience]]&gt;=3,"Mid-Level",TRUE(),"Junior")</f>
        <v>Expert</v>
      </c>
    </row>
    <row r="719" spans="1:22" ht="14.25" customHeight="1" x14ac:dyDescent="0.3">
      <c r="A719" t="s">
        <v>1625</v>
      </c>
      <c r="B719" t="s">
        <v>69</v>
      </c>
      <c r="C719" t="s">
        <v>55</v>
      </c>
      <c r="D719" t="s">
        <v>25</v>
      </c>
      <c r="E719">
        <v>40</v>
      </c>
      <c r="F719">
        <v>58572</v>
      </c>
      <c r="G719">
        <v>10</v>
      </c>
      <c r="H719" t="s">
        <v>1626</v>
      </c>
      <c r="I719" t="s">
        <v>132</v>
      </c>
      <c r="J719" t="s">
        <v>46</v>
      </c>
      <c r="K719" t="s">
        <v>29</v>
      </c>
      <c r="L719" t="str">
        <f t="array" ref="L719">_xlfn.IFS(HR_Data[[#This Row],[Experience]]&lt;2,"0-2 Years",HR_Data[[#This Row],[Experience]]&lt;5,"2-5 Years",HR_Data[[#This Row],[Experience]]&lt;10,"5-10 Years",TRUE(),"10+ Years")</f>
        <v>10+ Years</v>
      </c>
      <c r="M719" t="str">
        <f t="array" ref="M719">_xlfn.IFS(HR_Data[[#This Row],[Salary]]&lt;40000,"Low",HR_Data[[#This Row],[Salary]]&lt;70000,"Medium",HR_Data[[#This Row],[Salary]]&lt;100000,"High",TRUE(),"Very High")</f>
        <v>Medium</v>
      </c>
      <c r="N719" t="str">
        <f t="array" ref="N719">_xlfn.IFS(HR_Data[[#This Row],[Age]]&lt;25,"18-24",HR_Data[[#This Row],[Age]]&lt;35,"25-34",HR_Data[[#This Row],[Age]]&lt;45,"35-44",TRUE(),"45+")</f>
        <v>35-44</v>
      </c>
      <c r="O719">
        <f>YEAR(HR_Data[[#This Row],[Joining Date]])</f>
        <v>2024</v>
      </c>
      <c r="P719" t="str">
        <f>TEXT(HR_Data[[#This Row],[Joining Date]],"mmmm")</f>
        <v>November</v>
      </c>
      <c r="Q719">
        <f t="array" ref="Q719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719">
        <f>HR_Data[[#This Row],[Salary]]*HR_Data[[#This Row],[Bonus %]]</f>
        <v>2928.6000000000004</v>
      </c>
      <c r="S719">
        <f>HR_Data[[#This Row],[Salary]]+HR_Data[[#This Row],[Bonus Amount]]</f>
        <v>61500.6</v>
      </c>
      <c r="T719" t="str">
        <f>IF(HR_Data[[#This Row],[Attrition]]="Yes","Inactive","Active")</f>
        <v>Active</v>
      </c>
      <c r="U719" t="str">
        <f t="array" ref="U719">_xlfn.IFS(HR_Data[[#This Row],[Salary]]&gt;=100000,"A",HR_Data[[#This Row],[Salary]]&gt;=70000,"B",HR_Data[[#This Row],[Salary]]&gt;=50000,"C",TRUE(),"D")</f>
        <v>C</v>
      </c>
      <c r="V719" t="str">
        <f t="array" ref="V719">_xlfn.IFS(HR_Data[[#This Row],[Experience]]&gt;=15,"Expert",HR_Data[[#This Row],[Experience]]&gt;=8,"Senior",HR_Data[[#This Row],[Experience]]&gt;=3,"Mid-Level",TRUE(),"Junior")</f>
        <v>Senior</v>
      </c>
    </row>
    <row r="720" spans="1:22" ht="14.25" customHeight="1" x14ac:dyDescent="0.3">
      <c r="A720" t="s">
        <v>1627</v>
      </c>
      <c r="B720" t="s">
        <v>287</v>
      </c>
      <c r="C720" t="s">
        <v>134</v>
      </c>
      <c r="D720" t="s">
        <v>33</v>
      </c>
      <c r="E720">
        <v>29</v>
      </c>
      <c r="F720">
        <v>53788</v>
      </c>
      <c r="G720">
        <v>7</v>
      </c>
      <c r="H720" t="s">
        <v>1628</v>
      </c>
      <c r="I720" t="s">
        <v>42</v>
      </c>
      <c r="J720" t="s">
        <v>46</v>
      </c>
      <c r="K720" t="s">
        <v>37</v>
      </c>
      <c r="L720" t="str">
        <f t="array" ref="L720">_xlfn.IFS(HR_Data[[#This Row],[Experience]]&lt;2,"0-2 Years",HR_Data[[#This Row],[Experience]]&lt;5,"2-5 Years",HR_Data[[#This Row],[Experience]]&lt;10,"5-10 Years",TRUE(),"10+ Years")</f>
        <v>5-10 Years</v>
      </c>
      <c r="M720" t="str">
        <f t="array" ref="M720">_xlfn.IFS(HR_Data[[#This Row],[Salary]]&lt;40000,"Low",HR_Data[[#This Row],[Salary]]&lt;70000,"Medium",HR_Data[[#This Row],[Salary]]&lt;100000,"High",TRUE(),"Very High")</f>
        <v>Medium</v>
      </c>
      <c r="N720" t="str">
        <f t="array" ref="N720">_xlfn.IFS(HR_Data[[#This Row],[Age]]&lt;25,"18-24",HR_Data[[#This Row],[Age]]&lt;35,"25-34",HR_Data[[#This Row],[Age]]&lt;45,"35-44",TRUE(),"45+")</f>
        <v>25-34</v>
      </c>
      <c r="O720">
        <f>YEAR(HR_Data[[#This Row],[Joining Date]])</f>
        <v>2024</v>
      </c>
      <c r="P720" t="str">
        <f>TEXT(HR_Data[[#This Row],[Joining Date]],"mmmm")</f>
        <v>April</v>
      </c>
      <c r="Q720">
        <f t="array" ref="Q720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720">
        <f>HR_Data[[#This Row],[Salary]]*HR_Data[[#This Row],[Bonus %]]</f>
        <v>2689.4</v>
      </c>
      <c r="S720">
        <f>HR_Data[[#This Row],[Salary]]+HR_Data[[#This Row],[Bonus Amount]]</f>
        <v>56477.4</v>
      </c>
      <c r="T720" t="str">
        <f>IF(HR_Data[[#This Row],[Attrition]]="Yes","Inactive","Active")</f>
        <v>Inactive</v>
      </c>
      <c r="U720" t="str">
        <f t="array" ref="U720">_xlfn.IFS(HR_Data[[#This Row],[Salary]]&gt;=100000,"A",HR_Data[[#This Row],[Salary]]&gt;=70000,"B",HR_Data[[#This Row],[Salary]]&gt;=50000,"C",TRUE(),"D")</f>
        <v>C</v>
      </c>
      <c r="V720" t="str">
        <f t="array" ref="V720">_xlfn.IFS(HR_Data[[#This Row],[Experience]]&gt;=15,"Expert",HR_Data[[#This Row],[Experience]]&gt;=8,"Senior",HR_Data[[#This Row],[Experience]]&gt;=3,"Mid-Level",TRUE(),"Junior")</f>
        <v>Mid-Level</v>
      </c>
    </row>
    <row r="721" spans="1:22" ht="14.25" customHeight="1" x14ac:dyDescent="0.3">
      <c r="A721" t="s">
        <v>1629</v>
      </c>
      <c r="B721" t="s">
        <v>1141</v>
      </c>
      <c r="C721" t="s">
        <v>60</v>
      </c>
      <c r="D721" t="s">
        <v>33</v>
      </c>
      <c r="E721">
        <v>41</v>
      </c>
      <c r="F721">
        <v>84999</v>
      </c>
      <c r="G721">
        <v>17</v>
      </c>
      <c r="H721" t="s">
        <v>448</v>
      </c>
      <c r="I721" t="s">
        <v>62</v>
      </c>
      <c r="J721" t="s">
        <v>36</v>
      </c>
      <c r="K721" t="s">
        <v>29</v>
      </c>
      <c r="L721" t="str">
        <f t="array" ref="L721">_xlfn.IFS(HR_Data[[#This Row],[Experience]]&lt;2,"0-2 Years",HR_Data[[#This Row],[Experience]]&lt;5,"2-5 Years",HR_Data[[#This Row],[Experience]]&lt;10,"5-10 Years",TRUE(),"10+ Years")</f>
        <v>10+ Years</v>
      </c>
      <c r="M721" t="str">
        <f t="array" ref="M721">_xlfn.IFS(HR_Data[[#This Row],[Salary]]&lt;40000,"Low",HR_Data[[#This Row],[Salary]]&lt;70000,"Medium",HR_Data[[#This Row],[Salary]]&lt;100000,"High",TRUE(),"Very High")</f>
        <v>High</v>
      </c>
      <c r="N721" t="str">
        <f t="array" ref="N721">_xlfn.IFS(HR_Data[[#This Row],[Age]]&lt;25,"18-24",HR_Data[[#This Row],[Age]]&lt;35,"25-34",HR_Data[[#This Row],[Age]]&lt;45,"35-44",TRUE(),"45+")</f>
        <v>35-44</v>
      </c>
      <c r="O721">
        <f>YEAR(HR_Data[[#This Row],[Joining Date]])</f>
        <v>2023</v>
      </c>
      <c r="P721" t="str">
        <f>TEXT(HR_Data[[#This Row],[Joining Date]],"mmmm")</f>
        <v>February</v>
      </c>
      <c r="Q721">
        <f t="array" ref="Q72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21">
        <f>HR_Data[[#This Row],[Salary]]*HR_Data[[#This Row],[Bonus %]]</f>
        <v>8499.9</v>
      </c>
      <c r="S721">
        <f>HR_Data[[#This Row],[Salary]]+HR_Data[[#This Row],[Bonus Amount]]</f>
        <v>93498.9</v>
      </c>
      <c r="T721" t="str">
        <f>IF(HR_Data[[#This Row],[Attrition]]="Yes","Inactive","Active")</f>
        <v>Active</v>
      </c>
      <c r="U721" t="str">
        <f t="array" ref="U721">_xlfn.IFS(HR_Data[[#This Row],[Salary]]&gt;=100000,"A",HR_Data[[#This Row],[Salary]]&gt;=70000,"B",HR_Data[[#This Row],[Salary]]&gt;=50000,"C",TRUE(),"D")</f>
        <v>B</v>
      </c>
      <c r="V721" t="str">
        <f t="array" ref="V721">_xlfn.IFS(HR_Data[[#This Row],[Experience]]&gt;=15,"Expert",HR_Data[[#This Row],[Experience]]&gt;=8,"Senior",HR_Data[[#This Row],[Experience]]&gt;=3,"Mid-Level",TRUE(),"Junior")</f>
        <v>Expert</v>
      </c>
    </row>
    <row r="722" spans="1:22" ht="14.25" customHeight="1" x14ac:dyDescent="0.3">
      <c r="A722" t="s">
        <v>1630</v>
      </c>
      <c r="B722" t="s">
        <v>946</v>
      </c>
      <c r="C722" t="s">
        <v>40</v>
      </c>
      <c r="D722" t="s">
        <v>33</v>
      </c>
      <c r="E722">
        <v>51</v>
      </c>
      <c r="F722">
        <v>115232</v>
      </c>
      <c r="G722">
        <v>26</v>
      </c>
      <c r="H722" t="s">
        <v>274</v>
      </c>
      <c r="I722" t="s">
        <v>67</v>
      </c>
      <c r="J722" t="s">
        <v>90</v>
      </c>
      <c r="K722" t="s">
        <v>29</v>
      </c>
      <c r="L722" t="str">
        <f t="array" ref="L722">_xlfn.IFS(HR_Data[[#This Row],[Experience]]&lt;2,"0-2 Years",HR_Data[[#This Row],[Experience]]&lt;5,"2-5 Years",HR_Data[[#This Row],[Experience]]&lt;10,"5-10 Years",TRUE(),"10+ Years")</f>
        <v>10+ Years</v>
      </c>
      <c r="M722" t="str">
        <f t="array" ref="M722">_xlfn.IFS(HR_Data[[#This Row],[Salary]]&lt;40000,"Low",HR_Data[[#This Row],[Salary]]&lt;70000,"Medium",HR_Data[[#This Row],[Salary]]&lt;100000,"High",TRUE(),"Very High")</f>
        <v>Very High</v>
      </c>
      <c r="N722" t="str">
        <f t="array" ref="N722">_xlfn.IFS(HR_Data[[#This Row],[Age]]&lt;25,"18-24",HR_Data[[#This Row],[Age]]&lt;35,"25-34",HR_Data[[#This Row],[Age]]&lt;45,"35-44",TRUE(),"45+")</f>
        <v>45+</v>
      </c>
      <c r="O722">
        <f>YEAR(HR_Data[[#This Row],[Joining Date]])</f>
        <v>2023</v>
      </c>
      <c r="P722" t="str">
        <f>TEXT(HR_Data[[#This Row],[Joining Date]],"mmmm")</f>
        <v>February</v>
      </c>
      <c r="Q722">
        <f t="array" ref="Q722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722">
        <f>HR_Data[[#This Row],[Salary]]*HR_Data[[#This Row],[Bonus %]]</f>
        <v>0</v>
      </c>
      <c r="S722">
        <f>HR_Data[[#This Row],[Salary]]+HR_Data[[#This Row],[Bonus Amount]]</f>
        <v>115232</v>
      </c>
      <c r="T722" t="str">
        <f>IF(HR_Data[[#This Row],[Attrition]]="Yes","Inactive","Active")</f>
        <v>Active</v>
      </c>
      <c r="U722" t="str">
        <f t="array" ref="U722">_xlfn.IFS(HR_Data[[#This Row],[Salary]]&gt;=100000,"A",HR_Data[[#This Row],[Salary]]&gt;=70000,"B",HR_Data[[#This Row],[Salary]]&gt;=50000,"C",TRUE(),"D")</f>
        <v>A</v>
      </c>
      <c r="V722" t="str">
        <f t="array" ref="V722">_xlfn.IFS(HR_Data[[#This Row],[Experience]]&gt;=15,"Expert",HR_Data[[#This Row],[Experience]]&gt;=8,"Senior",HR_Data[[#This Row],[Experience]]&gt;=3,"Mid-Level",TRUE(),"Junior")</f>
        <v>Expert</v>
      </c>
    </row>
    <row r="723" spans="1:22" ht="14.25" customHeight="1" x14ac:dyDescent="0.3">
      <c r="A723" t="s">
        <v>1631</v>
      </c>
      <c r="B723" t="s">
        <v>483</v>
      </c>
      <c r="C723" t="s">
        <v>112</v>
      </c>
      <c r="D723" t="s">
        <v>25</v>
      </c>
      <c r="E723">
        <v>45</v>
      </c>
      <c r="F723">
        <v>86384</v>
      </c>
      <c r="G723">
        <v>20</v>
      </c>
      <c r="H723" t="s">
        <v>1632</v>
      </c>
      <c r="I723" t="s">
        <v>62</v>
      </c>
      <c r="J723" t="s">
        <v>63</v>
      </c>
      <c r="K723" t="s">
        <v>29</v>
      </c>
      <c r="L723" t="str">
        <f t="array" ref="L723">_xlfn.IFS(HR_Data[[#This Row],[Experience]]&lt;2,"0-2 Years",HR_Data[[#This Row],[Experience]]&lt;5,"2-5 Years",HR_Data[[#This Row],[Experience]]&lt;10,"5-10 Years",TRUE(),"10+ Years")</f>
        <v>10+ Years</v>
      </c>
      <c r="M723" t="str">
        <f t="array" ref="M723">_xlfn.IFS(HR_Data[[#This Row],[Salary]]&lt;40000,"Low",HR_Data[[#This Row],[Salary]]&lt;70000,"Medium",HR_Data[[#This Row],[Salary]]&lt;100000,"High",TRUE(),"Very High")</f>
        <v>High</v>
      </c>
      <c r="N723" t="str">
        <f t="array" ref="N723">_xlfn.IFS(HR_Data[[#This Row],[Age]]&lt;25,"18-24",HR_Data[[#This Row],[Age]]&lt;35,"25-34",HR_Data[[#This Row],[Age]]&lt;45,"35-44",TRUE(),"45+")</f>
        <v>45+</v>
      </c>
      <c r="O723">
        <f>YEAR(HR_Data[[#This Row],[Joining Date]])</f>
        <v>2024</v>
      </c>
      <c r="P723" t="str">
        <f>TEXT(HR_Data[[#This Row],[Joining Date]],"mmmm")</f>
        <v>September</v>
      </c>
      <c r="Q723">
        <f t="array" ref="Q723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723">
        <f>HR_Data[[#This Row],[Salary]]*HR_Data[[#This Row],[Bonus %]]</f>
        <v>17276.8</v>
      </c>
      <c r="S723">
        <f>HR_Data[[#This Row],[Salary]]+HR_Data[[#This Row],[Bonus Amount]]</f>
        <v>103660.8</v>
      </c>
      <c r="T723" t="str">
        <f>IF(HR_Data[[#This Row],[Attrition]]="Yes","Inactive","Active")</f>
        <v>Active</v>
      </c>
      <c r="U723" t="str">
        <f t="array" ref="U723">_xlfn.IFS(HR_Data[[#This Row],[Salary]]&gt;=100000,"A",HR_Data[[#This Row],[Salary]]&gt;=70000,"B",HR_Data[[#This Row],[Salary]]&gt;=50000,"C",TRUE(),"D")</f>
        <v>B</v>
      </c>
      <c r="V723" t="str">
        <f t="array" ref="V723">_xlfn.IFS(HR_Data[[#This Row],[Experience]]&gt;=15,"Expert",HR_Data[[#This Row],[Experience]]&gt;=8,"Senior",HR_Data[[#This Row],[Experience]]&gt;=3,"Mid-Level",TRUE(),"Junior")</f>
        <v>Expert</v>
      </c>
    </row>
    <row r="724" spans="1:22" ht="14.25" customHeight="1" x14ac:dyDescent="0.3">
      <c r="A724" t="s">
        <v>1633</v>
      </c>
      <c r="B724" t="s">
        <v>417</v>
      </c>
      <c r="C724" t="s">
        <v>134</v>
      </c>
      <c r="D724" t="s">
        <v>33</v>
      </c>
      <c r="E724">
        <v>54</v>
      </c>
      <c r="F724">
        <v>115140</v>
      </c>
      <c r="G724">
        <v>25</v>
      </c>
      <c r="H724" t="s">
        <v>333</v>
      </c>
      <c r="I724" t="s">
        <v>62</v>
      </c>
      <c r="J724" t="s">
        <v>36</v>
      </c>
      <c r="K724" t="s">
        <v>29</v>
      </c>
      <c r="L724" t="str">
        <f t="array" ref="L724">_xlfn.IFS(HR_Data[[#This Row],[Experience]]&lt;2,"0-2 Years",HR_Data[[#This Row],[Experience]]&lt;5,"2-5 Years",HR_Data[[#This Row],[Experience]]&lt;10,"5-10 Years",TRUE(),"10+ Years")</f>
        <v>10+ Years</v>
      </c>
      <c r="M724" t="str">
        <f t="array" ref="M724">_xlfn.IFS(HR_Data[[#This Row],[Salary]]&lt;40000,"Low",HR_Data[[#This Row],[Salary]]&lt;70000,"Medium",HR_Data[[#This Row],[Salary]]&lt;100000,"High",TRUE(),"Very High")</f>
        <v>Very High</v>
      </c>
      <c r="N724" t="str">
        <f t="array" ref="N724">_xlfn.IFS(HR_Data[[#This Row],[Age]]&lt;25,"18-24",HR_Data[[#This Row],[Age]]&lt;35,"25-34",HR_Data[[#This Row],[Age]]&lt;45,"35-44",TRUE(),"45+")</f>
        <v>45+</v>
      </c>
      <c r="O724">
        <f>YEAR(HR_Data[[#This Row],[Joining Date]])</f>
        <v>2021</v>
      </c>
      <c r="P724" t="str">
        <f>TEXT(HR_Data[[#This Row],[Joining Date]],"mmmm")</f>
        <v>October</v>
      </c>
      <c r="Q724">
        <f t="array" ref="Q724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24">
        <f>HR_Data[[#This Row],[Salary]]*HR_Data[[#This Row],[Bonus %]]</f>
        <v>11514</v>
      </c>
      <c r="S724">
        <f>HR_Data[[#This Row],[Salary]]+HR_Data[[#This Row],[Bonus Amount]]</f>
        <v>126654</v>
      </c>
      <c r="T724" t="str">
        <f>IF(HR_Data[[#This Row],[Attrition]]="Yes","Inactive","Active")</f>
        <v>Active</v>
      </c>
      <c r="U724" t="str">
        <f t="array" ref="U724">_xlfn.IFS(HR_Data[[#This Row],[Salary]]&gt;=100000,"A",HR_Data[[#This Row],[Salary]]&gt;=70000,"B",HR_Data[[#This Row],[Salary]]&gt;=50000,"C",TRUE(),"D")</f>
        <v>A</v>
      </c>
      <c r="V724" t="str">
        <f t="array" ref="V724">_xlfn.IFS(HR_Data[[#This Row],[Experience]]&gt;=15,"Expert",HR_Data[[#This Row],[Experience]]&gt;=8,"Senior",HR_Data[[#This Row],[Experience]]&gt;=3,"Mid-Level",TRUE(),"Junior")</f>
        <v>Expert</v>
      </c>
    </row>
    <row r="725" spans="1:22" ht="14.25" customHeight="1" x14ac:dyDescent="0.3">
      <c r="A725" t="s">
        <v>1634</v>
      </c>
      <c r="B725" t="s">
        <v>600</v>
      </c>
      <c r="C725" t="s">
        <v>134</v>
      </c>
      <c r="D725" t="s">
        <v>33</v>
      </c>
      <c r="E725">
        <v>57</v>
      </c>
      <c r="F725">
        <v>113321</v>
      </c>
      <c r="G725">
        <v>28</v>
      </c>
      <c r="H725" t="s">
        <v>265</v>
      </c>
      <c r="I725" t="s">
        <v>27</v>
      </c>
      <c r="J725" t="s">
        <v>36</v>
      </c>
      <c r="K725" t="s">
        <v>29</v>
      </c>
      <c r="L725" t="str">
        <f t="array" ref="L725">_xlfn.IFS(HR_Data[[#This Row],[Experience]]&lt;2,"0-2 Years",HR_Data[[#This Row],[Experience]]&lt;5,"2-5 Years",HR_Data[[#This Row],[Experience]]&lt;10,"5-10 Years",TRUE(),"10+ Years")</f>
        <v>10+ Years</v>
      </c>
      <c r="M725" t="str">
        <f t="array" ref="M725">_xlfn.IFS(HR_Data[[#This Row],[Salary]]&lt;40000,"Low",HR_Data[[#This Row],[Salary]]&lt;70000,"Medium",HR_Data[[#This Row],[Salary]]&lt;100000,"High",TRUE(),"Very High")</f>
        <v>Very High</v>
      </c>
      <c r="N725" t="str">
        <f t="array" ref="N725">_xlfn.IFS(HR_Data[[#This Row],[Age]]&lt;25,"18-24",HR_Data[[#This Row],[Age]]&lt;35,"25-34",HR_Data[[#This Row],[Age]]&lt;45,"35-44",TRUE(),"45+")</f>
        <v>45+</v>
      </c>
      <c r="O725">
        <f>YEAR(HR_Data[[#This Row],[Joining Date]])</f>
        <v>2024</v>
      </c>
      <c r="P725" t="str">
        <f>TEXT(HR_Data[[#This Row],[Joining Date]],"mmmm")</f>
        <v>December</v>
      </c>
      <c r="Q725">
        <f t="array" ref="Q72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25">
        <f>HR_Data[[#This Row],[Salary]]*HR_Data[[#This Row],[Bonus %]]</f>
        <v>11332.1</v>
      </c>
      <c r="S725">
        <f>HR_Data[[#This Row],[Salary]]+HR_Data[[#This Row],[Bonus Amount]]</f>
        <v>124653.1</v>
      </c>
      <c r="T725" t="str">
        <f>IF(HR_Data[[#This Row],[Attrition]]="Yes","Inactive","Active")</f>
        <v>Active</v>
      </c>
      <c r="U725" t="str">
        <f t="array" ref="U725">_xlfn.IFS(HR_Data[[#This Row],[Salary]]&gt;=100000,"A",HR_Data[[#This Row],[Salary]]&gt;=70000,"B",HR_Data[[#This Row],[Salary]]&gt;=50000,"C",TRUE(),"D")</f>
        <v>A</v>
      </c>
      <c r="V725" t="str">
        <f t="array" ref="V725">_xlfn.IFS(HR_Data[[#This Row],[Experience]]&gt;=15,"Expert",HR_Data[[#This Row],[Experience]]&gt;=8,"Senior",HR_Data[[#This Row],[Experience]]&gt;=3,"Mid-Level",TRUE(),"Junior")</f>
        <v>Expert</v>
      </c>
    </row>
    <row r="726" spans="1:22" ht="14.25" customHeight="1" x14ac:dyDescent="0.3">
      <c r="A726" t="s">
        <v>1635</v>
      </c>
      <c r="B726" t="s">
        <v>190</v>
      </c>
      <c r="C726" t="s">
        <v>75</v>
      </c>
      <c r="D726" t="s">
        <v>25</v>
      </c>
      <c r="E726">
        <v>58</v>
      </c>
      <c r="F726">
        <v>138579</v>
      </c>
      <c r="G726">
        <v>34</v>
      </c>
      <c r="H726" t="s">
        <v>1636</v>
      </c>
      <c r="I726" t="s">
        <v>45</v>
      </c>
      <c r="J726" t="s">
        <v>36</v>
      </c>
      <c r="K726" t="s">
        <v>29</v>
      </c>
      <c r="L726" t="str">
        <f t="array" ref="L726">_xlfn.IFS(HR_Data[[#This Row],[Experience]]&lt;2,"0-2 Years",HR_Data[[#This Row],[Experience]]&lt;5,"2-5 Years",HR_Data[[#This Row],[Experience]]&lt;10,"5-10 Years",TRUE(),"10+ Years")</f>
        <v>10+ Years</v>
      </c>
      <c r="M726" t="str">
        <f t="array" ref="M726">_xlfn.IFS(HR_Data[[#This Row],[Salary]]&lt;40000,"Low",HR_Data[[#This Row],[Salary]]&lt;70000,"Medium",HR_Data[[#This Row],[Salary]]&lt;100000,"High",TRUE(),"Very High")</f>
        <v>Very High</v>
      </c>
      <c r="N726" t="str">
        <f t="array" ref="N726">_xlfn.IFS(HR_Data[[#This Row],[Age]]&lt;25,"18-24",HR_Data[[#This Row],[Age]]&lt;35,"25-34",HR_Data[[#This Row],[Age]]&lt;45,"35-44",TRUE(),"45+")</f>
        <v>45+</v>
      </c>
      <c r="O726">
        <f>YEAR(HR_Data[[#This Row],[Joining Date]])</f>
        <v>2017</v>
      </c>
      <c r="P726" t="str">
        <f>TEXT(HR_Data[[#This Row],[Joining Date]],"mmmm")</f>
        <v>October</v>
      </c>
      <c r="Q726">
        <f t="array" ref="Q72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26">
        <f>HR_Data[[#This Row],[Salary]]*HR_Data[[#This Row],[Bonus %]]</f>
        <v>13857.900000000001</v>
      </c>
      <c r="S726">
        <f>HR_Data[[#This Row],[Salary]]+HR_Data[[#This Row],[Bonus Amount]]</f>
        <v>152436.9</v>
      </c>
      <c r="T726" t="str">
        <f>IF(HR_Data[[#This Row],[Attrition]]="Yes","Inactive","Active")</f>
        <v>Active</v>
      </c>
      <c r="U726" t="str">
        <f t="array" ref="U726">_xlfn.IFS(HR_Data[[#This Row],[Salary]]&gt;=100000,"A",HR_Data[[#This Row],[Salary]]&gt;=70000,"B",HR_Data[[#This Row],[Salary]]&gt;=50000,"C",TRUE(),"D")</f>
        <v>A</v>
      </c>
      <c r="V726" t="str">
        <f t="array" ref="V726">_xlfn.IFS(HR_Data[[#This Row],[Experience]]&gt;=15,"Expert",HR_Data[[#This Row],[Experience]]&gt;=8,"Senior",HR_Data[[#This Row],[Experience]]&gt;=3,"Mid-Level",TRUE(),"Junior")</f>
        <v>Expert</v>
      </c>
    </row>
    <row r="727" spans="1:22" ht="14.25" customHeight="1" x14ac:dyDescent="0.3">
      <c r="A727" t="s">
        <v>1637</v>
      </c>
      <c r="B727" t="s">
        <v>307</v>
      </c>
      <c r="C727" t="s">
        <v>60</v>
      </c>
      <c r="D727" t="s">
        <v>25</v>
      </c>
      <c r="E727">
        <v>50</v>
      </c>
      <c r="F727">
        <v>89443</v>
      </c>
      <c r="G727">
        <v>21</v>
      </c>
      <c r="H727" t="s">
        <v>1638</v>
      </c>
      <c r="I727" t="s">
        <v>62</v>
      </c>
      <c r="J727" t="s">
        <v>63</v>
      </c>
      <c r="K727" t="s">
        <v>29</v>
      </c>
      <c r="L727" t="str">
        <f t="array" ref="L727">_xlfn.IFS(HR_Data[[#This Row],[Experience]]&lt;2,"0-2 Years",HR_Data[[#This Row],[Experience]]&lt;5,"2-5 Years",HR_Data[[#This Row],[Experience]]&lt;10,"5-10 Years",TRUE(),"10+ Years")</f>
        <v>10+ Years</v>
      </c>
      <c r="M727" t="str">
        <f t="array" ref="M727">_xlfn.IFS(HR_Data[[#This Row],[Salary]]&lt;40000,"Low",HR_Data[[#This Row],[Salary]]&lt;70000,"Medium",HR_Data[[#This Row],[Salary]]&lt;100000,"High",TRUE(),"Very High")</f>
        <v>High</v>
      </c>
      <c r="N727" t="str">
        <f t="array" ref="N727">_xlfn.IFS(HR_Data[[#This Row],[Age]]&lt;25,"18-24",HR_Data[[#This Row],[Age]]&lt;35,"25-34",HR_Data[[#This Row],[Age]]&lt;45,"35-44",TRUE(),"45+")</f>
        <v>45+</v>
      </c>
      <c r="O727">
        <f>YEAR(HR_Data[[#This Row],[Joining Date]])</f>
        <v>2015</v>
      </c>
      <c r="P727" t="str">
        <f>TEXT(HR_Data[[#This Row],[Joining Date]],"mmmm")</f>
        <v>July</v>
      </c>
      <c r="Q727">
        <f t="array" ref="Q727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727">
        <f>HR_Data[[#This Row],[Salary]]*HR_Data[[#This Row],[Bonus %]]</f>
        <v>17888.600000000002</v>
      </c>
      <c r="S727">
        <f>HR_Data[[#This Row],[Salary]]+HR_Data[[#This Row],[Bonus Amount]]</f>
        <v>107331.6</v>
      </c>
      <c r="T727" t="str">
        <f>IF(HR_Data[[#This Row],[Attrition]]="Yes","Inactive","Active")</f>
        <v>Active</v>
      </c>
      <c r="U727" t="str">
        <f t="array" ref="U727">_xlfn.IFS(HR_Data[[#This Row],[Salary]]&gt;=100000,"A",HR_Data[[#This Row],[Salary]]&gt;=70000,"B",HR_Data[[#This Row],[Salary]]&gt;=50000,"C",TRUE(),"D")</f>
        <v>B</v>
      </c>
      <c r="V727" t="str">
        <f t="array" ref="V727">_xlfn.IFS(HR_Data[[#This Row],[Experience]]&gt;=15,"Expert",HR_Data[[#This Row],[Experience]]&gt;=8,"Senior",HR_Data[[#This Row],[Experience]]&gt;=3,"Mid-Level",TRUE(),"Junior")</f>
        <v>Expert</v>
      </c>
    </row>
    <row r="728" spans="1:22" ht="14.25" customHeight="1" x14ac:dyDescent="0.3">
      <c r="A728" t="s">
        <v>1639</v>
      </c>
      <c r="B728" t="s">
        <v>670</v>
      </c>
      <c r="C728" t="s">
        <v>40</v>
      </c>
      <c r="D728" t="s">
        <v>25</v>
      </c>
      <c r="E728">
        <v>52</v>
      </c>
      <c r="F728">
        <v>121364</v>
      </c>
      <c r="G728">
        <v>32</v>
      </c>
      <c r="H728" t="s">
        <v>1640</v>
      </c>
      <c r="I728" t="s">
        <v>80</v>
      </c>
      <c r="J728" t="s">
        <v>28</v>
      </c>
      <c r="K728" t="s">
        <v>29</v>
      </c>
      <c r="L728" t="str">
        <f t="array" ref="L728">_xlfn.IFS(HR_Data[[#This Row],[Experience]]&lt;2,"0-2 Years",HR_Data[[#This Row],[Experience]]&lt;5,"2-5 Years",HR_Data[[#This Row],[Experience]]&lt;10,"5-10 Years",TRUE(),"10+ Years")</f>
        <v>10+ Years</v>
      </c>
      <c r="M728" t="str">
        <f t="array" ref="M728">_xlfn.IFS(HR_Data[[#This Row],[Salary]]&lt;40000,"Low",HR_Data[[#This Row],[Salary]]&lt;70000,"Medium",HR_Data[[#This Row],[Salary]]&lt;100000,"High",TRUE(),"Very High")</f>
        <v>Very High</v>
      </c>
      <c r="N728" t="str">
        <f t="array" ref="N728">_xlfn.IFS(HR_Data[[#This Row],[Age]]&lt;25,"18-24",HR_Data[[#This Row],[Age]]&lt;35,"25-34",HR_Data[[#This Row],[Age]]&lt;45,"35-44",TRUE(),"45+")</f>
        <v>45+</v>
      </c>
      <c r="O728">
        <f>YEAR(HR_Data[[#This Row],[Joining Date]])</f>
        <v>2023</v>
      </c>
      <c r="P728" t="str">
        <f>TEXT(HR_Data[[#This Row],[Joining Date]],"mmmm")</f>
        <v>May</v>
      </c>
      <c r="Q728">
        <f t="array" ref="Q728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728">
        <f>HR_Data[[#This Row],[Salary]]*HR_Data[[#This Row],[Bonus %]]</f>
        <v>18204.599999999999</v>
      </c>
      <c r="S728">
        <f>HR_Data[[#This Row],[Salary]]+HR_Data[[#This Row],[Bonus Amount]]</f>
        <v>139568.6</v>
      </c>
      <c r="T728" t="str">
        <f>IF(HR_Data[[#This Row],[Attrition]]="Yes","Inactive","Active")</f>
        <v>Active</v>
      </c>
      <c r="U728" t="str">
        <f t="array" ref="U728">_xlfn.IFS(HR_Data[[#This Row],[Salary]]&gt;=100000,"A",HR_Data[[#This Row],[Salary]]&gt;=70000,"B",HR_Data[[#This Row],[Salary]]&gt;=50000,"C",TRUE(),"D")</f>
        <v>A</v>
      </c>
      <c r="V728" t="str">
        <f t="array" ref="V728">_xlfn.IFS(HR_Data[[#This Row],[Experience]]&gt;=15,"Expert",HR_Data[[#This Row],[Experience]]&gt;=8,"Senior",HR_Data[[#This Row],[Experience]]&gt;=3,"Mid-Level",TRUE(),"Junior")</f>
        <v>Expert</v>
      </c>
    </row>
    <row r="729" spans="1:22" ht="14.25" customHeight="1" x14ac:dyDescent="0.3">
      <c r="A729" t="s">
        <v>1641</v>
      </c>
      <c r="B729" t="s">
        <v>363</v>
      </c>
      <c r="C729" t="s">
        <v>24</v>
      </c>
      <c r="D729" t="s">
        <v>33</v>
      </c>
      <c r="E729">
        <v>26</v>
      </c>
      <c r="F729">
        <v>28107</v>
      </c>
      <c r="G729">
        <v>0</v>
      </c>
      <c r="H729" t="s">
        <v>1520</v>
      </c>
      <c r="I729" t="s">
        <v>67</v>
      </c>
      <c r="J729" t="s">
        <v>46</v>
      </c>
      <c r="K729" t="s">
        <v>29</v>
      </c>
      <c r="L729" t="str">
        <f t="array" ref="L729">_xlfn.IFS(HR_Data[[#This Row],[Experience]]&lt;2,"0-2 Years",HR_Data[[#This Row],[Experience]]&lt;5,"2-5 Years",HR_Data[[#This Row],[Experience]]&lt;10,"5-10 Years",TRUE(),"10+ Years")</f>
        <v>0-2 Years</v>
      </c>
      <c r="M729" t="str">
        <f t="array" ref="M729">_xlfn.IFS(HR_Data[[#This Row],[Salary]]&lt;40000,"Low",HR_Data[[#This Row],[Salary]]&lt;70000,"Medium",HR_Data[[#This Row],[Salary]]&lt;100000,"High",TRUE(),"Very High")</f>
        <v>Low</v>
      </c>
      <c r="N729" t="str">
        <f t="array" ref="N729">_xlfn.IFS(HR_Data[[#This Row],[Age]]&lt;25,"18-24",HR_Data[[#This Row],[Age]]&lt;35,"25-34",HR_Data[[#This Row],[Age]]&lt;45,"35-44",TRUE(),"45+")</f>
        <v>25-34</v>
      </c>
      <c r="O729">
        <f>YEAR(HR_Data[[#This Row],[Joining Date]])</f>
        <v>2020</v>
      </c>
      <c r="P729" t="str">
        <f>TEXT(HR_Data[[#This Row],[Joining Date]],"mmmm")</f>
        <v>April</v>
      </c>
      <c r="Q729">
        <f t="array" ref="Q729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729">
        <f>HR_Data[[#This Row],[Salary]]*HR_Data[[#This Row],[Bonus %]]</f>
        <v>1405.3500000000001</v>
      </c>
      <c r="S729">
        <f>HR_Data[[#This Row],[Salary]]+HR_Data[[#This Row],[Bonus Amount]]</f>
        <v>29512.35</v>
      </c>
      <c r="T729" t="str">
        <f>IF(HR_Data[[#This Row],[Attrition]]="Yes","Inactive","Active")</f>
        <v>Active</v>
      </c>
      <c r="U729" t="str">
        <f t="array" ref="U729">_xlfn.IFS(HR_Data[[#This Row],[Salary]]&gt;=100000,"A",HR_Data[[#This Row],[Salary]]&gt;=70000,"B",HR_Data[[#This Row],[Salary]]&gt;=50000,"C",TRUE(),"D")</f>
        <v>D</v>
      </c>
      <c r="V729" t="str">
        <f t="array" ref="V729">_xlfn.IFS(HR_Data[[#This Row],[Experience]]&gt;=15,"Expert",HR_Data[[#This Row],[Experience]]&gt;=8,"Senior",HR_Data[[#This Row],[Experience]]&gt;=3,"Mid-Level",TRUE(),"Junior")</f>
        <v>Junior</v>
      </c>
    </row>
    <row r="730" spans="1:22" ht="14.25" customHeight="1" x14ac:dyDescent="0.3">
      <c r="A730" t="s">
        <v>1642</v>
      </c>
      <c r="B730" t="s">
        <v>216</v>
      </c>
      <c r="C730" t="s">
        <v>55</v>
      </c>
      <c r="D730" t="s">
        <v>33</v>
      </c>
      <c r="E730">
        <v>42</v>
      </c>
      <c r="F730">
        <v>96568</v>
      </c>
      <c r="G730">
        <v>19</v>
      </c>
      <c r="H730" t="s">
        <v>1353</v>
      </c>
      <c r="I730" t="s">
        <v>67</v>
      </c>
      <c r="J730" t="s">
        <v>36</v>
      </c>
      <c r="K730" t="s">
        <v>29</v>
      </c>
      <c r="L730" t="str">
        <f t="array" ref="L730">_xlfn.IFS(HR_Data[[#This Row],[Experience]]&lt;2,"0-2 Years",HR_Data[[#This Row],[Experience]]&lt;5,"2-5 Years",HR_Data[[#This Row],[Experience]]&lt;10,"5-10 Years",TRUE(),"10+ Years")</f>
        <v>10+ Years</v>
      </c>
      <c r="M730" t="str">
        <f t="array" ref="M730">_xlfn.IFS(HR_Data[[#This Row],[Salary]]&lt;40000,"Low",HR_Data[[#This Row],[Salary]]&lt;70000,"Medium",HR_Data[[#This Row],[Salary]]&lt;100000,"High",TRUE(),"Very High")</f>
        <v>High</v>
      </c>
      <c r="N730" t="str">
        <f t="array" ref="N730">_xlfn.IFS(HR_Data[[#This Row],[Age]]&lt;25,"18-24",HR_Data[[#This Row],[Age]]&lt;35,"25-34",HR_Data[[#This Row],[Age]]&lt;45,"35-44",TRUE(),"45+")</f>
        <v>35-44</v>
      </c>
      <c r="O730">
        <f>YEAR(HR_Data[[#This Row],[Joining Date]])</f>
        <v>2018</v>
      </c>
      <c r="P730" t="str">
        <f>TEXT(HR_Data[[#This Row],[Joining Date]],"mmmm")</f>
        <v>February</v>
      </c>
      <c r="Q730">
        <f t="array" ref="Q73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30">
        <f>HR_Data[[#This Row],[Salary]]*HR_Data[[#This Row],[Bonus %]]</f>
        <v>9656.8000000000011</v>
      </c>
      <c r="S730">
        <f>HR_Data[[#This Row],[Salary]]+HR_Data[[#This Row],[Bonus Amount]]</f>
        <v>106224.8</v>
      </c>
      <c r="T730" t="str">
        <f>IF(HR_Data[[#This Row],[Attrition]]="Yes","Inactive","Active")</f>
        <v>Active</v>
      </c>
      <c r="U730" t="str">
        <f t="array" ref="U730">_xlfn.IFS(HR_Data[[#This Row],[Salary]]&gt;=100000,"A",HR_Data[[#This Row],[Salary]]&gt;=70000,"B",HR_Data[[#This Row],[Salary]]&gt;=50000,"C",TRUE(),"D")</f>
        <v>B</v>
      </c>
      <c r="V730" t="str">
        <f t="array" ref="V730">_xlfn.IFS(HR_Data[[#This Row],[Experience]]&gt;=15,"Expert",HR_Data[[#This Row],[Experience]]&gt;=8,"Senior",HR_Data[[#This Row],[Experience]]&gt;=3,"Mid-Level",TRUE(),"Junior")</f>
        <v>Expert</v>
      </c>
    </row>
    <row r="731" spans="1:22" ht="14.25" customHeight="1" x14ac:dyDescent="0.3">
      <c r="A731" t="s">
        <v>1643</v>
      </c>
      <c r="B731" t="s">
        <v>891</v>
      </c>
      <c r="C731" t="s">
        <v>70</v>
      </c>
      <c r="D731" t="s">
        <v>25</v>
      </c>
      <c r="E731">
        <v>49</v>
      </c>
      <c r="F731">
        <v>114602</v>
      </c>
      <c r="G731">
        <v>29</v>
      </c>
      <c r="H731" t="s">
        <v>1304</v>
      </c>
      <c r="I731" t="s">
        <v>57</v>
      </c>
      <c r="J731" t="s">
        <v>46</v>
      </c>
      <c r="K731" t="s">
        <v>37</v>
      </c>
      <c r="L731" t="str">
        <f t="array" ref="L731">_xlfn.IFS(HR_Data[[#This Row],[Experience]]&lt;2,"0-2 Years",HR_Data[[#This Row],[Experience]]&lt;5,"2-5 Years",HR_Data[[#This Row],[Experience]]&lt;10,"5-10 Years",TRUE(),"10+ Years")</f>
        <v>10+ Years</v>
      </c>
      <c r="M731" t="str">
        <f t="array" ref="M731">_xlfn.IFS(HR_Data[[#This Row],[Salary]]&lt;40000,"Low",HR_Data[[#This Row],[Salary]]&lt;70000,"Medium",HR_Data[[#This Row],[Salary]]&lt;100000,"High",TRUE(),"Very High")</f>
        <v>Very High</v>
      </c>
      <c r="N731" t="str">
        <f t="array" ref="N731">_xlfn.IFS(HR_Data[[#This Row],[Age]]&lt;25,"18-24",HR_Data[[#This Row],[Age]]&lt;35,"25-34",HR_Data[[#This Row],[Age]]&lt;45,"35-44",TRUE(),"45+")</f>
        <v>45+</v>
      </c>
      <c r="O731">
        <f>YEAR(HR_Data[[#This Row],[Joining Date]])</f>
        <v>2024</v>
      </c>
      <c r="P731" t="str">
        <f>TEXT(HR_Data[[#This Row],[Joining Date]],"mmmm")</f>
        <v>July</v>
      </c>
      <c r="Q731">
        <f t="array" ref="Q731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731">
        <f>HR_Data[[#This Row],[Salary]]*HR_Data[[#This Row],[Bonus %]]</f>
        <v>5730.1</v>
      </c>
      <c r="S731">
        <f>HR_Data[[#This Row],[Salary]]+HR_Data[[#This Row],[Bonus Amount]]</f>
        <v>120332.1</v>
      </c>
      <c r="T731" t="str">
        <f>IF(HR_Data[[#This Row],[Attrition]]="Yes","Inactive","Active")</f>
        <v>Inactive</v>
      </c>
      <c r="U731" t="str">
        <f t="array" ref="U731">_xlfn.IFS(HR_Data[[#This Row],[Salary]]&gt;=100000,"A",HR_Data[[#This Row],[Salary]]&gt;=70000,"B",HR_Data[[#This Row],[Salary]]&gt;=50000,"C",TRUE(),"D")</f>
        <v>A</v>
      </c>
      <c r="V731" t="str">
        <f t="array" ref="V731">_xlfn.IFS(HR_Data[[#This Row],[Experience]]&gt;=15,"Expert",HR_Data[[#This Row],[Experience]]&gt;=8,"Senior",HR_Data[[#This Row],[Experience]]&gt;=3,"Mid-Level",TRUE(),"Junior")</f>
        <v>Expert</v>
      </c>
    </row>
    <row r="732" spans="1:22" ht="14.25" customHeight="1" x14ac:dyDescent="0.3">
      <c r="A732" t="s">
        <v>1644</v>
      </c>
      <c r="B732" t="s">
        <v>1099</v>
      </c>
      <c r="C732" t="s">
        <v>24</v>
      </c>
      <c r="D732" t="s">
        <v>25</v>
      </c>
      <c r="E732">
        <v>48</v>
      </c>
      <c r="F732">
        <v>118701</v>
      </c>
      <c r="G732">
        <v>28</v>
      </c>
      <c r="H732" t="s">
        <v>1645</v>
      </c>
      <c r="I732" t="s">
        <v>62</v>
      </c>
      <c r="J732" t="s">
        <v>36</v>
      </c>
      <c r="K732" t="s">
        <v>29</v>
      </c>
      <c r="L732" t="str">
        <f t="array" ref="L732">_xlfn.IFS(HR_Data[[#This Row],[Experience]]&lt;2,"0-2 Years",HR_Data[[#This Row],[Experience]]&lt;5,"2-5 Years",HR_Data[[#This Row],[Experience]]&lt;10,"5-10 Years",TRUE(),"10+ Years")</f>
        <v>10+ Years</v>
      </c>
      <c r="M732" t="str">
        <f t="array" ref="M732">_xlfn.IFS(HR_Data[[#This Row],[Salary]]&lt;40000,"Low",HR_Data[[#This Row],[Salary]]&lt;70000,"Medium",HR_Data[[#This Row],[Salary]]&lt;100000,"High",TRUE(),"Very High")</f>
        <v>Very High</v>
      </c>
      <c r="N732" t="str">
        <f t="array" ref="N732">_xlfn.IFS(HR_Data[[#This Row],[Age]]&lt;25,"18-24",HR_Data[[#This Row],[Age]]&lt;35,"25-34",HR_Data[[#This Row],[Age]]&lt;45,"35-44",TRUE(),"45+")</f>
        <v>45+</v>
      </c>
      <c r="O732">
        <f>YEAR(HR_Data[[#This Row],[Joining Date]])</f>
        <v>2024</v>
      </c>
      <c r="P732" t="str">
        <f>TEXT(HR_Data[[#This Row],[Joining Date]],"mmmm")</f>
        <v>January</v>
      </c>
      <c r="Q732">
        <f t="array" ref="Q73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32">
        <f>HR_Data[[#This Row],[Salary]]*HR_Data[[#This Row],[Bonus %]]</f>
        <v>11870.1</v>
      </c>
      <c r="S732">
        <f>HR_Data[[#This Row],[Salary]]+HR_Data[[#This Row],[Bonus Amount]]</f>
        <v>130571.1</v>
      </c>
      <c r="T732" t="str">
        <f>IF(HR_Data[[#This Row],[Attrition]]="Yes","Inactive","Active")</f>
        <v>Active</v>
      </c>
      <c r="U732" t="str">
        <f t="array" ref="U732">_xlfn.IFS(HR_Data[[#This Row],[Salary]]&gt;=100000,"A",HR_Data[[#This Row],[Salary]]&gt;=70000,"B",HR_Data[[#This Row],[Salary]]&gt;=50000,"C",TRUE(),"D")</f>
        <v>A</v>
      </c>
      <c r="V732" t="str">
        <f t="array" ref="V732">_xlfn.IFS(HR_Data[[#This Row],[Experience]]&gt;=15,"Expert",HR_Data[[#This Row],[Experience]]&gt;=8,"Senior",HR_Data[[#This Row],[Experience]]&gt;=3,"Mid-Level",TRUE(),"Junior")</f>
        <v>Expert</v>
      </c>
    </row>
    <row r="733" spans="1:22" ht="14.25" customHeight="1" x14ac:dyDescent="0.3">
      <c r="A733" t="s">
        <v>1646</v>
      </c>
      <c r="B733" t="s">
        <v>182</v>
      </c>
      <c r="C733" t="s">
        <v>93</v>
      </c>
      <c r="D733" t="s">
        <v>33</v>
      </c>
      <c r="E733">
        <v>58</v>
      </c>
      <c r="F733">
        <v>122641</v>
      </c>
      <c r="G733">
        <v>28</v>
      </c>
      <c r="H733" t="s">
        <v>1235</v>
      </c>
      <c r="I733" t="s">
        <v>45</v>
      </c>
      <c r="J733" t="s">
        <v>46</v>
      </c>
      <c r="K733" t="s">
        <v>29</v>
      </c>
      <c r="L733" t="str">
        <f t="array" ref="L733">_xlfn.IFS(HR_Data[[#This Row],[Experience]]&lt;2,"0-2 Years",HR_Data[[#This Row],[Experience]]&lt;5,"2-5 Years",HR_Data[[#This Row],[Experience]]&lt;10,"5-10 Years",TRUE(),"10+ Years")</f>
        <v>10+ Years</v>
      </c>
      <c r="M733" t="str">
        <f t="array" ref="M733">_xlfn.IFS(HR_Data[[#This Row],[Salary]]&lt;40000,"Low",HR_Data[[#This Row],[Salary]]&lt;70000,"Medium",HR_Data[[#This Row],[Salary]]&lt;100000,"High",TRUE(),"Very High")</f>
        <v>Very High</v>
      </c>
      <c r="N733" t="str">
        <f t="array" ref="N733">_xlfn.IFS(HR_Data[[#This Row],[Age]]&lt;25,"18-24",HR_Data[[#This Row],[Age]]&lt;35,"25-34",HR_Data[[#This Row],[Age]]&lt;45,"35-44",TRUE(),"45+")</f>
        <v>45+</v>
      </c>
      <c r="O733">
        <f>YEAR(HR_Data[[#This Row],[Joining Date]])</f>
        <v>2024</v>
      </c>
      <c r="P733" t="str">
        <f>TEXT(HR_Data[[#This Row],[Joining Date]],"mmmm")</f>
        <v>May</v>
      </c>
      <c r="Q733">
        <f t="array" ref="Q733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733">
        <f>HR_Data[[#This Row],[Salary]]*HR_Data[[#This Row],[Bonus %]]</f>
        <v>6132.05</v>
      </c>
      <c r="S733">
        <f>HR_Data[[#This Row],[Salary]]+HR_Data[[#This Row],[Bonus Amount]]</f>
        <v>128773.05</v>
      </c>
      <c r="T733" t="str">
        <f>IF(HR_Data[[#This Row],[Attrition]]="Yes","Inactive","Active")</f>
        <v>Active</v>
      </c>
      <c r="U733" t="str">
        <f t="array" ref="U733">_xlfn.IFS(HR_Data[[#This Row],[Salary]]&gt;=100000,"A",HR_Data[[#This Row],[Salary]]&gt;=70000,"B",HR_Data[[#This Row],[Salary]]&gt;=50000,"C",TRUE(),"D")</f>
        <v>A</v>
      </c>
      <c r="V733" t="str">
        <f t="array" ref="V733">_xlfn.IFS(HR_Data[[#This Row],[Experience]]&gt;=15,"Expert",HR_Data[[#This Row],[Experience]]&gt;=8,"Senior",HR_Data[[#This Row],[Experience]]&gt;=3,"Mid-Level",TRUE(),"Junior")</f>
        <v>Expert</v>
      </c>
    </row>
    <row r="734" spans="1:22" ht="14.25" customHeight="1" x14ac:dyDescent="0.3">
      <c r="A734" t="s">
        <v>1647</v>
      </c>
      <c r="B734" t="s">
        <v>528</v>
      </c>
      <c r="C734" t="s">
        <v>40</v>
      </c>
      <c r="D734" t="s">
        <v>25</v>
      </c>
      <c r="E734">
        <v>53</v>
      </c>
      <c r="F734">
        <v>129567</v>
      </c>
      <c r="G734">
        <v>33</v>
      </c>
      <c r="H734" t="s">
        <v>1116</v>
      </c>
      <c r="I734" t="s">
        <v>42</v>
      </c>
      <c r="J734" t="s">
        <v>36</v>
      </c>
      <c r="K734" t="s">
        <v>29</v>
      </c>
      <c r="L734" t="str">
        <f t="array" ref="L734">_xlfn.IFS(HR_Data[[#This Row],[Experience]]&lt;2,"0-2 Years",HR_Data[[#This Row],[Experience]]&lt;5,"2-5 Years",HR_Data[[#This Row],[Experience]]&lt;10,"5-10 Years",TRUE(),"10+ Years")</f>
        <v>10+ Years</v>
      </c>
      <c r="M734" t="str">
        <f t="array" ref="M734">_xlfn.IFS(HR_Data[[#This Row],[Salary]]&lt;40000,"Low",HR_Data[[#This Row],[Salary]]&lt;70000,"Medium",HR_Data[[#This Row],[Salary]]&lt;100000,"High",TRUE(),"Very High")</f>
        <v>Very High</v>
      </c>
      <c r="N734" t="str">
        <f t="array" ref="N734">_xlfn.IFS(HR_Data[[#This Row],[Age]]&lt;25,"18-24",HR_Data[[#This Row],[Age]]&lt;35,"25-34",HR_Data[[#This Row],[Age]]&lt;45,"35-44",TRUE(),"45+")</f>
        <v>45+</v>
      </c>
      <c r="O734">
        <f>YEAR(HR_Data[[#This Row],[Joining Date]])</f>
        <v>2025</v>
      </c>
      <c r="P734" t="str">
        <f>TEXT(HR_Data[[#This Row],[Joining Date]],"mmmm")</f>
        <v>March</v>
      </c>
      <c r="Q734">
        <f t="array" ref="Q734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34">
        <f>HR_Data[[#This Row],[Salary]]*HR_Data[[#This Row],[Bonus %]]</f>
        <v>12956.7</v>
      </c>
      <c r="S734">
        <f>HR_Data[[#This Row],[Salary]]+HR_Data[[#This Row],[Bonus Amount]]</f>
        <v>142523.70000000001</v>
      </c>
      <c r="T734" t="str">
        <f>IF(HR_Data[[#This Row],[Attrition]]="Yes","Inactive","Active")</f>
        <v>Active</v>
      </c>
      <c r="U734" t="str">
        <f t="array" ref="U734">_xlfn.IFS(HR_Data[[#This Row],[Salary]]&gt;=100000,"A",HR_Data[[#This Row],[Salary]]&gt;=70000,"B",HR_Data[[#This Row],[Salary]]&gt;=50000,"C",TRUE(),"D")</f>
        <v>A</v>
      </c>
      <c r="V734" t="str">
        <f t="array" ref="V734">_xlfn.IFS(HR_Data[[#This Row],[Experience]]&gt;=15,"Expert",HR_Data[[#This Row],[Experience]]&gt;=8,"Senior",HR_Data[[#This Row],[Experience]]&gt;=3,"Mid-Level",TRUE(),"Junior")</f>
        <v>Expert</v>
      </c>
    </row>
    <row r="735" spans="1:22" ht="14.25" customHeight="1" x14ac:dyDescent="0.3">
      <c r="A735" t="s">
        <v>1648</v>
      </c>
      <c r="B735" t="s">
        <v>1649</v>
      </c>
      <c r="C735" t="s">
        <v>55</v>
      </c>
      <c r="D735" t="s">
        <v>25</v>
      </c>
      <c r="E735">
        <v>31</v>
      </c>
      <c r="F735">
        <v>58135</v>
      </c>
      <c r="G735">
        <v>7</v>
      </c>
      <c r="H735" t="s">
        <v>1650</v>
      </c>
      <c r="I735" t="s">
        <v>80</v>
      </c>
      <c r="J735" t="s">
        <v>63</v>
      </c>
      <c r="K735" t="s">
        <v>29</v>
      </c>
      <c r="L735" t="str">
        <f t="array" ref="L735">_xlfn.IFS(HR_Data[[#This Row],[Experience]]&lt;2,"0-2 Years",HR_Data[[#This Row],[Experience]]&lt;5,"2-5 Years",HR_Data[[#This Row],[Experience]]&lt;10,"5-10 Years",TRUE(),"10+ Years")</f>
        <v>5-10 Years</v>
      </c>
      <c r="M735" t="str">
        <f t="array" ref="M735">_xlfn.IFS(HR_Data[[#This Row],[Salary]]&lt;40000,"Low",HR_Data[[#This Row],[Salary]]&lt;70000,"Medium",HR_Data[[#This Row],[Salary]]&lt;100000,"High",TRUE(),"Very High")</f>
        <v>Medium</v>
      </c>
      <c r="N735" t="str">
        <f t="array" ref="N735">_xlfn.IFS(HR_Data[[#This Row],[Age]]&lt;25,"18-24",HR_Data[[#This Row],[Age]]&lt;35,"25-34",HR_Data[[#This Row],[Age]]&lt;45,"35-44",TRUE(),"45+")</f>
        <v>25-34</v>
      </c>
      <c r="O735">
        <f>YEAR(HR_Data[[#This Row],[Joining Date]])</f>
        <v>2021</v>
      </c>
      <c r="P735" t="str">
        <f>TEXT(HR_Data[[#This Row],[Joining Date]],"mmmm")</f>
        <v>June</v>
      </c>
      <c r="Q735">
        <f t="array" ref="Q735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735">
        <f>HR_Data[[#This Row],[Salary]]*HR_Data[[#This Row],[Bonus %]]</f>
        <v>11627</v>
      </c>
      <c r="S735">
        <f>HR_Data[[#This Row],[Salary]]+HR_Data[[#This Row],[Bonus Amount]]</f>
        <v>69762</v>
      </c>
      <c r="T735" t="str">
        <f>IF(HR_Data[[#This Row],[Attrition]]="Yes","Inactive","Active")</f>
        <v>Active</v>
      </c>
      <c r="U735" t="str">
        <f t="array" ref="U735">_xlfn.IFS(HR_Data[[#This Row],[Salary]]&gt;=100000,"A",HR_Data[[#This Row],[Salary]]&gt;=70000,"B",HR_Data[[#This Row],[Salary]]&gt;=50000,"C",TRUE(),"D")</f>
        <v>C</v>
      </c>
      <c r="V735" t="str">
        <f t="array" ref="V735">_xlfn.IFS(HR_Data[[#This Row],[Experience]]&gt;=15,"Expert",HR_Data[[#This Row],[Experience]]&gt;=8,"Senior",HR_Data[[#This Row],[Experience]]&gt;=3,"Mid-Level",TRUE(),"Junior")</f>
        <v>Mid-Level</v>
      </c>
    </row>
    <row r="736" spans="1:22" ht="14.25" customHeight="1" x14ac:dyDescent="0.3">
      <c r="A736" t="s">
        <v>1651</v>
      </c>
      <c r="B736" t="s">
        <v>234</v>
      </c>
      <c r="C736" t="s">
        <v>60</v>
      </c>
      <c r="D736" t="s">
        <v>33</v>
      </c>
      <c r="E736">
        <v>50</v>
      </c>
      <c r="F736">
        <v>120881</v>
      </c>
      <c r="G736">
        <v>31</v>
      </c>
      <c r="H736" t="s">
        <v>1652</v>
      </c>
      <c r="I736" t="s">
        <v>35</v>
      </c>
      <c r="J736" t="s">
        <v>46</v>
      </c>
      <c r="K736" t="s">
        <v>29</v>
      </c>
      <c r="L736" t="str">
        <f t="array" ref="L736">_xlfn.IFS(HR_Data[[#This Row],[Experience]]&lt;2,"0-2 Years",HR_Data[[#This Row],[Experience]]&lt;5,"2-5 Years",HR_Data[[#This Row],[Experience]]&lt;10,"5-10 Years",TRUE(),"10+ Years")</f>
        <v>10+ Years</v>
      </c>
      <c r="M736" t="str">
        <f t="array" ref="M736">_xlfn.IFS(HR_Data[[#This Row],[Salary]]&lt;40000,"Low",HR_Data[[#This Row],[Salary]]&lt;70000,"Medium",HR_Data[[#This Row],[Salary]]&lt;100000,"High",TRUE(),"Very High")</f>
        <v>Very High</v>
      </c>
      <c r="N736" t="str">
        <f t="array" ref="N736">_xlfn.IFS(HR_Data[[#This Row],[Age]]&lt;25,"18-24",HR_Data[[#This Row],[Age]]&lt;35,"25-34",HR_Data[[#This Row],[Age]]&lt;45,"35-44",TRUE(),"45+")</f>
        <v>45+</v>
      </c>
      <c r="O736">
        <f>YEAR(HR_Data[[#This Row],[Joining Date]])</f>
        <v>2018</v>
      </c>
      <c r="P736" t="str">
        <f>TEXT(HR_Data[[#This Row],[Joining Date]],"mmmm")</f>
        <v>March</v>
      </c>
      <c r="Q736">
        <f t="array" ref="Q736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736">
        <f>HR_Data[[#This Row],[Salary]]*HR_Data[[#This Row],[Bonus %]]</f>
        <v>6044.05</v>
      </c>
      <c r="S736">
        <f>HR_Data[[#This Row],[Salary]]+HR_Data[[#This Row],[Bonus Amount]]</f>
        <v>126925.05</v>
      </c>
      <c r="T736" t="str">
        <f>IF(HR_Data[[#This Row],[Attrition]]="Yes","Inactive","Active")</f>
        <v>Active</v>
      </c>
      <c r="U736" t="str">
        <f t="array" ref="U736">_xlfn.IFS(HR_Data[[#This Row],[Salary]]&gt;=100000,"A",HR_Data[[#This Row],[Salary]]&gt;=70000,"B",HR_Data[[#This Row],[Salary]]&gt;=50000,"C",TRUE(),"D")</f>
        <v>A</v>
      </c>
      <c r="V736" t="str">
        <f t="array" ref="V736">_xlfn.IFS(HR_Data[[#This Row],[Experience]]&gt;=15,"Expert",HR_Data[[#This Row],[Experience]]&gt;=8,"Senior",HR_Data[[#This Row],[Experience]]&gt;=3,"Mid-Level",TRUE(),"Junior")</f>
        <v>Expert</v>
      </c>
    </row>
    <row r="737" spans="1:22" ht="14.25" customHeight="1" x14ac:dyDescent="0.3">
      <c r="A737" t="s">
        <v>1653</v>
      </c>
      <c r="B737" t="s">
        <v>378</v>
      </c>
      <c r="C737" t="s">
        <v>134</v>
      </c>
      <c r="D737" t="s">
        <v>25</v>
      </c>
      <c r="E737">
        <v>21</v>
      </c>
      <c r="F737">
        <v>34941</v>
      </c>
      <c r="G737">
        <v>0</v>
      </c>
      <c r="H737" t="s">
        <v>1654</v>
      </c>
      <c r="I737" t="s">
        <v>67</v>
      </c>
      <c r="J737" t="s">
        <v>63</v>
      </c>
      <c r="K737" t="s">
        <v>37</v>
      </c>
      <c r="L737" t="str">
        <f t="array" ref="L737">_xlfn.IFS(HR_Data[[#This Row],[Experience]]&lt;2,"0-2 Years",HR_Data[[#This Row],[Experience]]&lt;5,"2-5 Years",HR_Data[[#This Row],[Experience]]&lt;10,"5-10 Years",TRUE(),"10+ Years")</f>
        <v>0-2 Years</v>
      </c>
      <c r="M737" t="str">
        <f t="array" ref="M737">_xlfn.IFS(HR_Data[[#This Row],[Salary]]&lt;40000,"Low",HR_Data[[#This Row],[Salary]]&lt;70000,"Medium",HR_Data[[#This Row],[Salary]]&lt;100000,"High",TRUE(),"Very High")</f>
        <v>Low</v>
      </c>
      <c r="N737" t="str">
        <f t="array" ref="N737">_xlfn.IFS(HR_Data[[#This Row],[Age]]&lt;25,"18-24",HR_Data[[#This Row],[Age]]&lt;35,"25-34",HR_Data[[#This Row],[Age]]&lt;45,"35-44",TRUE(),"45+")</f>
        <v>18-24</v>
      </c>
      <c r="O737">
        <f>YEAR(HR_Data[[#This Row],[Joining Date]])</f>
        <v>2022</v>
      </c>
      <c r="P737" t="str">
        <f>TEXT(HR_Data[[#This Row],[Joining Date]],"mmmm")</f>
        <v>October</v>
      </c>
      <c r="Q737">
        <f t="array" ref="Q737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737">
        <f>HR_Data[[#This Row],[Salary]]*HR_Data[[#This Row],[Bonus %]]</f>
        <v>6988.2000000000007</v>
      </c>
      <c r="S737">
        <f>HR_Data[[#This Row],[Salary]]+HR_Data[[#This Row],[Bonus Amount]]</f>
        <v>41929.199999999997</v>
      </c>
      <c r="T737" t="str">
        <f>IF(HR_Data[[#This Row],[Attrition]]="Yes","Inactive","Active")</f>
        <v>Inactive</v>
      </c>
      <c r="U737" t="str">
        <f t="array" ref="U737">_xlfn.IFS(HR_Data[[#This Row],[Salary]]&gt;=100000,"A",HR_Data[[#This Row],[Salary]]&gt;=70000,"B",HR_Data[[#This Row],[Salary]]&gt;=50000,"C",TRUE(),"D")</f>
        <v>D</v>
      </c>
      <c r="V737" t="str">
        <f t="array" ref="V737">_xlfn.IFS(HR_Data[[#This Row],[Experience]]&gt;=15,"Expert",HR_Data[[#This Row],[Experience]]&gt;=8,"Senior",HR_Data[[#This Row],[Experience]]&gt;=3,"Mid-Level",TRUE(),"Junior")</f>
        <v>Junior</v>
      </c>
    </row>
    <row r="738" spans="1:22" ht="14.25" customHeight="1" x14ac:dyDescent="0.3">
      <c r="A738" t="s">
        <v>1655</v>
      </c>
      <c r="B738" t="s">
        <v>689</v>
      </c>
      <c r="C738" t="s">
        <v>93</v>
      </c>
      <c r="D738" t="s">
        <v>33</v>
      </c>
      <c r="E738">
        <v>50</v>
      </c>
      <c r="F738">
        <v>113647</v>
      </c>
      <c r="G738">
        <v>24</v>
      </c>
      <c r="H738" t="s">
        <v>716</v>
      </c>
      <c r="I738" t="s">
        <v>67</v>
      </c>
      <c r="J738" t="s">
        <v>46</v>
      </c>
      <c r="K738" t="s">
        <v>29</v>
      </c>
      <c r="L738" t="str">
        <f t="array" ref="L738">_xlfn.IFS(HR_Data[[#This Row],[Experience]]&lt;2,"0-2 Years",HR_Data[[#This Row],[Experience]]&lt;5,"2-5 Years",HR_Data[[#This Row],[Experience]]&lt;10,"5-10 Years",TRUE(),"10+ Years")</f>
        <v>10+ Years</v>
      </c>
      <c r="M738" t="str">
        <f t="array" ref="M738">_xlfn.IFS(HR_Data[[#This Row],[Salary]]&lt;40000,"Low",HR_Data[[#This Row],[Salary]]&lt;70000,"Medium",HR_Data[[#This Row],[Salary]]&lt;100000,"High",TRUE(),"Very High")</f>
        <v>Very High</v>
      </c>
      <c r="N738" t="str">
        <f t="array" ref="N738">_xlfn.IFS(HR_Data[[#This Row],[Age]]&lt;25,"18-24",HR_Data[[#This Row],[Age]]&lt;35,"25-34",HR_Data[[#This Row],[Age]]&lt;45,"35-44",TRUE(),"45+")</f>
        <v>45+</v>
      </c>
      <c r="O738">
        <f>YEAR(HR_Data[[#This Row],[Joining Date]])</f>
        <v>2017</v>
      </c>
      <c r="P738" t="str">
        <f>TEXT(HR_Data[[#This Row],[Joining Date]],"mmmm")</f>
        <v>December</v>
      </c>
      <c r="Q738">
        <f t="array" ref="Q738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738">
        <f>HR_Data[[#This Row],[Salary]]*HR_Data[[#This Row],[Bonus %]]</f>
        <v>5682.35</v>
      </c>
      <c r="S738">
        <f>HR_Data[[#This Row],[Salary]]+HR_Data[[#This Row],[Bonus Amount]]</f>
        <v>119329.35</v>
      </c>
      <c r="T738" t="str">
        <f>IF(HR_Data[[#This Row],[Attrition]]="Yes","Inactive","Active")</f>
        <v>Active</v>
      </c>
      <c r="U738" t="str">
        <f t="array" ref="U738">_xlfn.IFS(HR_Data[[#This Row],[Salary]]&gt;=100000,"A",HR_Data[[#This Row],[Salary]]&gt;=70000,"B",HR_Data[[#This Row],[Salary]]&gt;=50000,"C",TRUE(),"D")</f>
        <v>A</v>
      </c>
      <c r="V738" t="str">
        <f t="array" ref="V738">_xlfn.IFS(HR_Data[[#This Row],[Experience]]&gt;=15,"Expert",HR_Data[[#This Row],[Experience]]&gt;=8,"Senior",HR_Data[[#This Row],[Experience]]&gt;=3,"Mid-Level",TRUE(),"Junior")</f>
        <v>Expert</v>
      </c>
    </row>
    <row r="739" spans="1:22" ht="14.25" customHeight="1" x14ac:dyDescent="0.3">
      <c r="A739" t="s">
        <v>1656</v>
      </c>
      <c r="B739" t="s">
        <v>828</v>
      </c>
      <c r="C739" t="s">
        <v>93</v>
      </c>
      <c r="D739" t="s">
        <v>25</v>
      </c>
      <c r="E739">
        <v>33</v>
      </c>
      <c r="F739">
        <v>46422</v>
      </c>
      <c r="G739">
        <v>5</v>
      </c>
      <c r="H739" t="s">
        <v>1657</v>
      </c>
      <c r="I739" t="s">
        <v>42</v>
      </c>
      <c r="J739" t="s">
        <v>28</v>
      </c>
      <c r="K739" t="s">
        <v>29</v>
      </c>
      <c r="L739" t="str">
        <f t="array" ref="L739">_xlfn.IFS(HR_Data[[#This Row],[Experience]]&lt;2,"0-2 Years",HR_Data[[#This Row],[Experience]]&lt;5,"2-5 Years",HR_Data[[#This Row],[Experience]]&lt;10,"5-10 Years",TRUE(),"10+ Years")</f>
        <v>5-10 Years</v>
      </c>
      <c r="M739" t="str">
        <f t="array" ref="M739">_xlfn.IFS(HR_Data[[#This Row],[Salary]]&lt;40000,"Low",HR_Data[[#This Row],[Salary]]&lt;70000,"Medium",HR_Data[[#This Row],[Salary]]&lt;100000,"High",TRUE(),"Very High")</f>
        <v>Medium</v>
      </c>
      <c r="N739" t="str">
        <f t="array" ref="N739">_xlfn.IFS(HR_Data[[#This Row],[Age]]&lt;25,"18-24",HR_Data[[#This Row],[Age]]&lt;35,"25-34",HR_Data[[#This Row],[Age]]&lt;45,"35-44",TRUE(),"45+")</f>
        <v>25-34</v>
      </c>
      <c r="O739">
        <f>YEAR(HR_Data[[#This Row],[Joining Date]])</f>
        <v>2023</v>
      </c>
      <c r="P739" t="str">
        <f>TEXT(HR_Data[[#This Row],[Joining Date]],"mmmm")</f>
        <v>September</v>
      </c>
      <c r="Q739">
        <f t="array" ref="Q73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739">
        <f>HR_Data[[#This Row],[Salary]]*HR_Data[[#This Row],[Bonus %]]</f>
        <v>6963.3</v>
      </c>
      <c r="S739">
        <f>HR_Data[[#This Row],[Salary]]+HR_Data[[#This Row],[Bonus Amount]]</f>
        <v>53385.3</v>
      </c>
      <c r="T739" t="str">
        <f>IF(HR_Data[[#This Row],[Attrition]]="Yes","Inactive","Active")</f>
        <v>Active</v>
      </c>
      <c r="U739" t="str">
        <f t="array" ref="U739">_xlfn.IFS(HR_Data[[#This Row],[Salary]]&gt;=100000,"A",HR_Data[[#This Row],[Salary]]&gt;=70000,"B",HR_Data[[#This Row],[Salary]]&gt;=50000,"C",TRUE(),"D")</f>
        <v>D</v>
      </c>
      <c r="V739" t="str">
        <f t="array" ref="V739">_xlfn.IFS(HR_Data[[#This Row],[Experience]]&gt;=15,"Expert",HR_Data[[#This Row],[Experience]]&gt;=8,"Senior",HR_Data[[#This Row],[Experience]]&gt;=3,"Mid-Level",TRUE(),"Junior")</f>
        <v>Mid-Level</v>
      </c>
    </row>
    <row r="740" spans="1:22" ht="14.25" customHeight="1" x14ac:dyDescent="0.3">
      <c r="A740" t="s">
        <v>1658</v>
      </c>
      <c r="B740" t="s">
        <v>23</v>
      </c>
      <c r="C740" t="s">
        <v>60</v>
      </c>
      <c r="D740" t="s">
        <v>33</v>
      </c>
      <c r="E740">
        <v>40</v>
      </c>
      <c r="F740">
        <v>49812</v>
      </c>
      <c r="G740">
        <v>10</v>
      </c>
      <c r="H740" t="s">
        <v>1659</v>
      </c>
      <c r="I740" t="s">
        <v>72</v>
      </c>
      <c r="J740" t="s">
        <v>36</v>
      </c>
      <c r="K740" t="s">
        <v>29</v>
      </c>
      <c r="L740" t="str">
        <f t="array" ref="L740">_xlfn.IFS(HR_Data[[#This Row],[Experience]]&lt;2,"0-2 Years",HR_Data[[#This Row],[Experience]]&lt;5,"2-5 Years",HR_Data[[#This Row],[Experience]]&lt;10,"5-10 Years",TRUE(),"10+ Years")</f>
        <v>10+ Years</v>
      </c>
      <c r="M740" t="str">
        <f t="array" ref="M740">_xlfn.IFS(HR_Data[[#This Row],[Salary]]&lt;40000,"Low",HR_Data[[#This Row],[Salary]]&lt;70000,"Medium",HR_Data[[#This Row],[Salary]]&lt;100000,"High",TRUE(),"Very High")</f>
        <v>Medium</v>
      </c>
      <c r="N740" t="str">
        <f t="array" ref="N740">_xlfn.IFS(HR_Data[[#This Row],[Age]]&lt;25,"18-24",HR_Data[[#This Row],[Age]]&lt;35,"25-34",HR_Data[[#This Row],[Age]]&lt;45,"35-44",TRUE(),"45+")</f>
        <v>35-44</v>
      </c>
      <c r="O740">
        <f>YEAR(HR_Data[[#This Row],[Joining Date]])</f>
        <v>2021</v>
      </c>
      <c r="P740" t="str">
        <f>TEXT(HR_Data[[#This Row],[Joining Date]],"mmmm")</f>
        <v>December</v>
      </c>
      <c r="Q740">
        <f t="array" ref="Q74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40">
        <f>HR_Data[[#This Row],[Salary]]*HR_Data[[#This Row],[Bonus %]]</f>
        <v>4981.2000000000007</v>
      </c>
      <c r="S740">
        <f>HR_Data[[#This Row],[Salary]]+HR_Data[[#This Row],[Bonus Amount]]</f>
        <v>54793.2</v>
      </c>
      <c r="T740" t="str">
        <f>IF(HR_Data[[#This Row],[Attrition]]="Yes","Inactive","Active")</f>
        <v>Active</v>
      </c>
      <c r="U740" t="str">
        <f t="array" ref="U740">_xlfn.IFS(HR_Data[[#This Row],[Salary]]&gt;=100000,"A",HR_Data[[#This Row],[Salary]]&gt;=70000,"B",HR_Data[[#This Row],[Salary]]&gt;=50000,"C",TRUE(),"D")</f>
        <v>D</v>
      </c>
      <c r="V740" t="str">
        <f t="array" ref="V740">_xlfn.IFS(HR_Data[[#This Row],[Experience]]&gt;=15,"Expert",HR_Data[[#This Row],[Experience]]&gt;=8,"Senior",HR_Data[[#This Row],[Experience]]&gt;=3,"Mid-Level",TRUE(),"Junior")</f>
        <v>Senior</v>
      </c>
    </row>
    <row r="741" spans="1:22" ht="14.25" customHeight="1" x14ac:dyDescent="0.3">
      <c r="A741" t="s">
        <v>1660</v>
      </c>
      <c r="B741" t="s">
        <v>239</v>
      </c>
      <c r="C741" t="s">
        <v>112</v>
      </c>
      <c r="D741" t="s">
        <v>25</v>
      </c>
      <c r="E741">
        <v>55</v>
      </c>
      <c r="F741">
        <v>138192</v>
      </c>
      <c r="G741">
        <v>33</v>
      </c>
      <c r="H741" t="s">
        <v>1661</v>
      </c>
      <c r="I741" t="s">
        <v>57</v>
      </c>
      <c r="J741" t="s">
        <v>46</v>
      </c>
      <c r="K741" t="s">
        <v>29</v>
      </c>
      <c r="L741" t="str">
        <f t="array" ref="L741">_xlfn.IFS(HR_Data[[#This Row],[Experience]]&lt;2,"0-2 Years",HR_Data[[#This Row],[Experience]]&lt;5,"2-5 Years",HR_Data[[#This Row],[Experience]]&lt;10,"5-10 Years",TRUE(),"10+ Years")</f>
        <v>10+ Years</v>
      </c>
      <c r="M741" t="str">
        <f t="array" ref="M741">_xlfn.IFS(HR_Data[[#This Row],[Salary]]&lt;40000,"Low",HR_Data[[#This Row],[Salary]]&lt;70000,"Medium",HR_Data[[#This Row],[Salary]]&lt;100000,"High",TRUE(),"Very High")</f>
        <v>Very High</v>
      </c>
      <c r="N741" t="str">
        <f t="array" ref="N741">_xlfn.IFS(HR_Data[[#This Row],[Age]]&lt;25,"18-24",HR_Data[[#This Row],[Age]]&lt;35,"25-34",HR_Data[[#This Row],[Age]]&lt;45,"35-44",TRUE(),"45+")</f>
        <v>45+</v>
      </c>
      <c r="O741">
        <f>YEAR(HR_Data[[#This Row],[Joining Date]])</f>
        <v>2026</v>
      </c>
      <c r="P741" t="str">
        <f>TEXT(HR_Data[[#This Row],[Joining Date]],"mmmm")</f>
        <v>April</v>
      </c>
      <c r="Q741">
        <f t="array" ref="Q741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741">
        <f>HR_Data[[#This Row],[Salary]]*HR_Data[[#This Row],[Bonus %]]</f>
        <v>6909.6</v>
      </c>
      <c r="S741">
        <f>HR_Data[[#This Row],[Salary]]+HR_Data[[#This Row],[Bonus Amount]]</f>
        <v>145101.6</v>
      </c>
      <c r="T741" t="str">
        <f>IF(HR_Data[[#This Row],[Attrition]]="Yes","Inactive","Active")</f>
        <v>Active</v>
      </c>
      <c r="U741" t="str">
        <f t="array" ref="U741">_xlfn.IFS(HR_Data[[#This Row],[Salary]]&gt;=100000,"A",HR_Data[[#This Row],[Salary]]&gt;=70000,"B",HR_Data[[#This Row],[Salary]]&gt;=50000,"C",TRUE(),"D")</f>
        <v>A</v>
      </c>
      <c r="V741" t="str">
        <f t="array" ref="V741">_xlfn.IFS(HR_Data[[#This Row],[Experience]]&gt;=15,"Expert",HR_Data[[#This Row],[Experience]]&gt;=8,"Senior",HR_Data[[#This Row],[Experience]]&gt;=3,"Mid-Level",TRUE(),"Junior")</f>
        <v>Expert</v>
      </c>
    </row>
    <row r="742" spans="1:22" ht="14.25" customHeight="1" x14ac:dyDescent="0.3">
      <c r="A742" t="s">
        <v>1662</v>
      </c>
      <c r="B742" t="s">
        <v>267</v>
      </c>
      <c r="C742" t="s">
        <v>24</v>
      </c>
      <c r="D742" t="s">
        <v>33</v>
      </c>
      <c r="E742">
        <v>45</v>
      </c>
      <c r="F742">
        <v>83990</v>
      </c>
      <c r="G742">
        <v>15</v>
      </c>
      <c r="H742" t="s">
        <v>1663</v>
      </c>
      <c r="I742" t="s">
        <v>35</v>
      </c>
      <c r="J742" t="s">
        <v>63</v>
      </c>
      <c r="K742" t="s">
        <v>29</v>
      </c>
      <c r="L742" t="str">
        <f t="array" ref="L742">_xlfn.IFS(HR_Data[[#This Row],[Experience]]&lt;2,"0-2 Years",HR_Data[[#This Row],[Experience]]&lt;5,"2-5 Years",HR_Data[[#This Row],[Experience]]&lt;10,"5-10 Years",TRUE(),"10+ Years")</f>
        <v>10+ Years</v>
      </c>
      <c r="M742" t="str">
        <f t="array" ref="M742">_xlfn.IFS(HR_Data[[#This Row],[Salary]]&lt;40000,"Low",HR_Data[[#This Row],[Salary]]&lt;70000,"Medium",HR_Data[[#This Row],[Salary]]&lt;100000,"High",TRUE(),"Very High")</f>
        <v>High</v>
      </c>
      <c r="N742" t="str">
        <f t="array" ref="N742">_xlfn.IFS(HR_Data[[#This Row],[Age]]&lt;25,"18-24",HR_Data[[#This Row],[Age]]&lt;35,"25-34",HR_Data[[#This Row],[Age]]&lt;45,"35-44",TRUE(),"45+")</f>
        <v>45+</v>
      </c>
      <c r="O742">
        <f>YEAR(HR_Data[[#This Row],[Joining Date]])</f>
        <v>2024</v>
      </c>
      <c r="P742" t="str">
        <f>TEXT(HR_Data[[#This Row],[Joining Date]],"mmmm")</f>
        <v>December</v>
      </c>
      <c r="Q742">
        <f t="array" ref="Q742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742">
        <f>HR_Data[[#This Row],[Salary]]*HR_Data[[#This Row],[Bonus %]]</f>
        <v>16798</v>
      </c>
      <c r="S742">
        <f>HR_Data[[#This Row],[Salary]]+HR_Data[[#This Row],[Bonus Amount]]</f>
        <v>100788</v>
      </c>
      <c r="T742" t="str">
        <f>IF(HR_Data[[#This Row],[Attrition]]="Yes","Inactive","Active")</f>
        <v>Active</v>
      </c>
      <c r="U742" t="str">
        <f t="array" ref="U742">_xlfn.IFS(HR_Data[[#This Row],[Salary]]&gt;=100000,"A",HR_Data[[#This Row],[Salary]]&gt;=70000,"B",HR_Data[[#This Row],[Salary]]&gt;=50000,"C",TRUE(),"D")</f>
        <v>B</v>
      </c>
      <c r="V742" t="str">
        <f t="array" ref="V742">_xlfn.IFS(HR_Data[[#This Row],[Experience]]&gt;=15,"Expert",HR_Data[[#This Row],[Experience]]&gt;=8,"Senior",HR_Data[[#This Row],[Experience]]&gt;=3,"Mid-Level",TRUE(),"Junior")</f>
        <v>Expert</v>
      </c>
    </row>
    <row r="743" spans="1:22" ht="14.25" customHeight="1" x14ac:dyDescent="0.3">
      <c r="A743" t="s">
        <v>1664</v>
      </c>
      <c r="B743" t="s">
        <v>267</v>
      </c>
      <c r="C743" t="s">
        <v>134</v>
      </c>
      <c r="D743" t="s">
        <v>33</v>
      </c>
      <c r="E743">
        <v>25</v>
      </c>
      <c r="F743">
        <v>34520</v>
      </c>
      <c r="G743">
        <v>1</v>
      </c>
      <c r="H743" t="s">
        <v>1665</v>
      </c>
      <c r="I743" t="s">
        <v>42</v>
      </c>
      <c r="J743" t="s">
        <v>36</v>
      </c>
      <c r="K743" t="s">
        <v>29</v>
      </c>
      <c r="L743" t="str">
        <f t="array" ref="L743">_xlfn.IFS(HR_Data[[#This Row],[Experience]]&lt;2,"0-2 Years",HR_Data[[#This Row],[Experience]]&lt;5,"2-5 Years",HR_Data[[#This Row],[Experience]]&lt;10,"5-10 Years",TRUE(),"10+ Years")</f>
        <v>0-2 Years</v>
      </c>
      <c r="M743" t="str">
        <f t="array" ref="M743">_xlfn.IFS(HR_Data[[#This Row],[Salary]]&lt;40000,"Low",HR_Data[[#This Row],[Salary]]&lt;70000,"Medium",HR_Data[[#This Row],[Salary]]&lt;100000,"High",TRUE(),"Very High")</f>
        <v>Low</v>
      </c>
      <c r="N743" t="str">
        <f t="array" ref="N743">_xlfn.IFS(HR_Data[[#This Row],[Age]]&lt;25,"18-24",HR_Data[[#This Row],[Age]]&lt;35,"25-34",HR_Data[[#This Row],[Age]]&lt;45,"35-44",TRUE(),"45+")</f>
        <v>25-34</v>
      </c>
      <c r="O743">
        <f>YEAR(HR_Data[[#This Row],[Joining Date]])</f>
        <v>2019</v>
      </c>
      <c r="P743" t="str">
        <f>TEXT(HR_Data[[#This Row],[Joining Date]],"mmmm")</f>
        <v>January</v>
      </c>
      <c r="Q743">
        <f t="array" ref="Q743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43">
        <f>HR_Data[[#This Row],[Salary]]*HR_Data[[#This Row],[Bonus %]]</f>
        <v>3452</v>
      </c>
      <c r="S743">
        <f>HR_Data[[#This Row],[Salary]]+HR_Data[[#This Row],[Bonus Amount]]</f>
        <v>37972</v>
      </c>
      <c r="T743" t="str">
        <f>IF(HR_Data[[#This Row],[Attrition]]="Yes","Inactive","Active")</f>
        <v>Active</v>
      </c>
      <c r="U743" t="str">
        <f t="array" ref="U743">_xlfn.IFS(HR_Data[[#This Row],[Salary]]&gt;=100000,"A",HR_Data[[#This Row],[Salary]]&gt;=70000,"B",HR_Data[[#This Row],[Salary]]&gt;=50000,"C",TRUE(),"D")</f>
        <v>D</v>
      </c>
      <c r="V743" t="str">
        <f t="array" ref="V743">_xlfn.IFS(HR_Data[[#This Row],[Experience]]&gt;=15,"Expert",HR_Data[[#This Row],[Experience]]&gt;=8,"Senior",HR_Data[[#This Row],[Experience]]&gt;=3,"Mid-Level",TRUE(),"Junior")</f>
        <v>Junior</v>
      </c>
    </row>
    <row r="744" spans="1:22" ht="14.25" customHeight="1" x14ac:dyDescent="0.3">
      <c r="A744" t="s">
        <v>1666</v>
      </c>
      <c r="B744" t="s">
        <v>486</v>
      </c>
      <c r="C744" t="s">
        <v>134</v>
      </c>
      <c r="D744" t="s">
        <v>25</v>
      </c>
      <c r="E744">
        <v>33</v>
      </c>
      <c r="F744">
        <v>41710</v>
      </c>
      <c r="G744">
        <v>6</v>
      </c>
      <c r="H744" t="s">
        <v>1667</v>
      </c>
      <c r="I744" t="s">
        <v>132</v>
      </c>
      <c r="J744" t="s">
        <v>63</v>
      </c>
      <c r="K744" t="s">
        <v>29</v>
      </c>
      <c r="L744" t="str">
        <f t="array" ref="L744">_xlfn.IFS(HR_Data[[#This Row],[Experience]]&lt;2,"0-2 Years",HR_Data[[#This Row],[Experience]]&lt;5,"2-5 Years",HR_Data[[#This Row],[Experience]]&lt;10,"5-10 Years",TRUE(),"10+ Years")</f>
        <v>5-10 Years</v>
      </c>
      <c r="M744" t="str">
        <f t="array" ref="M744">_xlfn.IFS(HR_Data[[#This Row],[Salary]]&lt;40000,"Low",HR_Data[[#This Row],[Salary]]&lt;70000,"Medium",HR_Data[[#This Row],[Salary]]&lt;100000,"High",TRUE(),"Very High")</f>
        <v>Medium</v>
      </c>
      <c r="N744" t="str">
        <f t="array" ref="N744">_xlfn.IFS(HR_Data[[#This Row],[Age]]&lt;25,"18-24",HR_Data[[#This Row],[Age]]&lt;35,"25-34",HR_Data[[#This Row],[Age]]&lt;45,"35-44",TRUE(),"45+")</f>
        <v>25-34</v>
      </c>
      <c r="O744">
        <f>YEAR(HR_Data[[#This Row],[Joining Date]])</f>
        <v>2021</v>
      </c>
      <c r="P744" t="str">
        <f>TEXT(HR_Data[[#This Row],[Joining Date]],"mmmm")</f>
        <v>May</v>
      </c>
      <c r="Q744">
        <f t="array" ref="Q744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744">
        <f>HR_Data[[#This Row],[Salary]]*HR_Data[[#This Row],[Bonus %]]</f>
        <v>8342</v>
      </c>
      <c r="S744">
        <f>HR_Data[[#This Row],[Salary]]+HR_Data[[#This Row],[Bonus Amount]]</f>
        <v>50052</v>
      </c>
      <c r="T744" t="str">
        <f>IF(HR_Data[[#This Row],[Attrition]]="Yes","Inactive","Active")</f>
        <v>Active</v>
      </c>
      <c r="U744" t="str">
        <f t="array" ref="U744">_xlfn.IFS(HR_Data[[#This Row],[Salary]]&gt;=100000,"A",HR_Data[[#This Row],[Salary]]&gt;=70000,"B",HR_Data[[#This Row],[Salary]]&gt;=50000,"C",TRUE(),"D")</f>
        <v>D</v>
      </c>
      <c r="V744" t="str">
        <f t="array" ref="V744">_xlfn.IFS(HR_Data[[#This Row],[Experience]]&gt;=15,"Expert",HR_Data[[#This Row],[Experience]]&gt;=8,"Senior",HR_Data[[#This Row],[Experience]]&gt;=3,"Mid-Level",TRUE(),"Junior")</f>
        <v>Mid-Level</v>
      </c>
    </row>
    <row r="745" spans="1:22" ht="14.25" customHeight="1" x14ac:dyDescent="0.3">
      <c r="A745" t="s">
        <v>1668</v>
      </c>
      <c r="B745" t="s">
        <v>1350</v>
      </c>
      <c r="C745" t="s">
        <v>55</v>
      </c>
      <c r="D745" t="s">
        <v>33</v>
      </c>
      <c r="E745">
        <v>31</v>
      </c>
      <c r="F745">
        <v>37259</v>
      </c>
      <c r="G745">
        <v>3</v>
      </c>
      <c r="H745" t="s">
        <v>1669</v>
      </c>
      <c r="I745" t="s">
        <v>62</v>
      </c>
      <c r="J745" t="s">
        <v>63</v>
      </c>
      <c r="K745" t="s">
        <v>37</v>
      </c>
      <c r="L745" t="str">
        <f t="array" ref="L745">_xlfn.IFS(HR_Data[[#This Row],[Experience]]&lt;2,"0-2 Years",HR_Data[[#This Row],[Experience]]&lt;5,"2-5 Years",HR_Data[[#This Row],[Experience]]&lt;10,"5-10 Years",TRUE(),"10+ Years")</f>
        <v>2-5 Years</v>
      </c>
      <c r="M745" t="str">
        <f t="array" ref="M745">_xlfn.IFS(HR_Data[[#This Row],[Salary]]&lt;40000,"Low",HR_Data[[#This Row],[Salary]]&lt;70000,"Medium",HR_Data[[#This Row],[Salary]]&lt;100000,"High",TRUE(),"Very High")</f>
        <v>Low</v>
      </c>
      <c r="N745" t="str">
        <f t="array" ref="N745">_xlfn.IFS(HR_Data[[#This Row],[Age]]&lt;25,"18-24",HR_Data[[#This Row],[Age]]&lt;35,"25-34",HR_Data[[#This Row],[Age]]&lt;45,"35-44",TRUE(),"45+")</f>
        <v>25-34</v>
      </c>
      <c r="O745">
        <f>YEAR(HR_Data[[#This Row],[Joining Date]])</f>
        <v>2019</v>
      </c>
      <c r="P745" t="str">
        <f>TEXT(HR_Data[[#This Row],[Joining Date]],"mmmm")</f>
        <v>January</v>
      </c>
      <c r="Q745">
        <f t="array" ref="Q745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745">
        <f>HR_Data[[#This Row],[Salary]]*HR_Data[[#This Row],[Bonus %]]</f>
        <v>7451.8</v>
      </c>
      <c r="S745">
        <f>HR_Data[[#This Row],[Salary]]+HR_Data[[#This Row],[Bonus Amount]]</f>
        <v>44710.8</v>
      </c>
      <c r="T745" t="str">
        <f>IF(HR_Data[[#This Row],[Attrition]]="Yes","Inactive","Active")</f>
        <v>Inactive</v>
      </c>
      <c r="U745" t="str">
        <f t="array" ref="U745">_xlfn.IFS(HR_Data[[#This Row],[Salary]]&gt;=100000,"A",HR_Data[[#This Row],[Salary]]&gt;=70000,"B",HR_Data[[#This Row],[Salary]]&gt;=50000,"C",TRUE(),"D")</f>
        <v>D</v>
      </c>
      <c r="V745" t="str">
        <f t="array" ref="V745">_xlfn.IFS(HR_Data[[#This Row],[Experience]]&gt;=15,"Expert",HR_Data[[#This Row],[Experience]]&gt;=8,"Senior",HR_Data[[#This Row],[Experience]]&gt;=3,"Mid-Level",TRUE(),"Junior")</f>
        <v>Mid-Level</v>
      </c>
    </row>
    <row r="746" spans="1:22" ht="14.25" customHeight="1" x14ac:dyDescent="0.3">
      <c r="A746" t="s">
        <v>1670</v>
      </c>
      <c r="B746" t="s">
        <v>724</v>
      </c>
      <c r="C746" t="s">
        <v>60</v>
      </c>
      <c r="D746" t="s">
        <v>25</v>
      </c>
      <c r="E746">
        <v>43</v>
      </c>
      <c r="F746">
        <v>93304</v>
      </c>
      <c r="G746">
        <v>20</v>
      </c>
      <c r="H746" t="s">
        <v>1671</v>
      </c>
      <c r="I746" t="s">
        <v>45</v>
      </c>
      <c r="J746" t="s">
        <v>63</v>
      </c>
      <c r="K746" t="s">
        <v>29</v>
      </c>
      <c r="L746" t="str">
        <f t="array" ref="L746">_xlfn.IFS(HR_Data[[#This Row],[Experience]]&lt;2,"0-2 Years",HR_Data[[#This Row],[Experience]]&lt;5,"2-5 Years",HR_Data[[#This Row],[Experience]]&lt;10,"5-10 Years",TRUE(),"10+ Years")</f>
        <v>10+ Years</v>
      </c>
      <c r="M746" t="str">
        <f t="array" ref="M746">_xlfn.IFS(HR_Data[[#This Row],[Salary]]&lt;40000,"Low",HR_Data[[#This Row],[Salary]]&lt;70000,"Medium",HR_Data[[#This Row],[Salary]]&lt;100000,"High",TRUE(),"Very High")</f>
        <v>High</v>
      </c>
      <c r="N746" t="str">
        <f t="array" ref="N746">_xlfn.IFS(HR_Data[[#This Row],[Age]]&lt;25,"18-24",HR_Data[[#This Row],[Age]]&lt;35,"25-34",HR_Data[[#This Row],[Age]]&lt;45,"35-44",TRUE(),"45+")</f>
        <v>35-44</v>
      </c>
      <c r="O746">
        <f>YEAR(HR_Data[[#This Row],[Joining Date]])</f>
        <v>2017</v>
      </c>
      <c r="P746" t="str">
        <f>TEXT(HR_Data[[#This Row],[Joining Date]],"mmmm")</f>
        <v>September</v>
      </c>
      <c r="Q746">
        <f t="array" ref="Q746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746">
        <f>HR_Data[[#This Row],[Salary]]*HR_Data[[#This Row],[Bonus %]]</f>
        <v>18660.8</v>
      </c>
      <c r="S746">
        <f>HR_Data[[#This Row],[Salary]]+HR_Data[[#This Row],[Bonus Amount]]</f>
        <v>111964.8</v>
      </c>
      <c r="T746" t="str">
        <f>IF(HR_Data[[#This Row],[Attrition]]="Yes","Inactive","Active")</f>
        <v>Active</v>
      </c>
      <c r="U746" t="str">
        <f t="array" ref="U746">_xlfn.IFS(HR_Data[[#This Row],[Salary]]&gt;=100000,"A",HR_Data[[#This Row],[Salary]]&gt;=70000,"B",HR_Data[[#This Row],[Salary]]&gt;=50000,"C",TRUE(),"D")</f>
        <v>B</v>
      </c>
      <c r="V746" t="str">
        <f t="array" ref="V746">_xlfn.IFS(HR_Data[[#This Row],[Experience]]&gt;=15,"Expert",HR_Data[[#This Row],[Experience]]&gt;=8,"Senior",HR_Data[[#This Row],[Experience]]&gt;=3,"Mid-Level",TRUE(),"Junior")</f>
        <v>Expert</v>
      </c>
    </row>
    <row r="747" spans="1:22" ht="14.25" customHeight="1" x14ac:dyDescent="0.3">
      <c r="A747" t="s">
        <v>1672</v>
      </c>
      <c r="B747" t="s">
        <v>335</v>
      </c>
      <c r="C747" t="s">
        <v>93</v>
      </c>
      <c r="D747" t="s">
        <v>33</v>
      </c>
      <c r="E747">
        <v>57</v>
      </c>
      <c r="F747">
        <v>123170</v>
      </c>
      <c r="G747">
        <v>32</v>
      </c>
      <c r="H747" t="s">
        <v>1673</v>
      </c>
      <c r="I747" t="s">
        <v>62</v>
      </c>
      <c r="J747" t="s">
        <v>63</v>
      </c>
      <c r="K747" t="s">
        <v>29</v>
      </c>
      <c r="L747" t="str">
        <f t="array" ref="L747">_xlfn.IFS(HR_Data[[#This Row],[Experience]]&lt;2,"0-2 Years",HR_Data[[#This Row],[Experience]]&lt;5,"2-5 Years",HR_Data[[#This Row],[Experience]]&lt;10,"5-10 Years",TRUE(),"10+ Years")</f>
        <v>10+ Years</v>
      </c>
      <c r="M747" t="str">
        <f t="array" ref="M747">_xlfn.IFS(HR_Data[[#This Row],[Salary]]&lt;40000,"Low",HR_Data[[#This Row],[Salary]]&lt;70000,"Medium",HR_Data[[#This Row],[Salary]]&lt;100000,"High",TRUE(),"Very High")</f>
        <v>Very High</v>
      </c>
      <c r="N747" t="str">
        <f t="array" ref="N747">_xlfn.IFS(HR_Data[[#This Row],[Age]]&lt;25,"18-24",HR_Data[[#This Row],[Age]]&lt;35,"25-34",HR_Data[[#This Row],[Age]]&lt;45,"35-44",TRUE(),"45+")</f>
        <v>45+</v>
      </c>
      <c r="O747">
        <f>YEAR(HR_Data[[#This Row],[Joining Date]])</f>
        <v>2021</v>
      </c>
      <c r="P747" t="str">
        <f>TEXT(HR_Data[[#This Row],[Joining Date]],"mmmm")</f>
        <v>January</v>
      </c>
      <c r="Q747">
        <f t="array" ref="Q747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747">
        <f>HR_Data[[#This Row],[Salary]]*HR_Data[[#This Row],[Bonus %]]</f>
        <v>24634</v>
      </c>
      <c r="S747">
        <f>HR_Data[[#This Row],[Salary]]+HR_Data[[#This Row],[Bonus Amount]]</f>
        <v>147804</v>
      </c>
      <c r="T747" t="str">
        <f>IF(HR_Data[[#This Row],[Attrition]]="Yes","Inactive","Active")</f>
        <v>Active</v>
      </c>
      <c r="U747" t="str">
        <f t="array" ref="U747">_xlfn.IFS(HR_Data[[#This Row],[Salary]]&gt;=100000,"A",HR_Data[[#This Row],[Salary]]&gt;=70000,"B",HR_Data[[#This Row],[Salary]]&gt;=50000,"C",TRUE(),"D")</f>
        <v>A</v>
      </c>
      <c r="V747" t="str">
        <f t="array" ref="V747">_xlfn.IFS(HR_Data[[#This Row],[Experience]]&gt;=15,"Expert",HR_Data[[#This Row],[Experience]]&gt;=8,"Senior",HR_Data[[#This Row],[Experience]]&gt;=3,"Mid-Level",TRUE(),"Junior")</f>
        <v>Expert</v>
      </c>
    </row>
    <row r="748" spans="1:22" ht="14.25" customHeight="1" x14ac:dyDescent="0.3">
      <c r="A748" t="s">
        <v>1674</v>
      </c>
      <c r="B748" t="s">
        <v>140</v>
      </c>
      <c r="C748" t="s">
        <v>24</v>
      </c>
      <c r="D748" t="s">
        <v>25</v>
      </c>
      <c r="E748">
        <v>33</v>
      </c>
      <c r="F748">
        <v>70619</v>
      </c>
      <c r="G748">
        <v>14</v>
      </c>
      <c r="H748" t="s">
        <v>1675</v>
      </c>
      <c r="I748" t="s">
        <v>35</v>
      </c>
      <c r="J748" t="s">
        <v>28</v>
      </c>
      <c r="K748" t="s">
        <v>29</v>
      </c>
      <c r="L748" t="str">
        <f t="array" ref="L748">_xlfn.IFS(HR_Data[[#This Row],[Experience]]&lt;2,"0-2 Years",HR_Data[[#This Row],[Experience]]&lt;5,"2-5 Years",HR_Data[[#This Row],[Experience]]&lt;10,"5-10 Years",TRUE(),"10+ Years")</f>
        <v>10+ Years</v>
      </c>
      <c r="M748" t="str">
        <f t="array" ref="M748">_xlfn.IFS(HR_Data[[#This Row],[Salary]]&lt;40000,"Low",HR_Data[[#This Row],[Salary]]&lt;70000,"Medium",HR_Data[[#This Row],[Salary]]&lt;100000,"High",TRUE(),"Very High")</f>
        <v>High</v>
      </c>
      <c r="N748" t="str">
        <f t="array" ref="N748">_xlfn.IFS(HR_Data[[#This Row],[Age]]&lt;25,"18-24",HR_Data[[#This Row],[Age]]&lt;35,"25-34",HR_Data[[#This Row],[Age]]&lt;45,"35-44",TRUE(),"45+")</f>
        <v>25-34</v>
      </c>
      <c r="O748">
        <f>YEAR(HR_Data[[#This Row],[Joining Date]])</f>
        <v>2017</v>
      </c>
      <c r="P748" t="str">
        <f>TEXT(HR_Data[[#This Row],[Joining Date]],"mmmm")</f>
        <v>April</v>
      </c>
      <c r="Q748">
        <f t="array" ref="Q748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748">
        <f>HR_Data[[#This Row],[Salary]]*HR_Data[[#This Row],[Bonus %]]</f>
        <v>10592.85</v>
      </c>
      <c r="S748">
        <f>HR_Data[[#This Row],[Salary]]+HR_Data[[#This Row],[Bonus Amount]]</f>
        <v>81211.850000000006</v>
      </c>
      <c r="T748" t="str">
        <f>IF(HR_Data[[#This Row],[Attrition]]="Yes","Inactive","Active")</f>
        <v>Active</v>
      </c>
      <c r="U748" t="str">
        <f t="array" ref="U748">_xlfn.IFS(HR_Data[[#This Row],[Salary]]&gt;=100000,"A",HR_Data[[#This Row],[Salary]]&gt;=70000,"B",HR_Data[[#This Row],[Salary]]&gt;=50000,"C",TRUE(),"D")</f>
        <v>B</v>
      </c>
      <c r="V748" t="str">
        <f t="array" ref="V748">_xlfn.IFS(HR_Data[[#This Row],[Experience]]&gt;=15,"Expert",HR_Data[[#This Row],[Experience]]&gt;=8,"Senior",HR_Data[[#This Row],[Experience]]&gt;=3,"Mid-Level",TRUE(),"Junior")</f>
        <v>Senior</v>
      </c>
    </row>
    <row r="749" spans="1:22" ht="14.25" customHeight="1" x14ac:dyDescent="0.3">
      <c r="A749" t="s">
        <v>1676</v>
      </c>
      <c r="B749" t="s">
        <v>239</v>
      </c>
      <c r="C749" t="s">
        <v>60</v>
      </c>
      <c r="D749" t="s">
        <v>25</v>
      </c>
      <c r="E749">
        <v>34</v>
      </c>
      <c r="F749">
        <v>49398</v>
      </c>
      <c r="G749">
        <v>5</v>
      </c>
      <c r="H749" t="s">
        <v>1677</v>
      </c>
      <c r="I749" t="s">
        <v>45</v>
      </c>
      <c r="J749" t="s">
        <v>46</v>
      </c>
      <c r="K749" t="s">
        <v>29</v>
      </c>
      <c r="L749" t="str">
        <f t="array" ref="L749">_xlfn.IFS(HR_Data[[#This Row],[Experience]]&lt;2,"0-2 Years",HR_Data[[#This Row],[Experience]]&lt;5,"2-5 Years",HR_Data[[#This Row],[Experience]]&lt;10,"5-10 Years",TRUE(),"10+ Years")</f>
        <v>5-10 Years</v>
      </c>
      <c r="M749" t="str">
        <f t="array" ref="M749">_xlfn.IFS(HR_Data[[#This Row],[Salary]]&lt;40000,"Low",HR_Data[[#This Row],[Salary]]&lt;70000,"Medium",HR_Data[[#This Row],[Salary]]&lt;100000,"High",TRUE(),"Very High")</f>
        <v>Medium</v>
      </c>
      <c r="N749" t="str">
        <f t="array" ref="N749">_xlfn.IFS(HR_Data[[#This Row],[Age]]&lt;25,"18-24",HR_Data[[#This Row],[Age]]&lt;35,"25-34",HR_Data[[#This Row],[Age]]&lt;45,"35-44",TRUE(),"45+")</f>
        <v>25-34</v>
      </c>
      <c r="O749">
        <f>YEAR(HR_Data[[#This Row],[Joining Date]])</f>
        <v>2019</v>
      </c>
      <c r="P749" t="str">
        <f>TEXT(HR_Data[[#This Row],[Joining Date]],"mmmm")</f>
        <v>July</v>
      </c>
      <c r="Q749">
        <f t="array" ref="Q749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749">
        <f>HR_Data[[#This Row],[Salary]]*HR_Data[[#This Row],[Bonus %]]</f>
        <v>2469.9</v>
      </c>
      <c r="S749">
        <f>HR_Data[[#This Row],[Salary]]+HR_Data[[#This Row],[Bonus Amount]]</f>
        <v>51867.9</v>
      </c>
      <c r="T749" t="str">
        <f>IF(HR_Data[[#This Row],[Attrition]]="Yes","Inactive","Active")</f>
        <v>Active</v>
      </c>
      <c r="U749" t="str">
        <f t="array" ref="U749">_xlfn.IFS(HR_Data[[#This Row],[Salary]]&gt;=100000,"A",HR_Data[[#This Row],[Salary]]&gt;=70000,"B",HR_Data[[#This Row],[Salary]]&gt;=50000,"C",TRUE(),"D")</f>
        <v>D</v>
      </c>
      <c r="V749" t="str">
        <f t="array" ref="V749">_xlfn.IFS(HR_Data[[#This Row],[Experience]]&gt;=15,"Expert",HR_Data[[#This Row],[Experience]]&gt;=8,"Senior",HR_Data[[#This Row],[Experience]]&gt;=3,"Mid-Level",TRUE(),"Junior")</f>
        <v>Mid-Level</v>
      </c>
    </row>
    <row r="750" spans="1:22" ht="14.25" customHeight="1" x14ac:dyDescent="0.3">
      <c r="A750" t="s">
        <v>1678</v>
      </c>
      <c r="B750" t="s">
        <v>551</v>
      </c>
      <c r="C750" t="s">
        <v>112</v>
      </c>
      <c r="D750" t="s">
        <v>25</v>
      </c>
      <c r="E750">
        <v>47</v>
      </c>
      <c r="F750">
        <v>106632</v>
      </c>
      <c r="G750">
        <v>28</v>
      </c>
      <c r="H750" t="s">
        <v>1679</v>
      </c>
      <c r="I750" t="s">
        <v>80</v>
      </c>
      <c r="J750" t="s">
        <v>90</v>
      </c>
      <c r="K750" t="s">
        <v>29</v>
      </c>
      <c r="L750" t="str">
        <f t="array" ref="L750">_xlfn.IFS(HR_Data[[#This Row],[Experience]]&lt;2,"0-2 Years",HR_Data[[#This Row],[Experience]]&lt;5,"2-5 Years",HR_Data[[#This Row],[Experience]]&lt;10,"5-10 Years",TRUE(),"10+ Years")</f>
        <v>10+ Years</v>
      </c>
      <c r="M750" t="str">
        <f t="array" ref="M750">_xlfn.IFS(HR_Data[[#This Row],[Salary]]&lt;40000,"Low",HR_Data[[#This Row],[Salary]]&lt;70000,"Medium",HR_Data[[#This Row],[Salary]]&lt;100000,"High",TRUE(),"Very High")</f>
        <v>Very High</v>
      </c>
      <c r="N750" t="str">
        <f t="array" ref="N750">_xlfn.IFS(HR_Data[[#This Row],[Age]]&lt;25,"18-24",HR_Data[[#This Row],[Age]]&lt;35,"25-34",HR_Data[[#This Row],[Age]]&lt;45,"35-44",TRUE(),"45+")</f>
        <v>45+</v>
      </c>
      <c r="O750">
        <f>YEAR(HR_Data[[#This Row],[Joining Date]])</f>
        <v>2025</v>
      </c>
      <c r="P750" t="str">
        <f>TEXT(HR_Data[[#This Row],[Joining Date]],"mmmm")</f>
        <v>June</v>
      </c>
      <c r="Q750">
        <f t="array" ref="Q750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750">
        <f>HR_Data[[#This Row],[Salary]]*HR_Data[[#This Row],[Bonus %]]</f>
        <v>0</v>
      </c>
      <c r="S750">
        <f>HR_Data[[#This Row],[Salary]]+HR_Data[[#This Row],[Bonus Amount]]</f>
        <v>106632</v>
      </c>
      <c r="T750" t="str">
        <f>IF(HR_Data[[#This Row],[Attrition]]="Yes","Inactive","Active")</f>
        <v>Active</v>
      </c>
      <c r="U750" t="str">
        <f t="array" ref="U750">_xlfn.IFS(HR_Data[[#This Row],[Salary]]&gt;=100000,"A",HR_Data[[#This Row],[Salary]]&gt;=70000,"B",HR_Data[[#This Row],[Salary]]&gt;=50000,"C",TRUE(),"D")</f>
        <v>A</v>
      </c>
      <c r="V750" t="str">
        <f t="array" ref="V750">_xlfn.IFS(HR_Data[[#This Row],[Experience]]&gt;=15,"Expert",HR_Data[[#This Row],[Experience]]&gt;=8,"Senior",HR_Data[[#This Row],[Experience]]&gt;=3,"Mid-Level",TRUE(),"Junior")</f>
        <v>Expert</v>
      </c>
    </row>
    <row r="751" spans="1:22" ht="14.25" customHeight="1" x14ac:dyDescent="0.3">
      <c r="A751" t="s">
        <v>1680</v>
      </c>
      <c r="B751" t="s">
        <v>868</v>
      </c>
      <c r="C751" t="s">
        <v>112</v>
      </c>
      <c r="D751" t="s">
        <v>33</v>
      </c>
      <c r="E751">
        <v>45</v>
      </c>
      <c r="F751">
        <v>80656</v>
      </c>
      <c r="G751">
        <v>16</v>
      </c>
      <c r="H751" t="s">
        <v>1681</v>
      </c>
      <c r="I751" t="s">
        <v>45</v>
      </c>
      <c r="J751" t="s">
        <v>46</v>
      </c>
      <c r="K751" t="s">
        <v>29</v>
      </c>
      <c r="L751" t="str">
        <f t="array" ref="L751">_xlfn.IFS(HR_Data[[#This Row],[Experience]]&lt;2,"0-2 Years",HR_Data[[#This Row],[Experience]]&lt;5,"2-5 Years",HR_Data[[#This Row],[Experience]]&lt;10,"5-10 Years",TRUE(),"10+ Years")</f>
        <v>10+ Years</v>
      </c>
      <c r="M751" t="str">
        <f t="array" ref="M751">_xlfn.IFS(HR_Data[[#This Row],[Salary]]&lt;40000,"Low",HR_Data[[#This Row],[Salary]]&lt;70000,"Medium",HR_Data[[#This Row],[Salary]]&lt;100000,"High",TRUE(),"Very High")</f>
        <v>High</v>
      </c>
      <c r="N751" t="str">
        <f t="array" ref="N751">_xlfn.IFS(HR_Data[[#This Row],[Age]]&lt;25,"18-24",HR_Data[[#This Row],[Age]]&lt;35,"25-34",HR_Data[[#This Row],[Age]]&lt;45,"35-44",TRUE(),"45+")</f>
        <v>45+</v>
      </c>
      <c r="O751">
        <f>YEAR(HR_Data[[#This Row],[Joining Date]])</f>
        <v>2022</v>
      </c>
      <c r="P751" t="str">
        <f>TEXT(HR_Data[[#This Row],[Joining Date]],"mmmm")</f>
        <v>November</v>
      </c>
      <c r="Q751">
        <f t="array" ref="Q751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751">
        <f>HR_Data[[#This Row],[Salary]]*HR_Data[[#This Row],[Bonus %]]</f>
        <v>4032.8</v>
      </c>
      <c r="S751">
        <f>HR_Data[[#This Row],[Salary]]+HR_Data[[#This Row],[Bonus Amount]]</f>
        <v>84688.8</v>
      </c>
      <c r="T751" t="str">
        <f>IF(HR_Data[[#This Row],[Attrition]]="Yes","Inactive","Active")</f>
        <v>Active</v>
      </c>
      <c r="U751" t="str">
        <f t="array" ref="U751">_xlfn.IFS(HR_Data[[#This Row],[Salary]]&gt;=100000,"A",HR_Data[[#This Row],[Salary]]&gt;=70000,"B",HR_Data[[#This Row],[Salary]]&gt;=50000,"C",TRUE(),"D")</f>
        <v>B</v>
      </c>
      <c r="V751" t="str">
        <f t="array" ref="V751">_xlfn.IFS(HR_Data[[#This Row],[Experience]]&gt;=15,"Expert",HR_Data[[#This Row],[Experience]]&gt;=8,"Senior",HR_Data[[#This Row],[Experience]]&gt;=3,"Mid-Level",TRUE(),"Junior")</f>
        <v>Expert</v>
      </c>
    </row>
    <row r="752" spans="1:22" ht="14.25" customHeight="1" x14ac:dyDescent="0.3">
      <c r="A752" t="s">
        <v>1682</v>
      </c>
      <c r="B752" t="s">
        <v>513</v>
      </c>
      <c r="C752" t="s">
        <v>32</v>
      </c>
      <c r="D752" t="s">
        <v>33</v>
      </c>
      <c r="E752">
        <v>27</v>
      </c>
      <c r="F752">
        <v>32739</v>
      </c>
      <c r="G752">
        <v>4</v>
      </c>
      <c r="H752" t="s">
        <v>1683</v>
      </c>
      <c r="I752" t="s">
        <v>72</v>
      </c>
      <c r="J752" t="s">
        <v>36</v>
      </c>
      <c r="K752" t="s">
        <v>29</v>
      </c>
      <c r="L752" t="str">
        <f t="array" ref="L752">_xlfn.IFS(HR_Data[[#This Row],[Experience]]&lt;2,"0-2 Years",HR_Data[[#This Row],[Experience]]&lt;5,"2-5 Years",HR_Data[[#This Row],[Experience]]&lt;10,"5-10 Years",TRUE(),"10+ Years")</f>
        <v>2-5 Years</v>
      </c>
      <c r="M752" t="str">
        <f t="array" ref="M752">_xlfn.IFS(HR_Data[[#This Row],[Salary]]&lt;40000,"Low",HR_Data[[#This Row],[Salary]]&lt;70000,"Medium",HR_Data[[#This Row],[Salary]]&lt;100000,"High",TRUE(),"Very High")</f>
        <v>Low</v>
      </c>
      <c r="N752" t="str">
        <f t="array" ref="N752">_xlfn.IFS(HR_Data[[#This Row],[Age]]&lt;25,"18-24",HR_Data[[#This Row],[Age]]&lt;35,"25-34",HR_Data[[#This Row],[Age]]&lt;45,"35-44",TRUE(),"45+")</f>
        <v>25-34</v>
      </c>
      <c r="O752">
        <f>YEAR(HR_Data[[#This Row],[Joining Date]])</f>
        <v>2023</v>
      </c>
      <c r="P752" t="str">
        <f>TEXT(HR_Data[[#This Row],[Joining Date]],"mmmm")</f>
        <v>November</v>
      </c>
      <c r="Q752">
        <f t="array" ref="Q75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52">
        <f>HR_Data[[#This Row],[Salary]]*HR_Data[[#This Row],[Bonus %]]</f>
        <v>3273.9</v>
      </c>
      <c r="S752">
        <f>HR_Data[[#This Row],[Salary]]+HR_Data[[#This Row],[Bonus Amount]]</f>
        <v>36012.9</v>
      </c>
      <c r="T752" t="str">
        <f>IF(HR_Data[[#This Row],[Attrition]]="Yes","Inactive","Active")</f>
        <v>Active</v>
      </c>
      <c r="U752" t="str">
        <f t="array" ref="U752">_xlfn.IFS(HR_Data[[#This Row],[Salary]]&gt;=100000,"A",HR_Data[[#This Row],[Salary]]&gt;=70000,"B",HR_Data[[#This Row],[Salary]]&gt;=50000,"C",TRUE(),"D")</f>
        <v>D</v>
      </c>
      <c r="V752" t="str">
        <f t="array" ref="V752">_xlfn.IFS(HR_Data[[#This Row],[Experience]]&gt;=15,"Expert",HR_Data[[#This Row],[Experience]]&gt;=8,"Senior",HR_Data[[#This Row],[Experience]]&gt;=3,"Mid-Level",TRUE(),"Junior")</f>
        <v>Mid-Level</v>
      </c>
    </row>
    <row r="753" spans="1:22" ht="14.25" customHeight="1" x14ac:dyDescent="0.3">
      <c r="A753" t="s">
        <v>1684</v>
      </c>
      <c r="B753" t="s">
        <v>879</v>
      </c>
      <c r="C753" t="s">
        <v>55</v>
      </c>
      <c r="D753" t="s">
        <v>25</v>
      </c>
      <c r="E753">
        <v>56</v>
      </c>
      <c r="F753">
        <v>130627</v>
      </c>
      <c r="G753">
        <v>32</v>
      </c>
      <c r="H753" t="s">
        <v>1685</v>
      </c>
      <c r="I753" t="s">
        <v>57</v>
      </c>
      <c r="J753" t="s">
        <v>90</v>
      </c>
      <c r="K753" t="s">
        <v>29</v>
      </c>
      <c r="L753" t="str">
        <f t="array" ref="L753">_xlfn.IFS(HR_Data[[#This Row],[Experience]]&lt;2,"0-2 Years",HR_Data[[#This Row],[Experience]]&lt;5,"2-5 Years",HR_Data[[#This Row],[Experience]]&lt;10,"5-10 Years",TRUE(),"10+ Years")</f>
        <v>10+ Years</v>
      </c>
      <c r="M753" t="str">
        <f t="array" ref="M753">_xlfn.IFS(HR_Data[[#This Row],[Salary]]&lt;40000,"Low",HR_Data[[#This Row],[Salary]]&lt;70000,"Medium",HR_Data[[#This Row],[Salary]]&lt;100000,"High",TRUE(),"Very High")</f>
        <v>Very High</v>
      </c>
      <c r="N753" t="str">
        <f t="array" ref="N753">_xlfn.IFS(HR_Data[[#This Row],[Age]]&lt;25,"18-24",HR_Data[[#This Row],[Age]]&lt;35,"25-34",HR_Data[[#This Row],[Age]]&lt;45,"35-44",TRUE(),"45+")</f>
        <v>45+</v>
      </c>
      <c r="O753">
        <f>YEAR(HR_Data[[#This Row],[Joining Date]])</f>
        <v>2020</v>
      </c>
      <c r="P753" t="str">
        <f>TEXT(HR_Data[[#This Row],[Joining Date]],"mmmm")</f>
        <v>November</v>
      </c>
      <c r="Q753">
        <f t="array" ref="Q753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753">
        <f>HR_Data[[#This Row],[Salary]]*HR_Data[[#This Row],[Bonus %]]</f>
        <v>0</v>
      </c>
      <c r="S753">
        <f>HR_Data[[#This Row],[Salary]]+HR_Data[[#This Row],[Bonus Amount]]</f>
        <v>130627</v>
      </c>
      <c r="T753" t="str">
        <f>IF(HR_Data[[#This Row],[Attrition]]="Yes","Inactive","Active")</f>
        <v>Active</v>
      </c>
      <c r="U753" t="str">
        <f t="array" ref="U753">_xlfn.IFS(HR_Data[[#This Row],[Salary]]&gt;=100000,"A",HR_Data[[#This Row],[Salary]]&gt;=70000,"B",HR_Data[[#This Row],[Salary]]&gt;=50000,"C",TRUE(),"D")</f>
        <v>A</v>
      </c>
      <c r="V753" t="str">
        <f t="array" ref="V753">_xlfn.IFS(HR_Data[[#This Row],[Experience]]&gt;=15,"Expert",HR_Data[[#This Row],[Experience]]&gt;=8,"Senior",HR_Data[[#This Row],[Experience]]&gt;=3,"Mid-Level",TRUE(),"Junior")</f>
        <v>Expert</v>
      </c>
    </row>
    <row r="754" spans="1:22" ht="14.25" customHeight="1" x14ac:dyDescent="0.3">
      <c r="A754" t="s">
        <v>1686</v>
      </c>
      <c r="B754" t="s">
        <v>444</v>
      </c>
      <c r="C754" t="s">
        <v>93</v>
      </c>
      <c r="D754" t="s">
        <v>33</v>
      </c>
      <c r="E754">
        <v>57</v>
      </c>
      <c r="F754">
        <v>120562</v>
      </c>
      <c r="G754">
        <v>29</v>
      </c>
      <c r="H754" t="s">
        <v>1687</v>
      </c>
      <c r="I754" t="s">
        <v>27</v>
      </c>
      <c r="J754" t="s">
        <v>46</v>
      </c>
      <c r="K754" t="s">
        <v>29</v>
      </c>
      <c r="L754" t="str">
        <f t="array" ref="L754">_xlfn.IFS(HR_Data[[#This Row],[Experience]]&lt;2,"0-2 Years",HR_Data[[#This Row],[Experience]]&lt;5,"2-5 Years",HR_Data[[#This Row],[Experience]]&lt;10,"5-10 Years",TRUE(),"10+ Years")</f>
        <v>10+ Years</v>
      </c>
      <c r="M754" t="str">
        <f t="array" ref="M754">_xlfn.IFS(HR_Data[[#This Row],[Salary]]&lt;40000,"Low",HR_Data[[#This Row],[Salary]]&lt;70000,"Medium",HR_Data[[#This Row],[Salary]]&lt;100000,"High",TRUE(),"Very High")</f>
        <v>Very High</v>
      </c>
      <c r="N754" t="str">
        <f t="array" ref="N754">_xlfn.IFS(HR_Data[[#This Row],[Age]]&lt;25,"18-24",HR_Data[[#This Row],[Age]]&lt;35,"25-34",HR_Data[[#This Row],[Age]]&lt;45,"35-44",TRUE(),"45+")</f>
        <v>45+</v>
      </c>
      <c r="O754">
        <f>YEAR(HR_Data[[#This Row],[Joining Date]])</f>
        <v>2015</v>
      </c>
      <c r="P754" t="str">
        <f>TEXT(HR_Data[[#This Row],[Joining Date]],"mmmm")</f>
        <v>May</v>
      </c>
      <c r="Q754">
        <f t="array" ref="Q754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754">
        <f>HR_Data[[#This Row],[Salary]]*HR_Data[[#This Row],[Bonus %]]</f>
        <v>6028.1</v>
      </c>
      <c r="S754">
        <f>HR_Data[[#This Row],[Salary]]+HR_Data[[#This Row],[Bonus Amount]]</f>
        <v>126590.1</v>
      </c>
      <c r="T754" t="str">
        <f>IF(HR_Data[[#This Row],[Attrition]]="Yes","Inactive","Active")</f>
        <v>Active</v>
      </c>
      <c r="U754" t="str">
        <f t="array" ref="U754">_xlfn.IFS(HR_Data[[#This Row],[Salary]]&gt;=100000,"A",HR_Data[[#This Row],[Salary]]&gt;=70000,"B",HR_Data[[#This Row],[Salary]]&gt;=50000,"C",TRUE(),"D")</f>
        <v>A</v>
      </c>
      <c r="V754" t="str">
        <f t="array" ref="V754">_xlfn.IFS(HR_Data[[#This Row],[Experience]]&gt;=15,"Expert",HR_Data[[#This Row],[Experience]]&gt;=8,"Senior",HR_Data[[#This Row],[Experience]]&gt;=3,"Mid-Level",TRUE(),"Junior")</f>
        <v>Expert</v>
      </c>
    </row>
    <row r="755" spans="1:22" ht="14.25" customHeight="1" x14ac:dyDescent="0.3">
      <c r="A755" t="s">
        <v>1688</v>
      </c>
      <c r="B755" t="s">
        <v>406</v>
      </c>
      <c r="C755" t="s">
        <v>112</v>
      </c>
      <c r="D755" t="s">
        <v>25</v>
      </c>
      <c r="E755">
        <v>36</v>
      </c>
      <c r="F755">
        <v>70412</v>
      </c>
      <c r="G755">
        <v>11</v>
      </c>
      <c r="H755" t="s">
        <v>1689</v>
      </c>
      <c r="I755" t="s">
        <v>42</v>
      </c>
      <c r="J755" t="s">
        <v>46</v>
      </c>
      <c r="K755" t="s">
        <v>29</v>
      </c>
      <c r="L755" t="str">
        <f t="array" ref="L755">_xlfn.IFS(HR_Data[[#This Row],[Experience]]&lt;2,"0-2 Years",HR_Data[[#This Row],[Experience]]&lt;5,"2-5 Years",HR_Data[[#This Row],[Experience]]&lt;10,"5-10 Years",TRUE(),"10+ Years")</f>
        <v>10+ Years</v>
      </c>
      <c r="M755" t="str">
        <f t="array" ref="M755">_xlfn.IFS(HR_Data[[#This Row],[Salary]]&lt;40000,"Low",HR_Data[[#This Row],[Salary]]&lt;70000,"Medium",HR_Data[[#This Row],[Salary]]&lt;100000,"High",TRUE(),"Very High")</f>
        <v>High</v>
      </c>
      <c r="N755" t="str">
        <f t="array" ref="N755">_xlfn.IFS(HR_Data[[#This Row],[Age]]&lt;25,"18-24",HR_Data[[#This Row],[Age]]&lt;35,"25-34",HR_Data[[#This Row],[Age]]&lt;45,"35-44",TRUE(),"45+")</f>
        <v>35-44</v>
      </c>
      <c r="O755">
        <f>YEAR(HR_Data[[#This Row],[Joining Date]])</f>
        <v>2025</v>
      </c>
      <c r="P755" t="str">
        <f>TEXT(HR_Data[[#This Row],[Joining Date]],"mmmm")</f>
        <v>December</v>
      </c>
      <c r="Q755">
        <f t="array" ref="Q755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755">
        <f>HR_Data[[#This Row],[Salary]]*HR_Data[[#This Row],[Bonus %]]</f>
        <v>3520.6000000000004</v>
      </c>
      <c r="S755">
        <f>HR_Data[[#This Row],[Salary]]+HR_Data[[#This Row],[Bonus Amount]]</f>
        <v>73932.600000000006</v>
      </c>
      <c r="T755" t="str">
        <f>IF(HR_Data[[#This Row],[Attrition]]="Yes","Inactive","Active")</f>
        <v>Active</v>
      </c>
      <c r="U755" t="str">
        <f t="array" ref="U755">_xlfn.IFS(HR_Data[[#This Row],[Salary]]&gt;=100000,"A",HR_Data[[#This Row],[Salary]]&gt;=70000,"B",HR_Data[[#This Row],[Salary]]&gt;=50000,"C",TRUE(),"D")</f>
        <v>B</v>
      </c>
      <c r="V755" t="str">
        <f t="array" ref="V755">_xlfn.IFS(HR_Data[[#This Row],[Experience]]&gt;=15,"Expert",HR_Data[[#This Row],[Experience]]&gt;=8,"Senior",HR_Data[[#This Row],[Experience]]&gt;=3,"Mid-Level",TRUE(),"Junior")</f>
        <v>Senior</v>
      </c>
    </row>
    <row r="756" spans="1:22" ht="14.25" customHeight="1" x14ac:dyDescent="0.3">
      <c r="A756" t="s">
        <v>1690</v>
      </c>
      <c r="B756" t="s">
        <v>74</v>
      </c>
      <c r="C756" t="s">
        <v>93</v>
      </c>
      <c r="D756" t="s">
        <v>25</v>
      </c>
      <c r="E756">
        <v>47</v>
      </c>
      <c r="F756">
        <v>107103</v>
      </c>
      <c r="G756">
        <v>22</v>
      </c>
      <c r="H756" t="s">
        <v>1691</v>
      </c>
      <c r="I756" t="s">
        <v>57</v>
      </c>
      <c r="J756" t="s">
        <v>28</v>
      </c>
      <c r="K756" t="s">
        <v>29</v>
      </c>
      <c r="L756" t="str">
        <f t="array" ref="L756">_xlfn.IFS(HR_Data[[#This Row],[Experience]]&lt;2,"0-2 Years",HR_Data[[#This Row],[Experience]]&lt;5,"2-5 Years",HR_Data[[#This Row],[Experience]]&lt;10,"5-10 Years",TRUE(),"10+ Years")</f>
        <v>10+ Years</v>
      </c>
      <c r="M756" t="str">
        <f t="array" ref="M756">_xlfn.IFS(HR_Data[[#This Row],[Salary]]&lt;40000,"Low",HR_Data[[#This Row],[Salary]]&lt;70000,"Medium",HR_Data[[#This Row],[Salary]]&lt;100000,"High",TRUE(),"Very High")</f>
        <v>Very High</v>
      </c>
      <c r="N756" t="str">
        <f t="array" ref="N756">_xlfn.IFS(HR_Data[[#This Row],[Age]]&lt;25,"18-24",HR_Data[[#This Row],[Age]]&lt;35,"25-34",HR_Data[[#This Row],[Age]]&lt;45,"35-44",TRUE(),"45+")</f>
        <v>45+</v>
      </c>
      <c r="O756">
        <f>YEAR(HR_Data[[#This Row],[Joining Date]])</f>
        <v>2023</v>
      </c>
      <c r="P756" t="str">
        <f>TEXT(HR_Data[[#This Row],[Joining Date]],"mmmm")</f>
        <v>January</v>
      </c>
      <c r="Q756">
        <f t="array" ref="Q756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756">
        <f>HR_Data[[#This Row],[Salary]]*HR_Data[[#This Row],[Bonus %]]</f>
        <v>16065.449999999999</v>
      </c>
      <c r="S756">
        <f>HR_Data[[#This Row],[Salary]]+HR_Data[[#This Row],[Bonus Amount]]</f>
        <v>123168.45</v>
      </c>
      <c r="T756" t="str">
        <f>IF(HR_Data[[#This Row],[Attrition]]="Yes","Inactive","Active")</f>
        <v>Active</v>
      </c>
      <c r="U756" t="str">
        <f t="array" ref="U756">_xlfn.IFS(HR_Data[[#This Row],[Salary]]&gt;=100000,"A",HR_Data[[#This Row],[Salary]]&gt;=70000,"B",HR_Data[[#This Row],[Salary]]&gt;=50000,"C",TRUE(),"D")</f>
        <v>A</v>
      </c>
      <c r="V756" t="str">
        <f t="array" ref="V756">_xlfn.IFS(HR_Data[[#This Row],[Experience]]&gt;=15,"Expert",HR_Data[[#This Row],[Experience]]&gt;=8,"Senior",HR_Data[[#This Row],[Experience]]&gt;=3,"Mid-Level",TRUE(),"Junior")</f>
        <v>Expert</v>
      </c>
    </row>
    <row r="757" spans="1:22" ht="14.25" customHeight="1" x14ac:dyDescent="0.3">
      <c r="A757" t="s">
        <v>1692</v>
      </c>
      <c r="B757" t="s">
        <v>1693</v>
      </c>
      <c r="C757" t="s">
        <v>40</v>
      </c>
      <c r="D757" t="s">
        <v>25</v>
      </c>
      <c r="E757">
        <v>47</v>
      </c>
      <c r="F757">
        <v>113858</v>
      </c>
      <c r="G757">
        <v>28</v>
      </c>
      <c r="H757" t="s">
        <v>1694</v>
      </c>
      <c r="I757" t="s">
        <v>57</v>
      </c>
      <c r="J757" t="s">
        <v>46</v>
      </c>
      <c r="K757" t="s">
        <v>29</v>
      </c>
      <c r="L757" t="str">
        <f t="array" ref="L757">_xlfn.IFS(HR_Data[[#This Row],[Experience]]&lt;2,"0-2 Years",HR_Data[[#This Row],[Experience]]&lt;5,"2-5 Years",HR_Data[[#This Row],[Experience]]&lt;10,"5-10 Years",TRUE(),"10+ Years")</f>
        <v>10+ Years</v>
      </c>
      <c r="M757" t="str">
        <f t="array" ref="M757">_xlfn.IFS(HR_Data[[#This Row],[Salary]]&lt;40000,"Low",HR_Data[[#This Row],[Salary]]&lt;70000,"Medium",HR_Data[[#This Row],[Salary]]&lt;100000,"High",TRUE(),"Very High")</f>
        <v>Very High</v>
      </c>
      <c r="N757" t="str">
        <f t="array" ref="N757">_xlfn.IFS(HR_Data[[#This Row],[Age]]&lt;25,"18-24",HR_Data[[#This Row],[Age]]&lt;35,"25-34",HR_Data[[#This Row],[Age]]&lt;45,"35-44",TRUE(),"45+")</f>
        <v>45+</v>
      </c>
      <c r="O757">
        <f>YEAR(HR_Data[[#This Row],[Joining Date]])</f>
        <v>2015</v>
      </c>
      <c r="P757" t="str">
        <f>TEXT(HR_Data[[#This Row],[Joining Date]],"mmmm")</f>
        <v>June</v>
      </c>
      <c r="Q757">
        <f t="array" ref="Q757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757">
        <f>HR_Data[[#This Row],[Salary]]*HR_Data[[#This Row],[Bonus %]]</f>
        <v>5692.9000000000005</v>
      </c>
      <c r="S757">
        <f>HR_Data[[#This Row],[Salary]]+HR_Data[[#This Row],[Bonus Amount]]</f>
        <v>119550.9</v>
      </c>
      <c r="T757" t="str">
        <f>IF(HR_Data[[#This Row],[Attrition]]="Yes","Inactive","Active")</f>
        <v>Active</v>
      </c>
      <c r="U757" t="str">
        <f t="array" ref="U757">_xlfn.IFS(HR_Data[[#This Row],[Salary]]&gt;=100000,"A",HR_Data[[#This Row],[Salary]]&gt;=70000,"B",HR_Data[[#This Row],[Salary]]&gt;=50000,"C",TRUE(),"D")</f>
        <v>A</v>
      </c>
      <c r="V757" t="str">
        <f t="array" ref="V757">_xlfn.IFS(HR_Data[[#This Row],[Experience]]&gt;=15,"Expert",HR_Data[[#This Row],[Experience]]&gt;=8,"Senior",HR_Data[[#This Row],[Experience]]&gt;=3,"Mid-Level",TRUE(),"Junior")</f>
        <v>Expert</v>
      </c>
    </row>
    <row r="758" spans="1:22" ht="14.25" customHeight="1" x14ac:dyDescent="0.3">
      <c r="A758" t="s">
        <v>1695</v>
      </c>
      <c r="B758" t="s">
        <v>276</v>
      </c>
      <c r="C758" t="s">
        <v>112</v>
      </c>
      <c r="D758" t="s">
        <v>33</v>
      </c>
      <c r="E758">
        <v>40</v>
      </c>
      <c r="F758">
        <v>73694</v>
      </c>
      <c r="G758">
        <v>14</v>
      </c>
      <c r="H758" t="s">
        <v>1696</v>
      </c>
      <c r="I758" t="s">
        <v>62</v>
      </c>
      <c r="J758" t="s">
        <v>28</v>
      </c>
      <c r="K758" t="s">
        <v>29</v>
      </c>
      <c r="L758" t="str">
        <f t="array" ref="L758">_xlfn.IFS(HR_Data[[#This Row],[Experience]]&lt;2,"0-2 Years",HR_Data[[#This Row],[Experience]]&lt;5,"2-5 Years",HR_Data[[#This Row],[Experience]]&lt;10,"5-10 Years",TRUE(),"10+ Years")</f>
        <v>10+ Years</v>
      </c>
      <c r="M758" t="str">
        <f t="array" ref="M758">_xlfn.IFS(HR_Data[[#This Row],[Salary]]&lt;40000,"Low",HR_Data[[#This Row],[Salary]]&lt;70000,"Medium",HR_Data[[#This Row],[Salary]]&lt;100000,"High",TRUE(),"Very High")</f>
        <v>High</v>
      </c>
      <c r="N758" t="str">
        <f t="array" ref="N758">_xlfn.IFS(HR_Data[[#This Row],[Age]]&lt;25,"18-24",HR_Data[[#This Row],[Age]]&lt;35,"25-34",HR_Data[[#This Row],[Age]]&lt;45,"35-44",TRUE(),"45+")</f>
        <v>35-44</v>
      </c>
      <c r="O758">
        <f>YEAR(HR_Data[[#This Row],[Joining Date]])</f>
        <v>2015</v>
      </c>
      <c r="P758" t="str">
        <f>TEXT(HR_Data[[#This Row],[Joining Date]],"mmmm")</f>
        <v>October</v>
      </c>
      <c r="Q758">
        <f t="array" ref="Q758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758">
        <f>HR_Data[[#This Row],[Salary]]*HR_Data[[#This Row],[Bonus %]]</f>
        <v>11054.1</v>
      </c>
      <c r="S758">
        <f>HR_Data[[#This Row],[Salary]]+HR_Data[[#This Row],[Bonus Amount]]</f>
        <v>84748.1</v>
      </c>
      <c r="T758" t="str">
        <f>IF(HR_Data[[#This Row],[Attrition]]="Yes","Inactive","Active")</f>
        <v>Active</v>
      </c>
      <c r="U758" t="str">
        <f t="array" ref="U758">_xlfn.IFS(HR_Data[[#This Row],[Salary]]&gt;=100000,"A",HR_Data[[#This Row],[Salary]]&gt;=70000,"B",HR_Data[[#This Row],[Salary]]&gt;=50000,"C",TRUE(),"D")</f>
        <v>B</v>
      </c>
      <c r="V758" t="str">
        <f t="array" ref="V758">_xlfn.IFS(HR_Data[[#This Row],[Experience]]&gt;=15,"Expert",HR_Data[[#This Row],[Experience]]&gt;=8,"Senior",HR_Data[[#This Row],[Experience]]&gt;=3,"Mid-Level",TRUE(),"Junior")</f>
        <v>Senior</v>
      </c>
    </row>
    <row r="759" spans="1:22" ht="14.25" customHeight="1" x14ac:dyDescent="0.3">
      <c r="A759" t="s">
        <v>1697</v>
      </c>
      <c r="B759" t="s">
        <v>375</v>
      </c>
      <c r="C759" t="s">
        <v>24</v>
      </c>
      <c r="D759" t="s">
        <v>33</v>
      </c>
      <c r="E759">
        <v>30</v>
      </c>
      <c r="F759">
        <v>58048</v>
      </c>
      <c r="G759">
        <v>7</v>
      </c>
      <c r="H759" t="s">
        <v>1698</v>
      </c>
      <c r="I759" t="s">
        <v>42</v>
      </c>
      <c r="J759" t="s">
        <v>36</v>
      </c>
      <c r="K759" t="s">
        <v>29</v>
      </c>
      <c r="L759" t="str">
        <f t="array" ref="L759">_xlfn.IFS(HR_Data[[#This Row],[Experience]]&lt;2,"0-2 Years",HR_Data[[#This Row],[Experience]]&lt;5,"2-5 Years",HR_Data[[#This Row],[Experience]]&lt;10,"5-10 Years",TRUE(),"10+ Years")</f>
        <v>5-10 Years</v>
      </c>
      <c r="M759" t="str">
        <f t="array" ref="M759">_xlfn.IFS(HR_Data[[#This Row],[Salary]]&lt;40000,"Low",HR_Data[[#This Row],[Salary]]&lt;70000,"Medium",HR_Data[[#This Row],[Salary]]&lt;100000,"High",TRUE(),"Very High")</f>
        <v>Medium</v>
      </c>
      <c r="N759" t="str">
        <f t="array" ref="N759">_xlfn.IFS(HR_Data[[#This Row],[Age]]&lt;25,"18-24",HR_Data[[#This Row],[Age]]&lt;35,"25-34",HR_Data[[#This Row],[Age]]&lt;45,"35-44",TRUE(),"45+")</f>
        <v>25-34</v>
      </c>
      <c r="O759">
        <f>YEAR(HR_Data[[#This Row],[Joining Date]])</f>
        <v>2026</v>
      </c>
      <c r="P759" t="str">
        <f>TEXT(HR_Data[[#This Row],[Joining Date]],"mmmm")</f>
        <v>March</v>
      </c>
      <c r="Q759">
        <f t="array" ref="Q75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59">
        <f>HR_Data[[#This Row],[Salary]]*HR_Data[[#This Row],[Bonus %]]</f>
        <v>5804.8</v>
      </c>
      <c r="S759">
        <f>HR_Data[[#This Row],[Salary]]+HR_Data[[#This Row],[Bonus Amount]]</f>
        <v>63852.800000000003</v>
      </c>
      <c r="T759" t="str">
        <f>IF(HR_Data[[#This Row],[Attrition]]="Yes","Inactive","Active")</f>
        <v>Active</v>
      </c>
      <c r="U759" t="str">
        <f t="array" ref="U759">_xlfn.IFS(HR_Data[[#This Row],[Salary]]&gt;=100000,"A",HR_Data[[#This Row],[Salary]]&gt;=70000,"B",HR_Data[[#This Row],[Salary]]&gt;=50000,"C",TRUE(),"D")</f>
        <v>C</v>
      </c>
      <c r="V759" t="str">
        <f t="array" ref="V759">_xlfn.IFS(HR_Data[[#This Row],[Experience]]&gt;=15,"Expert",HR_Data[[#This Row],[Experience]]&gt;=8,"Senior",HR_Data[[#This Row],[Experience]]&gt;=3,"Mid-Level",TRUE(),"Junior")</f>
        <v>Mid-Level</v>
      </c>
    </row>
    <row r="760" spans="1:22" ht="14.25" customHeight="1" x14ac:dyDescent="0.3">
      <c r="A760" t="s">
        <v>1699</v>
      </c>
      <c r="B760" t="s">
        <v>332</v>
      </c>
      <c r="C760" t="s">
        <v>134</v>
      </c>
      <c r="D760" t="s">
        <v>33</v>
      </c>
      <c r="E760">
        <v>38</v>
      </c>
      <c r="F760">
        <v>44731</v>
      </c>
      <c r="G760">
        <v>8</v>
      </c>
      <c r="H760" t="s">
        <v>1282</v>
      </c>
      <c r="I760" t="s">
        <v>27</v>
      </c>
      <c r="J760" t="s">
        <v>28</v>
      </c>
      <c r="K760" t="s">
        <v>29</v>
      </c>
      <c r="L760" t="str">
        <f t="array" ref="L760">_xlfn.IFS(HR_Data[[#This Row],[Experience]]&lt;2,"0-2 Years",HR_Data[[#This Row],[Experience]]&lt;5,"2-5 Years",HR_Data[[#This Row],[Experience]]&lt;10,"5-10 Years",TRUE(),"10+ Years")</f>
        <v>5-10 Years</v>
      </c>
      <c r="M760" t="str">
        <f t="array" ref="M760">_xlfn.IFS(HR_Data[[#This Row],[Salary]]&lt;40000,"Low",HR_Data[[#This Row],[Salary]]&lt;70000,"Medium",HR_Data[[#This Row],[Salary]]&lt;100000,"High",TRUE(),"Very High")</f>
        <v>Medium</v>
      </c>
      <c r="N760" t="str">
        <f t="array" ref="N760">_xlfn.IFS(HR_Data[[#This Row],[Age]]&lt;25,"18-24",HR_Data[[#This Row],[Age]]&lt;35,"25-34",HR_Data[[#This Row],[Age]]&lt;45,"35-44",TRUE(),"45+")</f>
        <v>35-44</v>
      </c>
      <c r="O760">
        <f>YEAR(HR_Data[[#This Row],[Joining Date]])</f>
        <v>2017</v>
      </c>
      <c r="P760" t="str">
        <f>TEXT(HR_Data[[#This Row],[Joining Date]],"mmmm")</f>
        <v>November</v>
      </c>
      <c r="Q760">
        <f t="array" ref="Q760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760">
        <f>HR_Data[[#This Row],[Salary]]*HR_Data[[#This Row],[Bonus %]]</f>
        <v>6709.65</v>
      </c>
      <c r="S760">
        <f>HR_Data[[#This Row],[Salary]]+HR_Data[[#This Row],[Bonus Amount]]</f>
        <v>51440.65</v>
      </c>
      <c r="T760" t="str">
        <f>IF(HR_Data[[#This Row],[Attrition]]="Yes","Inactive","Active")</f>
        <v>Active</v>
      </c>
      <c r="U760" t="str">
        <f t="array" ref="U760">_xlfn.IFS(HR_Data[[#This Row],[Salary]]&gt;=100000,"A",HR_Data[[#This Row],[Salary]]&gt;=70000,"B",HR_Data[[#This Row],[Salary]]&gt;=50000,"C",TRUE(),"D")</f>
        <v>D</v>
      </c>
      <c r="V760" t="str">
        <f t="array" ref="V760">_xlfn.IFS(HR_Data[[#This Row],[Experience]]&gt;=15,"Expert",HR_Data[[#This Row],[Experience]]&gt;=8,"Senior",HR_Data[[#This Row],[Experience]]&gt;=3,"Mid-Level",TRUE(),"Junior")</f>
        <v>Senior</v>
      </c>
    </row>
    <row r="761" spans="1:22" ht="14.25" customHeight="1" x14ac:dyDescent="0.3">
      <c r="A761" t="s">
        <v>1700</v>
      </c>
      <c r="B761" t="s">
        <v>146</v>
      </c>
      <c r="C761" t="s">
        <v>32</v>
      </c>
      <c r="D761" t="s">
        <v>25</v>
      </c>
      <c r="E761">
        <v>60</v>
      </c>
      <c r="F761">
        <v>134087</v>
      </c>
      <c r="G761">
        <v>34</v>
      </c>
      <c r="H761" t="s">
        <v>1701</v>
      </c>
      <c r="I761" t="s">
        <v>80</v>
      </c>
      <c r="J761" t="s">
        <v>63</v>
      </c>
      <c r="K761" t="s">
        <v>29</v>
      </c>
      <c r="L761" t="str">
        <f t="array" ref="L761">_xlfn.IFS(HR_Data[[#This Row],[Experience]]&lt;2,"0-2 Years",HR_Data[[#This Row],[Experience]]&lt;5,"2-5 Years",HR_Data[[#This Row],[Experience]]&lt;10,"5-10 Years",TRUE(),"10+ Years")</f>
        <v>10+ Years</v>
      </c>
      <c r="M761" t="str">
        <f t="array" ref="M761">_xlfn.IFS(HR_Data[[#This Row],[Salary]]&lt;40000,"Low",HR_Data[[#This Row],[Salary]]&lt;70000,"Medium",HR_Data[[#This Row],[Salary]]&lt;100000,"High",TRUE(),"Very High")</f>
        <v>Very High</v>
      </c>
      <c r="N761" t="str">
        <f t="array" ref="N761">_xlfn.IFS(HR_Data[[#This Row],[Age]]&lt;25,"18-24",HR_Data[[#This Row],[Age]]&lt;35,"25-34",HR_Data[[#This Row],[Age]]&lt;45,"35-44",TRUE(),"45+")</f>
        <v>45+</v>
      </c>
      <c r="O761">
        <f>YEAR(HR_Data[[#This Row],[Joining Date]])</f>
        <v>2025</v>
      </c>
      <c r="P761" t="str">
        <f>TEXT(HR_Data[[#This Row],[Joining Date]],"mmmm")</f>
        <v>March</v>
      </c>
      <c r="Q761">
        <f t="array" ref="Q761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761">
        <f>HR_Data[[#This Row],[Salary]]*HR_Data[[#This Row],[Bonus %]]</f>
        <v>26817.4</v>
      </c>
      <c r="S761">
        <f>HR_Data[[#This Row],[Salary]]+HR_Data[[#This Row],[Bonus Amount]]</f>
        <v>160904.4</v>
      </c>
      <c r="T761" t="str">
        <f>IF(HR_Data[[#This Row],[Attrition]]="Yes","Inactive","Active")</f>
        <v>Active</v>
      </c>
      <c r="U761" t="str">
        <f t="array" ref="U761">_xlfn.IFS(HR_Data[[#This Row],[Salary]]&gt;=100000,"A",HR_Data[[#This Row],[Salary]]&gt;=70000,"B",HR_Data[[#This Row],[Salary]]&gt;=50000,"C",TRUE(),"D")</f>
        <v>A</v>
      </c>
      <c r="V761" t="str">
        <f t="array" ref="V761">_xlfn.IFS(HR_Data[[#This Row],[Experience]]&gt;=15,"Expert",HR_Data[[#This Row],[Experience]]&gt;=8,"Senior",HR_Data[[#This Row],[Experience]]&gt;=3,"Mid-Level",TRUE(),"Junior")</f>
        <v>Expert</v>
      </c>
    </row>
    <row r="762" spans="1:22" ht="14.25" customHeight="1" x14ac:dyDescent="0.3">
      <c r="A762" t="s">
        <v>1702</v>
      </c>
      <c r="B762" t="s">
        <v>727</v>
      </c>
      <c r="C762" t="s">
        <v>112</v>
      </c>
      <c r="D762" t="s">
        <v>25</v>
      </c>
      <c r="E762">
        <v>36</v>
      </c>
      <c r="F762">
        <v>56383</v>
      </c>
      <c r="G762">
        <v>7</v>
      </c>
      <c r="H762" t="s">
        <v>1703</v>
      </c>
      <c r="I762" t="s">
        <v>62</v>
      </c>
      <c r="J762" t="s">
        <v>36</v>
      </c>
      <c r="K762" t="s">
        <v>29</v>
      </c>
      <c r="L762" t="str">
        <f t="array" ref="L762">_xlfn.IFS(HR_Data[[#This Row],[Experience]]&lt;2,"0-2 Years",HR_Data[[#This Row],[Experience]]&lt;5,"2-5 Years",HR_Data[[#This Row],[Experience]]&lt;10,"5-10 Years",TRUE(),"10+ Years")</f>
        <v>5-10 Years</v>
      </c>
      <c r="M762" t="str">
        <f t="array" ref="M762">_xlfn.IFS(HR_Data[[#This Row],[Salary]]&lt;40000,"Low",HR_Data[[#This Row],[Salary]]&lt;70000,"Medium",HR_Data[[#This Row],[Salary]]&lt;100000,"High",TRUE(),"Very High")</f>
        <v>Medium</v>
      </c>
      <c r="N762" t="str">
        <f t="array" ref="N762">_xlfn.IFS(HR_Data[[#This Row],[Age]]&lt;25,"18-24",HR_Data[[#This Row],[Age]]&lt;35,"25-34",HR_Data[[#This Row],[Age]]&lt;45,"35-44",TRUE(),"45+")</f>
        <v>35-44</v>
      </c>
      <c r="O762">
        <f>YEAR(HR_Data[[#This Row],[Joining Date]])</f>
        <v>2025</v>
      </c>
      <c r="P762" t="str">
        <f>TEXT(HR_Data[[#This Row],[Joining Date]],"mmmm")</f>
        <v>June</v>
      </c>
      <c r="Q762">
        <f t="array" ref="Q76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62">
        <f>HR_Data[[#This Row],[Salary]]*HR_Data[[#This Row],[Bonus %]]</f>
        <v>5638.3</v>
      </c>
      <c r="S762">
        <f>HR_Data[[#This Row],[Salary]]+HR_Data[[#This Row],[Bonus Amount]]</f>
        <v>62021.3</v>
      </c>
      <c r="T762" t="str">
        <f>IF(HR_Data[[#This Row],[Attrition]]="Yes","Inactive","Active")</f>
        <v>Active</v>
      </c>
      <c r="U762" t="str">
        <f t="array" ref="U762">_xlfn.IFS(HR_Data[[#This Row],[Salary]]&gt;=100000,"A",HR_Data[[#This Row],[Salary]]&gt;=70000,"B",HR_Data[[#This Row],[Salary]]&gt;=50000,"C",TRUE(),"D")</f>
        <v>C</v>
      </c>
      <c r="V762" t="str">
        <f t="array" ref="V762">_xlfn.IFS(HR_Data[[#This Row],[Experience]]&gt;=15,"Expert",HR_Data[[#This Row],[Experience]]&gt;=8,"Senior",HR_Data[[#This Row],[Experience]]&gt;=3,"Mid-Level",TRUE(),"Junior")</f>
        <v>Mid-Level</v>
      </c>
    </row>
    <row r="763" spans="1:22" ht="14.25" customHeight="1" x14ac:dyDescent="0.3">
      <c r="A763" t="s">
        <v>1704</v>
      </c>
      <c r="B763" t="s">
        <v>193</v>
      </c>
      <c r="C763" t="s">
        <v>60</v>
      </c>
      <c r="D763" t="s">
        <v>25</v>
      </c>
      <c r="E763">
        <v>60</v>
      </c>
      <c r="F763">
        <v>136162</v>
      </c>
      <c r="G763">
        <v>34</v>
      </c>
      <c r="H763" t="s">
        <v>1705</v>
      </c>
      <c r="I763" t="s">
        <v>42</v>
      </c>
      <c r="J763" t="s">
        <v>28</v>
      </c>
      <c r="K763" t="s">
        <v>29</v>
      </c>
      <c r="L763" t="str">
        <f t="array" ref="L763">_xlfn.IFS(HR_Data[[#This Row],[Experience]]&lt;2,"0-2 Years",HR_Data[[#This Row],[Experience]]&lt;5,"2-5 Years",HR_Data[[#This Row],[Experience]]&lt;10,"5-10 Years",TRUE(),"10+ Years")</f>
        <v>10+ Years</v>
      </c>
      <c r="M763" t="str">
        <f t="array" ref="M763">_xlfn.IFS(HR_Data[[#This Row],[Salary]]&lt;40000,"Low",HR_Data[[#This Row],[Salary]]&lt;70000,"Medium",HR_Data[[#This Row],[Salary]]&lt;100000,"High",TRUE(),"Very High")</f>
        <v>Very High</v>
      </c>
      <c r="N763" t="str">
        <f t="array" ref="N763">_xlfn.IFS(HR_Data[[#This Row],[Age]]&lt;25,"18-24",HR_Data[[#This Row],[Age]]&lt;35,"25-34",HR_Data[[#This Row],[Age]]&lt;45,"35-44",TRUE(),"45+")</f>
        <v>45+</v>
      </c>
      <c r="O763">
        <f>YEAR(HR_Data[[#This Row],[Joining Date]])</f>
        <v>2015</v>
      </c>
      <c r="P763" t="str">
        <f>TEXT(HR_Data[[#This Row],[Joining Date]],"mmmm")</f>
        <v>February</v>
      </c>
      <c r="Q763">
        <f t="array" ref="Q76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763">
        <f>HR_Data[[#This Row],[Salary]]*HR_Data[[#This Row],[Bonus %]]</f>
        <v>20424.3</v>
      </c>
      <c r="S763">
        <f>HR_Data[[#This Row],[Salary]]+HR_Data[[#This Row],[Bonus Amount]]</f>
        <v>156586.29999999999</v>
      </c>
      <c r="T763" t="str">
        <f>IF(HR_Data[[#This Row],[Attrition]]="Yes","Inactive","Active")</f>
        <v>Active</v>
      </c>
      <c r="U763" t="str">
        <f t="array" ref="U763">_xlfn.IFS(HR_Data[[#This Row],[Salary]]&gt;=100000,"A",HR_Data[[#This Row],[Salary]]&gt;=70000,"B",HR_Data[[#This Row],[Salary]]&gt;=50000,"C",TRUE(),"D")</f>
        <v>A</v>
      </c>
      <c r="V763" t="str">
        <f t="array" ref="V763">_xlfn.IFS(HR_Data[[#This Row],[Experience]]&gt;=15,"Expert",HR_Data[[#This Row],[Experience]]&gt;=8,"Senior",HR_Data[[#This Row],[Experience]]&gt;=3,"Mid-Level",TRUE(),"Junior")</f>
        <v>Expert</v>
      </c>
    </row>
    <row r="764" spans="1:22" ht="14.25" customHeight="1" x14ac:dyDescent="0.3">
      <c r="A764" t="s">
        <v>1706</v>
      </c>
      <c r="B764" t="s">
        <v>670</v>
      </c>
      <c r="C764" t="s">
        <v>93</v>
      </c>
      <c r="D764" t="s">
        <v>25</v>
      </c>
      <c r="E764">
        <v>37</v>
      </c>
      <c r="F764">
        <v>70389</v>
      </c>
      <c r="G764">
        <v>15</v>
      </c>
      <c r="H764" t="s">
        <v>1199</v>
      </c>
      <c r="I764" t="s">
        <v>27</v>
      </c>
      <c r="J764" t="s">
        <v>28</v>
      </c>
      <c r="K764" t="s">
        <v>29</v>
      </c>
      <c r="L764" t="str">
        <f t="array" ref="L764">_xlfn.IFS(HR_Data[[#This Row],[Experience]]&lt;2,"0-2 Years",HR_Data[[#This Row],[Experience]]&lt;5,"2-5 Years",HR_Data[[#This Row],[Experience]]&lt;10,"5-10 Years",TRUE(),"10+ Years")</f>
        <v>10+ Years</v>
      </c>
      <c r="M764" t="str">
        <f t="array" ref="M764">_xlfn.IFS(HR_Data[[#This Row],[Salary]]&lt;40000,"Low",HR_Data[[#This Row],[Salary]]&lt;70000,"Medium",HR_Data[[#This Row],[Salary]]&lt;100000,"High",TRUE(),"Very High")</f>
        <v>High</v>
      </c>
      <c r="N764" t="str">
        <f t="array" ref="N764">_xlfn.IFS(HR_Data[[#This Row],[Age]]&lt;25,"18-24",HR_Data[[#This Row],[Age]]&lt;35,"25-34",HR_Data[[#This Row],[Age]]&lt;45,"35-44",TRUE(),"45+")</f>
        <v>35-44</v>
      </c>
      <c r="O764">
        <f>YEAR(HR_Data[[#This Row],[Joining Date]])</f>
        <v>2022</v>
      </c>
      <c r="P764" t="str">
        <f>TEXT(HR_Data[[#This Row],[Joining Date]],"mmmm")</f>
        <v>May</v>
      </c>
      <c r="Q764">
        <f t="array" ref="Q764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764">
        <f>HR_Data[[#This Row],[Salary]]*HR_Data[[#This Row],[Bonus %]]</f>
        <v>10558.35</v>
      </c>
      <c r="S764">
        <f>HR_Data[[#This Row],[Salary]]+HR_Data[[#This Row],[Bonus Amount]]</f>
        <v>80947.350000000006</v>
      </c>
      <c r="T764" t="str">
        <f>IF(HR_Data[[#This Row],[Attrition]]="Yes","Inactive","Active")</f>
        <v>Active</v>
      </c>
      <c r="U764" t="str">
        <f t="array" ref="U764">_xlfn.IFS(HR_Data[[#This Row],[Salary]]&gt;=100000,"A",HR_Data[[#This Row],[Salary]]&gt;=70000,"B",HR_Data[[#This Row],[Salary]]&gt;=50000,"C",TRUE(),"D")</f>
        <v>B</v>
      </c>
      <c r="V764" t="str">
        <f t="array" ref="V764">_xlfn.IFS(HR_Data[[#This Row],[Experience]]&gt;=15,"Expert",HR_Data[[#This Row],[Experience]]&gt;=8,"Senior",HR_Data[[#This Row],[Experience]]&gt;=3,"Mid-Level",TRUE(),"Junior")</f>
        <v>Expert</v>
      </c>
    </row>
    <row r="765" spans="1:22" ht="14.25" customHeight="1" x14ac:dyDescent="0.3">
      <c r="A765" t="s">
        <v>1707</v>
      </c>
      <c r="B765" t="s">
        <v>146</v>
      </c>
      <c r="C765" t="s">
        <v>75</v>
      </c>
      <c r="D765" t="s">
        <v>33</v>
      </c>
      <c r="E765">
        <v>44</v>
      </c>
      <c r="F765">
        <v>92298</v>
      </c>
      <c r="G765">
        <v>21</v>
      </c>
      <c r="H765" t="s">
        <v>1191</v>
      </c>
      <c r="I765" t="s">
        <v>42</v>
      </c>
      <c r="J765" t="s">
        <v>36</v>
      </c>
      <c r="K765" t="s">
        <v>29</v>
      </c>
      <c r="L765" t="str">
        <f t="array" ref="L765">_xlfn.IFS(HR_Data[[#This Row],[Experience]]&lt;2,"0-2 Years",HR_Data[[#This Row],[Experience]]&lt;5,"2-5 Years",HR_Data[[#This Row],[Experience]]&lt;10,"5-10 Years",TRUE(),"10+ Years")</f>
        <v>10+ Years</v>
      </c>
      <c r="M765" t="str">
        <f t="array" ref="M765">_xlfn.IFS(HR_Data[[#This Row],[Salary]]&lt;40000,"Low",HR_Data[[#This Row],[Salary]]&lt;70000,"Medium",HR_Data[[#This Row],[Salary]]&lt;100000,"High",TRUE(),"Very High")</f>
        <v>High</v>
      </c>
      <c r="N765" t="str">
        <f t="array" ref="N765">_xlfn.IFS(HR_Data[[#This Row],[Age]]&lt;25,"18-24",HR_Data[[#This Row],[Age]]&lt;35,"25-34",HR_Data[[#This Row],[Age]]&lt;45,"35-44",TRUE(),"45+")</f>
        <v>35-44</v>
      </c>
      <c r="O765">
        <f>YEAR(HR_Data[[#This Row],[Joining Date]])</f>
        <v>2017</v>
      </c>
      <c r="P765" t="str">
        <f>TEXT(HR_Data[[#This Row],[Joining Date]],"mmmm")</f>
        <v>June</v>
      </c>
      <c r="Q765">
        <f t="array" ref="Q76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65">
        <f>HR_Data[[#This Row],[Salary]]*HR_Data[[#This Row],[Bonus %]]</f>
        <v>9229.8000000000011</v>
      </c>
      <c r="S765">
        <f>HR_Data[[#This Row],[Salary]]+HR_Data[[#This Row],[Bonus Amount]]</f>
        <v>101527.8</v>
      </c>
      <c r="T765" t="str">
        <f>IF(HR_Data[[#This Row],[Attrition]]="Yes","Inactive","Active")</f>
        <v>Active</v>
      </c>
      <c r="U765" t="str">
        <f t="array" ref="U765">_xlfn.IFS(HR_Data[[#This Row],[Salary]]&gt;=100000,"A",HR_Data[[#This Row],[Salary]]&gt;=70000,"B",HR_Data[[#This Row],[Salary]]&gt;=50000,"C",TRUE(),"D")</f>
        <v>B</v>
      </c>
      <c r="V765" t="str">
        <f t="array" ref="V765">_xlfn.IFS(HR_Data[[#This Row],[Experience]]&gt;=15,"Expert",HR_Data[[#This Row],[Experience]]&gt;=8,"Senior",HR_Data[[#This Row],[Experience]]&gt;=3,"Mid-Level",TRUE(),"Junior")</f>
        <v>Expert</v>
      </c>
    </row>
    <row r="766" spans="1:22" ht="14.25" customHeight="1" x14ac:dyDescent="0.3">
      <c r="A766" t="s">
        <v>1708</v>
      </c>
      <c r="B766" t="s">
        <v>891</v>
      </c>
      <c r="C766" t="s">
        <v>55</v>
      </c>
      <c r="D766" t="s">
        <v>33</v>
      </c>
      <c r="E766">
        <v>48</v>
      </c>
      <c r="F766">
        <v>121229</v>
      </c>
      <c r="G766">
        <v>28</v>
      </c>
      <c r="H766" t="s">
        <v>1709</v>
      </c>
      <c r="I766" t="s">
        <v>132</v>
      </c>
      <c r="J766" t="s">
        <v>63</v>
      </c>
      <c r="K766" t="s">
        <v>37</v>
      </c>
      <c r="L766" t="str">
        <f t="array" ref="L766">_xlfn.IFS(HR_Data[[#This Row],[Experience]]&lt;2,"0-2 Years",HR_Data[[#This Row],[Experience]]&lt;5,"2-5 Years",HR_Data[[#This Row],[Experience]]&lt;10,"5-10 Years",TRUE(),"10+ Years")</f>
        <v>10+ Years</v>
      </c>
      <c r="M766" t="str">
        <f t="array" ref="M766">_xlfn.IFS(HR_Data[[#This Row],[Salary]]&lt;40000,"Low",HR_Data[[#This Row],[Salary]]&lt;70000,"Medium",HR_Data[[#This Row],[Salary]]&lt;100000,"High",TRUE(),"Very High")</f>
        <v>Very High</v>
      </c>
      <c r="N766" t="str">
        <f t="array" ref="N766">_xlfn.IFS(HR_Data[[#This Row],[Age]]&lt;25,"18-24",HR_Data[[#This Row],[Age]]&lt;35,"25-34",HR_Data[[#This Row],[Age]]&lt;45,"35-44",TRUE(),"45+")</f>
        <v>45+</v>
      </c>
      <c r="O766">
        <f>YEAR(HR_Data[[#This Row],[Joining Date]])</f>
        <v>2017</v>
      </c>
      <c r="P766" t="str">
        <f>TEXT(HR_Data[[#This Row],[Joining Date]],"mmmm")</f>
        <v>October</v>
      </c>
      <c r="Q766">
        <f t="array" ref="Q766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766">
        <f>HR_Data[[#This Row],[Salary]]*HR_Data[[#This Row],[Bonus %]]</f>
        <v>24245.800000000003</v>
      </c>
      <c r="S766">
        <f>HR_Data[[#This Row],[Salary]]+HR_Data[[#This Row],[Bonus Amount]]</f>
        <v>145474.79999999999</v>
      </c>
      <c r="T766" t="str">
        <f>IF(HR_Data[[#This Row],[Attrition]]="Yes","Inactive","Active")</f>
        <v>Inactive</v>
      </c>
      <c r="U766" t="str">
        <f t="array" ref="U766">_xlfn.IFS(HR_Data[[#This Row],[Salary]]&gt;=100000,"A",HR_Data[[#This Row],[Salary]]&gt;=70000,"B",HR_Data[[#This Row],[Salary]]&gt;=50000,"C",TRUE(),"D")</f>
        <v>A</v>
      </c>
      <c r="V766" t="str">
        <f t="array" ref="V766">_xlfn.IFS(HR_Data[[#This Row],[Experience]]&gt;=15,"Expert",HR_Data[[#This Row],[Experience]]&gt;=8,"Senior",HR_Data[[#This Row],[Experience]]&gt;=3,"Mid-Level",TRUE(),"Junior")</f>
        <v>Expert</v>
      </c>
    </row>
    <row r="767" spans="1:22" ht="14.25" customHeight="1" x14ac:dyDescent="0.3">
      <c r="A767" t="s">
        <v>1710</v>
      </c>
      <c r="B767" t="s">
        <v>670</v>
      </c>
      <c r="C767" t="s">
        <v>75</v>
      </c>
      <c r="D767" t="s">
        <v>33</v>
      </c>
      <c r="E767">
        <v>29</v>
      </c>
      <c r="F767">
        <v>28395</v>
      </c>
      <c r="G767">
        <v>3</v>
      </c>
      <c r="H767" t="s">
        <v>1711</v>
      </c>
      <c r="I767" t="s">
        <v>80</v>
      </c>
      <c r="J767" t="s">
        <v>36</v>
      </c>
      <c r="K767" t="s">
        <v>29</v>
      </c>
      <c r="L767" t="str">
        <f t="array" ref="L767">_xlfn.IFS(HR_Data[[#This Row],[Experience]]&lt;2,"0-2 Years",HR_Data[[#This Row],[Experience]]&lt;5,"2-5 Years",HR_Data[[#This Row],[Experience]]&lt;10,"5-10 Years",TRUE(),"10+ Years")</f>
        <v>2-5 Years</v>
      </c>
      <c r="M767" t="str">
        <f t="array" ref="M767">_xlfn.IFS(HR_Data[[#This Row],[Salary]]&lt;40000,"Low",HR_Data[[#This Row],[Salary]]&lt;70000,"Medium",HR_Data[[#This Row],[Salary]]&lt;100000,"High",TRUE(),"Very High")</f>
        <v>Low</v>
      </c>
      <c r="N767" t="str">
        <f t="array" ref="N767">_xlfn.IFS(HR_Data[[#This Row],[Age]]&lt;25,"18-24",HR_Data[[#This Row],[Age]]&lt;35,"25-34",HR_Data[[#This Row],[Age]]&lt;45,"35-44",TRUE(),"45+")</f>
        <v>25-34</v>
      </c>
      <c r="O767">
        <f>YEAR(HR_Data[[#This Row],[Joining Date]])</f>
        <v>2021</v>
      </c>
      <c r="P767" t="str">
        <f>TEXT(HR_Data[[#This Row],[Joining Date]],"mmmm")</f>
        <v>October</v>
      </c>
      <c r="Q767">
        <f t="array" ref="Q767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67">
        <f>HR_Data[[#This Row],[Salary]]*HR_Data[[#This Row],[Bonus %]]</f>
        <v>2839.5</v>
      </c>
      <c r="S767">
        <f>HR_Data[[#This Row],[Salary]]+HR_Data[[#This Row],[Bonus Amount]]</f>
        <v>31234.5</v>
      </c>
      <c r="T767" t="str">
        <f>IF(HR_Data[[#This Row],[Attrition]]="Yes","Inactive","Active")</f>
        <v>Active</v>
      </c>
      <c r="U767" t="str">
        <f t="array" ref="U767">_xlfn.IFS(HR_Data[[#This Row],[Salary]]&gt;=100000,"A",HR_Data[[#This Row],[Salary]]&gt;=70000,"B",HR_Data[[#This Row],[Salary]]&gt;=50000,"C",TRUE(),"D")</f>
        <v>D</v>
      </c>
      <c r="V767" t="str">
        <f t="array" ref="V767">_xlfn.IFS(HR_Data[[#This Row],[Experience]]&gt;=15,"Expert",HR_Data[[#This Row],[Experience]]&gt;=8,"Senior",HR_Data[[#This Row],[Experience]]&gt;=3,"Mid-Level",TRUE(),"Junior")</f>
        <v>Mid-Level</v>
      </c>
    </row>
    <row r="768" spans="1:22" ht="14.25" customHeight="1" x14ac:dyDescent="0.3">
      <c r="A768" t="s">
        <v>1712</v>
      </c>
      <c r="B768" t="s">
        <v>582</v>
      </c>
      <c r="C768" t="s">
        <v>93</v>
      </c>
      <c r="D768" t="s">
        <v>25</v>
      </c>
      <c r="E768">
        <v>49</v>
      </c>
      <c r="F768">
        <v>96940</v>
      </c>
      <c r="G768">
        <v>24</v>
      </c>
      <c r="H768" t="s">
        <v>1713</v>
      </c>
      <c r="I768" t="s">
        <v>35</v>
      </c>
      <c r="J768" t="s">
        <v>28</v>
      </c>
      <c r="K768" t="s">
        <v>29</v>
      </c>
      <c r="L768" t="str">
        <f t="array" ref="L768">_xlfn.IFS(HR_Data[[#This Row],[Experience]]&lt;2,"0-2 Years",HR_Data[[#This Row],[Experience]]&lt;5,"2-5 Years",HR_Data[[#This Row],[Experience]]&lt;10,"5-10 Years",TRUE(),"10+ Years")</f>
        <v>10+ Years</v>
      </c>
      <c r="M768" t="str">
        <f t="array" ref="M768">_xlfn.IFS(HR_Data[[#This Row],[Salary]]&lt;40000,"Low",HR_Data[[#This Row],[Salary]]&lt;70000,"Medium",HR_Data[[#This Row],[Salary]]&lt;100000,"High",TRUE(),"Very High")</f>
        <v>High</v>
      </c>
      <c r="N768" t="str">
        <f t="array" ref="N768">_xlfn.IFS(HR_Data[[#This Row],[Age]]&lt;25,"18-24",HR_Data[[#This Row],[Age]]&lt;35,"25-34",HR_Data[[#This Row],[Age]]&lt;45,"35-44",TRUE(),"45+")</f>
        <v>45+</v>
      </c>
      <c r="O768">
        <f>YEAR(HR_Data[[#This Row],[Joining Date]])</f>
        <v>2024</v>
      </c>
      <c r="P768" t="str">
        <f>TEXT(HR_Data[[#This Row],[Joining Date]],"mmmm")</f>
        <v>March</v>
      </c>
      <c r="Q768">
        <f t="array" ref="Q768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768">
        <f>HR_Data[[#This Row],[Salary]]*HR_Data[[#This Row],[Bonus %]]</f>
        <v>14541</v>
      </c>
      <c r="S768">
        <f>HR_Data[[#This Row],[Salary]]+HR_Data[[#This Row],[Bonus Amount]]</f>
        <v>111481</v>
      </c>
      <c r="T768" t="str">
        <f>IF(HR_Data[[#This Row],[Attrition]]="Yes","Inactive","Active")</f>
        <v>Active</v>
      </c>
      <c r="U768" t="str">
        <f t="array" ref="U768">_xlfn.IFS(HR_Data[[#This Row],[Salary]]&gt;=100000,"A",HR_Data[[#This Row],[Salary]]&gt;=70000,"B",HR_Data[[#This Row],[Salary]]&gt;=50000,"C",TRUE(),"D")</f>
        <v>B</v>
      </c>
      <c r="V768" t="str">
        <f t="array" ref="V768">_xlfn.IFS(HR_Data[[#This Row],[Experience]]&gt;=15,"Expert",HR_Data[[#This Row],[Experience]]&gt;=8,"Senior",HR_Data[[#This Row],[Experience]]&gt;=3,"Mid-Level",TRUE(),"Junior")</f>
        <v>Expert</v>
      </c>
    </row>
    <row r="769" spans="1:22" ht="14.25" customHeight="1" x14ac:dyDescent="0.3">
      <c r="A769" t="s">
        <v>1714</v>
      </c>
      <c r="B769" t="s">
        <v>686</v>
      </c>
      <c r="C769" t="s">
        <v>75</v>
      </c>
      <c r="D769" t="s">
        <v>25</v>
      </c>
      <c r="E769">
        <v>55</v>
      </c>
      <c r="F769">
        <v>106718</v>
      </c>
      <c r="G769">
        <v>27</v>
      </c>
      <c r="H769" t="s">
        <v>1715</v>
      </c>
      <c r="I769" t="s">
        <v>72</v>
      </c>
      <c r="J769" t="s">
        <v>36</v>
      </c>
      <c r="K769" t="s">
        <v>29</v>
      </c>
      <c r="L769" t="str">
        <f t="array" ref="L769">_xlfn.IFS(HR_Data[[#This Row],[Experience]]&lt;2,"0-2 Years",HR_Data[[#This Row],[Experience]]&lt;5,"2-5 Years",HR_Data[[#This Row],[Experience]]&lt;10,"5-10 Years",TRUE(),"10+ Years")</f>
        <v>10+ Years</v>
      </c>
      <c r="M769" t="str">
        <f t="array" ref="M769">_xlfn.IFS(HR_Data[[#This Row],[Salary]]&lt;40000,"Low",HR_Data[[#This Row],[Salary]]&lt;70000,"Medium",HR_Data[[#This Row],[Salary]]&lt;100000,"High",TRUE(),"Very High")</f>
        <v>Very High</v>
      </c>
      <c r="N769" t="str">
        <f t="array" ref="N769">_xlfn.IFS(HR_Data[[#This Row],[Age]]&lt;25,"18-24",HR_Data[[#This Row],[Age]]&lt;35,"25-34",HR_Data[[#This Row],[Age]]&lt;45,"35-44",TRUE(),"45+")</f>
        <v>45+</v>
      </c>
      <c r="O769">
        <f>YEAR(HR_Data[[#This Row],[Joining Date]])</f>
        <v>2022</v>
      </c>
      <c r="P769" t="str">
        <f>TEXT(HR_Data[[#This Row],[Joining Date]],"mmmm")</f>
        <v>August</v>
      </c>
      <c r="Q769">
        <f t="array" ref="Q76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69">
        <f>HR_Data[[#This Row],[Salary]]*HR_Data[[#This Row],[Bonus %]]</f>
        <v>10671.800000000001</v>
      </c>
      <c r="S769">
        <f>HR_Data[[#This Row],[Salary]]+HR_Data[[#This Row],[Bonus Amount]]</f>
        <v>117389.8</v>
      </c>
      <c r="T769" t="str">
        <f>IF(HR_Data[[#This Row],[Attrition]]="Yes","Inactive","Active")</f>
        <v>Active</v>
      </c>
      <c r="U769" t="str">
        <f t="array" ref="U769">_xlfn.IFS(HR_Data[[#This Row],[Salary]]&gt;=100000,"A",HR_Data[[#This Row],[Salary]]&gt;=70000,"B",HR_Data[[#This Row],[Salary]]&gt;=50000,"C",TRUE(),"D")</f>
        <v>A</v>
      </c>
      <c r="V769" t="str">
        <f t="array" ref="V769">_xlfn.IFS(HR_Data[[#This Row],[Experience]]&gt;=15,"Expert",HR_Data[[#This Row],[Experience]]&gt;=8,"Senior",HR_Data[[#This Row],[Experience]]&gt;=3,"Mid-Level",TRUE(),"Junior")</f>
        <v>Expert</v>
      </c>
    </row>
    <row r="770" spans="1:22" ht="14.25" customHeight="1" x14ac:dyDescent="0.3">
      <c r="A770" t="s">
        <v>1716</v>
      </c>
      <c r="B770" t="s">
        <v>342</v>
      </c>
      <c r="C770" t="s">
        <v>70</v>
      </c>
      <c r="D770" t="s">
        <v>25</v>
      </c>
      <c r="E770">
        <v>32</v>
      </c>
      <c r="F770">
        <v>58764</v>
      </c>
      <c r="G770">
        <v>12</v>
      </c>
      <c r="H770" t="s">
        <v>1229</v>
      </c>
      <c r="I770" t="s">
        <v>67</v>
      </c>
      <c r="J770" t="s">
        <v>36</v>
      </c>
      <c r="K770" t="s">
        <v>37</v>
      </c>
      <c r="L770" t="str">
        <f t="array" ref="L770">_xlfn.IFS(HR_Data[[#This Row],[Experience]]&lt;2,"0-2 Years",HR_Data[[#This Row],[Experience]]&lt;5,"2-5 Years",HR_Data[[#This Row],[Experience]]&lt;10,"5-10 Years",TRUE(),"10+ Years")</f>
        <v>10+ Years</v>
      </c>
      <c r="M770" t="str">
        <f t="array" ref="M770">_xlfn.IFS(HR_Data[[#This Row],[Salary]]&lt;40000,"Low",HR_Data[[#This Row],[Salary]]&lt;70000,"Medium",HR_Data[[#This Row],[Salary]]&lt;100000,"High",TRUE(),"Very High")</f>
        <v>Medium</v>
      </c>
      <c r="N770" t="str">
        <f t="array" ref="N770">_xlfn.IFS(HR_Data[[#This Row],[Age]]&lt;25,"18-24",HR_Data[[#This Row],[Age]]&lt;35,"25-34",HR_Data[[#This Row],[Age]]&lt;45,"35-44",TRUE(),"45+")</f>
        <v>25-34</v>
      </c>
      <c r="O770">
        <f>YEAR(HR_Data[[#This Row],[Joining Date]])</f>
        <v>2015</v>
      </c>
      <c r="P770" t="str">
        <f>TEXT(HR_Data[[#This Row],[Joining Date]],"mmmm")</f>
        <v>April</v>
      </c>
      <c r="Q770">
        <f t="array" ref="Q77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70">
        <f>HR_Data[[#This Row],[Salary]]*HR_Data[[#This Row],[Bonus %]]</f>
        <v>5876.4000000000005</v>
      </c>
      <c r="S770">
        <f>HR_Data[[#This Row],[Salary]]+HR_Data[[#This Row],[Bonus Amount]]</f>
        <v>64640.4</v>
      </c>
      <c r="T770" t="str">
        <f>IF(HR_Data[[#This Row],[Attrition]]="Yes","Inactive","Active")</f>
        <v>Inactive</v>
      </c>
      <c r="U770" t="str">
        <f t="array" ref="U770">_xlfn.IFS(HR_Data[[#This Row],[Salary]]&gt;=100000,"A",HR_Data[[#This Row],[Salary]]&gt;=70000,"B",HR_Data[[#This Row],[Salary]]&gt;=50000,"C",TRUE(),"D")</f>
        <v>C</v>
      </c>
      <c r="V770" t="str">
        <f t="array" ref="V770">_xlfn.IFS(HR_Data[[#This Row],[Experience]]&gt;=15,"Expert",HR_Data[[#This Row],[Experience]]&gt;=8,"Senior",HR_Data[[#This Row],[Experience]]&gt;=3,"Mid-Level",TRUE(),"Junior")</f>
        <v>Senior</v>
      </c>
    </row>
    <row r="771" spans="1:22" ht="14.25" customHeight="1" x14ac:dyDescent="0.3">
      <c r="A771" t="s">
        <v>1717</v>
      </c>
      <c r="B771" t="s">
        <v>585</v>
      </c>
      <c r="C771" t="s">
        <v>134</v>
      </c>
      <c r="D771" t="s">
        <v>25</v>
      </c>
      <c r="E771">
        <v>52</v>
      </c>
      <c r="F771">
        <v>114769</v>
      </c>
      <c r="G771">
        <v>26</v>
      </c>
      <c r="H771" t="s">
        <v>1718</v>
      </c>
      <c r="I771" t="s">
        <v>45</v>
      </c>
      <c r="J771" t="s">
        <v>28</v>
      </c>
      <c r="K771" t="s">
        <v>29</v>
      </c>
      <c r="L771" t="str">
        <f t="array" ref="L771">_xlfn.IFS(HR_Data[[#This Row],[Experience]]&lt;2,"0-2 Years",HR_Data[[#This Row],[Experience]]&lt;5,"2-5 Years",HR_Data[[#This Row],[Experience]]&lt;10,"5-10 Years",TRUE(),"10+ Years")</f>
        <v>10+ Years</v>
      </c>
      <c r="M771" t="str">
        <f t="array" ref="M771">_xlfn.IFS(HR_Data[[#This Row],[Salary]]&lt;40000,"Low",HR_Data[[#This Row],[Salary]]&lt;70000,"Medium",HR_Data[[#This Row],[Salary]]&lt;100000,"High",TRUE(),"Very High")</f>
        <v>Very High</v>
      </c>
      <c r="N771" t="str">
        <f t="array" ref="N771">_xlfn.IFS(HR_Data[[#This Row],[Age]]&lt;25,"18-24",HR_Data[[#This Row],[Age]]&lt;35,"25-34",HR_Data[[#This Row],[Age]]&lt;45,"35-44",TRUE(),"45+")</f>
        <v>45+</v>
      </c>
      <c r="O771">
        <f>YEAR(HR_Data[[#This Row],[Joining Date]])</f>
        <v>2019</v>
      </c>
      <c r="P771" t="str">
        <f>TEXT(HR_Data[[#This Row],[Joining Date]],"mmmm")</f>
        <v>March</v>
      </c>
      <c r="Q771">
        <f t="array" ref="Q771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771">
        <f>HR_Data[[#This Row],[Salary]]*HR_Data[[#This Row],[Bonus %]]</f>
        <v>17215.349999999999</v>
      </c>
      <c r="S771">
        <f>HR_Data[[#This Row],[Salary]]+HR_Data[[#This Row],[Bonus Amount]]</f>
        <v>131984.35</v>
      </c>
      <c r="T771" t="str">
        <f>IF(HR_Data[[#This Row],[Attrition]]="Yes","Inactive","Active")</f>
        <v>Active</v>
      </c>
      <c r="U771" t="str">
        <f t="array" ref="U771">_xlfn.IFS(HR_Data[[#This Row],[Salary]]&gt;=100000,"A",HR_Data[[#This Row],[Salary]]&gt;=70000,"B",HR_Data[[#This Row],[Salary]]&gt;=50000,"C",TRUE(),"D")</f>
        <v>A</v>
      </c>
      <c r="V771" t="str">
        <f t="array" ref="V771">_xlfn.IFS(HR_Data[[#This Row],[Experience]]&gt;=15,"Expert",HR_Data[[#This Row],[Experience]]&gt;=8,"Senior",HR_Data[[#This Row],[Experience]]&gt;=3,"Mid-Level",TRUE(),"Junior")</f>
        <v>Expert</v>
      </c>
    </row>
    <row r="772" spans="1:22" ht="14.25" customHeight="1" x14ac:dyDescent="0.3">
      <c r="A772" t="s">
        <v>1719</v>
      </c>
      <c r="B772" t="s">
        <v>124</v>
      </c>
      <c r="C772" t="s">
        <v>55</v>
      </c>
      <c r="D772" t="s">
        <v>33</v>
      </c>
      <c r="E772">
        <v>45</v>
      </c>
      <c r="F772">
        <v>106525</v>
      </c>
      <c r="G772">
        <v>22</v>
      </c>
      <c r="H772" t="s">
        <v>302</v>
      </c>
      <c r="I772" t="s">
        <v>45</v>
      </c>
      <c r="J772" t="s">
        <v>63</v>
      </c>
      <c r="K772" t="s">
        <v>29</v>
      </c>
      <c r="L772" t="str">
        <f t="array" ref="L772">_xlfn.IFS(HR_Data[[#This Row],[Experience]]&lt;2,"0-2 Years",HR_Data[[#This Row],[Experience]]&lt;5,"2-5 Years",HR_Data[[#This Row],[Experience]]&lt;10,"5-10 Years",TRUE(),"10+ Years")</f>
        <v>10+ Years</v>
      </c>
      <c r="M772" t="str">
        <f t="array" ref="M772">_xlfn.IFS(HR_Data[[#This Row],[Salary]]&lt;40000,"Low",HR_Data[[#This Row],[Salary]]&lt;70000,"Medium",HR_Data[[#This Row],[Salary]]&lt;100000,"High",TRUE(),"Very High")</f>
        <v>Very High</v>
      </c>
      <c r="N772" t="str">
        <f t="array" ref="N772">_xlfn.IFS(HR_Data[[#This Row],[Age]]&lt;25,"18-24",HR_Data[[#This Row],[Age]]&lt;35,"25-34",HR_Data[[#This Row],[Age]]&lt;45,"35-44",TRUE(),"45+")</f>
        <v>45+</v>
      </c>
      <c r="O772">
        <f>YEAR(HR_Data[[#This Row],[Joining Date]])</f>
        <v>2018</v>
      </c>
      <c r="P772" t="str">
        <f>TEXT(HR_Data[[#This Row],[Joining Date]],"mmmm")</f>
        <v>April</v>
      </c>
      <c r="Q772">
        <f t="array" ref="Q772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772">
        <f>HR_Data[[#This Row],[Salary]]*HR_Data[[#This Row],[Bonus %]]</f>
        <v>21305</v>
      </c>
      <c r="S772">
        <f>HR_Data[[#This Row],[Salary]]+HR_Data[[#This Row],[Bonus Amount]]</f>
        <v>127830</v>
      </c>
      <c r="T772" t="str">
        <f>IF(HR_Data[[#This Row],[Attrition]]="Yes","Inactive","Active")</f>
        <v>Active</v>
      </c>
      <c r="U772" t="str">
        <f t="array" ref="U772">_xlfn.IFS(HR_Data[[#This Row],[Salary]]&gt;=100000,"A",HR_Data[[#This Row],[Salary]]&gt;=70000,"B",HR_Data[[#This Row],[Salary]]&gt;=50000,"C",TRUE(),"D")</f>
        <v>A</v>
      </c>
      <c r="V772" t="str">
        <f t="array" ref="V772">_xlfn.IFS(HR_Data[[#This Row],[Experience]]&gt;=15,"Expert",HR_Data[[#This Row],[Experience]]&gt;=8,"Senior",HR_Data[[#This Row],[Experience]]&gt;=3,"Mid-Level",TRUE(),"Junior")</f>
        <v>Expert</v>
      </c>
    </row>
    <row r="773" spans="1:22" ht="14.25" customHeight="1" x14ac:dyDescent="0.3">
      <c r="A773" t="s">
        <v>1720</v>
      </c>
      <c r="B773" t="s">
        <v>891</v>
      </c>
      <c r="C773" t="s">
        <v>55</v>
      </c>
      <c r="D773" t="s">
        <v>33</v>
      </c>
      <c r="E773">
        <v>28</v>
      </c>
      <c r="F773">
        <v>53578</v>
      </c>
      <c r="G773">
        <v>9</v>
      </c>
      <c r="H773" t="s">
        <v>1721</v>
      </c>
      <c r="I773" t="s">
        <v>57</v>
      </c>
      <c r="J773" t="s">
        <v>46</v>
      </c>
      <c r="K773" t="s">
        <v>29</v>
      </c>
      <c r="L773" t="str">
        <f t="array" ref="L773">_xlfn.IFS(HR_Data[[#This Row],[Experience]]&lt;2,"0-2 Years",HR_Data[[#This Row],[Experience]]&lt;5,"2-5 Years",HR_Data[[#This Row],[Experience]]&lt;10,"5-10 Years",TRUE(),"10+ Years")</f>
        <v>5-10 Years</v>
      </c>
      <c r="M773" t="str">
        <f t="array" ref="M773">_xlfn.IFS(HR_Data[[#This Row],[Salary]]&lt;40000,"Low",HR_Data[[#This Row],[Salary]]&lt;70000,"Medium",HR_Data[[#This Row],[Salary]]&lt;100000,"High",TRUE(),"Very High")</f>
        <v>Medium</v>
      </c>
      <c r="N773" t="str">
        <f t="array" ref="N773">_xlfn.IFS(HR_Data[[#This Row],[Age]]&lt;25,"18-24",HR_Data[[#This Row],[Age]]&lt;35,"25-34",HR_Data[[#This Row],[Age]]&lt;45,"35-44",TRUE(),"45+")</f>
        <v>25-34</v>
      </c>
      <c r="O773">
        <f>YEAR(HR_Data[[#This Row],[Joining Date]])</f>
        <v>2026</v>
      </c>
      <c r="P773" t="str">
        <f>TEXT(HR_Data[[#This Row],[Joining Date]],"mmmm")</f>
        <v>May</v>
      </c>
      <c r="Q773">
        <f t="array" ref="Q773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773">
        <f>HR_Data[[#This Row],[Salary]]*HR_Data[[#This Row],[Bonus %]]</f>
        <v>2678.9</v>
      </c>
      <c r="S773">
        <f>HR_Data[[#This Row],[Salary]]+HR_Data[[#This Row],[Bonus Amount]]</f>
        <v>56256.9</v>
      </c>
      <c r="T773" t="str">
        <f>IF(HR_Data[[#This Row],[Attrition]]="Yes","Inactive","Active")</f>
        <v>Active</v>
      </c>
      <c r="U773" t="str">
        <f t="array" ref="U773">_xlfn.IFS(HR_Data[[#This Row],[Salary]]&gt;=100000,"A",HR_Data[[#This Row],[Salary]]&gt;=70000,"B",HR_Data[[#This Row],[Salary]]&gt;=50000,"C",TRUE(),"D")</f>
        <v>C</v>
      </c>
      <c r="V773" t="str">
        <f t="array" ref="V773">_xlfn.IFS(HR_Data[[#This Row],[Experience]]&gt;=15,"Expert",HR_Data[[#This Row],[Experience]]&gt;=8,"Senior",HR_Data[[#This Row],[Experience]]&gt;=3,"Mid-Level",TRUE(),"Junior")</f>
        <v>Senior</v>
      </c>
    </row>
    <row r="774" spans="1:22" ht="14.25" customHeight="1" x14ac:dyDescent="0.3">
      <c r="A774" t="s">
        <v>1722</v>
      </c>
      <c r="B774" t="s">
        <v>561</v>
      </c>
      <c r="C774" t="s">
        <v>55</v>
      </c>
      <c r="D774" t="s">
        <v>25</v>
      </c>
      <c r="E774">
        <v>32</v>
      </c>
      <c r="F774">
        <v>66591</v>
      </c>
      <c r="G774">
        <v>12</v>
      </c>
      <c r="H774" t="s">
        <v>1723</v>
      </c>
      <c r="I774" t="s">
        <v>72</v>
      </c>
      <c r="J774" t="s">
        <v>36</v>
      </c>
      <c r="K774" t="s">
        <v>29</v>
      </c>
      <c r="L774" t="str">
        <f t="array" ref="L774">_xlfn.IFS(HR_Data[[#This Row],[Experience]]&lt;2,"0-2 Years",HR_Data[[#This Row],[Experience]]&lt;5,"2-5 Years",HR_Data[[#This Row],[Experience]]&lt;10,"5-10 Years",TRUE(),"10+ Years")</f>
        <v>10+ Years</v>
      </c>
      <c r="M774" t="str">
        <f t="array" ref="M774">_xlfn.IFS(HR_Data[[#This Row],[Salary]]&lt;40000,"Low",HR_Data[[#This Row],[Salary]]&lt;70000,"Medium",HR_Data[[#This Row],[Salary]]&lt;100000,"High",TRUE(),"Very High")</f>
        <v>Medium</v>
      </c>
      <c r="N774" t="str">
        <f t="array" ref="N774">_xlfn.IFS(HR_Data[[#This Row],[Age]]&lt;25,"18-24",HR_Data[[#This Row],[Age]]&lt;35,"25-34",HR_Data[[#This Row],[Age]]&lt;45,"35-44",TRUE(),"45+")</f>
        <v>25-34</v>
      </c>
      <c r="O774">
        <f>YEAR(HR_Data[[#This Row],[Joining Date]])</f>
        <v>2019</v>
      </c>
      <c r="P774" t="str">
        <f>TEXT(HR_Data[[#This Row],[Joining Date]],"mmmm")</f>
        <v>April</v>
      </c>
      <c r="Q774">
        <f t="array" ref="Q774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74">
        <f>HR_Data[[#This Row],[Salary]]*HR_Data[[#This Row],[Bonus %]]</f>
        <v>6659.1</v>
      </c>
      <c r="S774">
        <f>HR_Data[[#This Row],[Salary]]+HR_Data[[#This Row],[Bonus Amount]]</f>
        <v>73250.100000000006</v>
      </c>
      <c r="T774" t="str">
        <f>IF(HR_Data[[#This Row],[Attrition]]="Yes","Inactive","Active")</f>
        <v>Active</v>
      </c>
      <c r="U774" t="str">
        <f t="array" ref="U774">_xlfn.IFS(HR_Data[[#This Row],[Salary]]&gt;=100000,"A",HR_Data[[#This Row],[Salary]]&gt;=70000,"B",HR_Data[[#This Row],[Salary]]&gt;=50000,"C",TRUE(),"D")</f>
        <v>C</v>
      </c>
      <c r="V774" t="str">
        <f t="array" ref="V774">_xlfn.IFS(HR_Data[[#This Row],[Experience]]&gt;=15,"Expert",HR_Data[[#This Row],[Experience]]&gt;=8,"Senior",HR_Data[[#This Row],[Experience]]&gt;=3,"Mid-Level",TRUE(),"Junior")</f>
        <v>Senior</v>
      </c>
    </row>
    <row r="775" spans="1:22" ht="14.25" customHeight="1" x14ac:dyDescent="0.3">
      <c r="A775" t="s">
        <v>1724</v>
      </c>
      <c r="B775" t="s">
        <v>352</v>
      </c>
      <c r="C775" t="s">
        <v>60</v>
      </c>
      <c r="D775" t="s">
        <v>33</v>
      </c>
      <c r="E775">
        <v>44</v>
      </c>
      <c r="F775">
        <v>88568</v>
      </c>
      <c r="G775">
        <v>19</v>
      </c>
      <c r="H775" t="s">
        <v>1725</v>
      </c>
      <c r="I775" t="s">
        <v>57</v>
      </c>
      <c r="J775" t="s">
        <v>63</v>
      </c>
      <c r="K775" t="s">
        <v>29</v>
      </c>
      <c r="L775" t="str">
        <f t="array" ref="L775">_xlfn.IFS(HR_Data[[#This Row],[Experience]]&lt;2,"0-2 Years",HR_Data[[#This Row],[Experience]]&lt;5,"2-5 Years",HR_Data[[#This Row],[Experience]]&lt;10,"5-10 Years",TRUE(),"10+ Years")</f>
        <v>10+ Years</v>
      </c>
      <c r="M775" t="str">
        <f t="array" ref="M775">_xlfn.IFS(HR_Data[[#This Row],[Salary]]&lt;40000,"Low",HR_Data[[#This Row],[Salary]]&lt;70000,"Medium",HR_Data[[#This Row],[Salary]]&lt;100000,"High",TRUE(),"Very High")</f>
        <v>High</v>
      </c>
      <c r="N775" t="str">
        <f t="array" ref="N775">_xlfn.IFS(HR_Data[[#This Row],[Age]]&lt;25,"18-24",HR_Data[[#This Row],[Age]]&lt;35,"25-34",HR_Data[[#This Row],[Age]]&lt;45,"35-44",TRUE(),"45+")</f>
        <v>35-44</v>
      </c>
      <c r="O775">
        <f>YEAR(HR_Data[[#This Row],[Joining Date]])</f>
        <v>2018</v>
      </c>
      <c r="P775" t="str">
        <f>TEXT(HR_Data[[#This Row],[Joining Date]],"mmmm")</f>
        <v>August</v>
      </c>
      <c r="Q775">
        <f t="array" ref="Q775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775">
        <f>HR_Data[[#This Row],[Salary]]*HR_Data[[#This Row],[Bonus %]]</f>
        <v>17713.600000000002</v>
      </c>
      <c r="S775">
        <f>HR_Data[[#This Row],[Salary]]+HR_Data[[#This Row],[Bonus Amount]]</f>
        <v>106281.60000000001</v>
      </c>
      <c r="T775" t="str">
        <f>IF(HR_Data[[#This Row],[Attrition]]="Yes","Inactive","Active")</f>
        <v>Active</v>
      </c>
      <c r="U775" t="str">
        <f t="array" ref="U775">_xlfn.IFS(HR_Data[[#This Row],[Salary]]&gt;=100000,"A",HR_Data[[#This Row],[Salary]]&gt;=70000,"B",HR_Data[[#This Row],[Salary]]&gt;=50000,"C",TRUE(),"D")</f>
        <v>B</v>
      </c>
      <c r="V775" t="str">
        <f t="array" ref="V775">_xlfn.IFS(HR_Data[[#This Row],[Experience]]&gt;=15,"Expert",HR_Data[[#This Row],[Experience]]&gt;=8,"Senior",HR_Data[[#This Row],[Experience]]&gt;=3,"Mid-Level",TRUE(),"Junior")</f>
        <v>Expert</v>
      </c>
    </row>
    <row r="776" spans="1:22" ht="14.25" customHeight="1" x14ac:dyDescent="0.3">
      <c r="A776" t="s">
        <v>1726</v>
      </c>
      <c r="B776" t="s">
        <v>267</v>
      </c>
      <c r="C776" t="s">
        <v>60</v>
      </c>
      <c r="D776" t="s">
        <v>25</v>
      </c>
      <c r="E776">
        <v>40</v>
      </c>
      <c r="F776">
        <v>68784</v>
      </c>
      <c r="G776">
        <v>14</v>
      </c>
      <c r="H776" t="s">
        <v>1727</v>
      </c>
      <c r="I776" t="s">
        <v>132</v>
      </c>
      <c r="J776" t="s">
        <v>36</v>
      </c>
      <c r="K776" t="s">
        <v>29</v>
      </c>
      <c r="L776" t="str">
        <f t="array" ref="L776">_xlfn.IFS(HR_Data[[#This Row],[Experience]]&lt;2,"0-2 Years",HR_Data[[#This Row],[Experience]]&lt;5,"2-5 Years",HR_Data[[#This Row],[Experience]]&lt;10,"5-10 Years",TRUE(),"10+ Years")</f>
        <v>10+ Years</v>
      </c>
      <c r="M776" t="str">
        <f t="array" ref="M776">_xlfn.IFS(HR_Data[[#This Row],[Salary]]&lt;40000,"Low",HR_Data[[#This Row],[Salary]]&lt;70000,"Medium",HR_Data[[#This Row],[Salary]]&lt;100000,"High",TRUE(),"Very High")</f>
        <v>Medium</v>
      </c>
      <c r="N776" t="str">
        <f t="array" ref="N776">_xlfn.IFS(HR_Data[[#This Row],[Age]]&lt;25,"18-24",HR_Data[[#This Row],[Age]]&lt;35,"25-34",HR_Data[[#This Row],[Age]]&lt;45,"35-44",TRUE(),"45+")</f>
        <v>35-44</v>
      </c>
      <c r="O776">
        <f>YEAR(HR_Data[[#This Row],[Joining Date]])</f>
        <v>2020</v>
      </c>
      <c r="P776" t="str">
        <f>TEXT(HR_Data[[#This Row],[Joining Date]],"mmmm")</f>
        <v>May</v>
      </c>
      <c r="Q776">
        <f t="array" ref="Q77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76">
        <f>HR_Data[[#This Row],[Salary]]*HR_Data[[#This Row],[Bonus %]]</f>
        <v>6878.4000000000005</v>
      </c>
      <c r="S776">
        <f>HR_Data[[#This Row],[Salary]]+HR_Data[[#This Row],[Bonus Amount]]</f>
        <v>75662.399999999994</v>
      </c>
      <c r="T776" t="str">
        <f>IF(HR_Data[[#This Row],[Attrition]]="Yes","Inactive","Active")</f>
        <v>Active</v>
      </c>
      <c r="U776" t="str">
        <f t="array" ref="U776">_xlfn.IFS(HR_Data[[#This Row],[Salary]]&gt;=100000,"A",HR_Data[[#This Row],[Salary]]&gt;=70000,"B",HR_Data[[#This Row],[Salary]]&gt;=50000,"C",TRUE(),"D")</f>
        <v>C</v>
      </c>
      <c r="V776" t="str">
        <f t="array" ref="V776">_xlfn.IFS(HR_Data[[#This Row],[Experience]]&gt;=15,"Expert",HR_Data[[#This Row],[Experience]]&gt;=8,"Senior",HR_Data[[#This Row],[Experience]]&gt;=3,"Mid-Level",TRUE(),"Junior")</f>
        <v>Senior</v>
      </c>
    </row>
    <row r="777" spans="1:22" ht="14.25" customHeight="1" x14ac:dyDescent="0.3">
      <c r="A777" t="s">
        <v>1728</v>
      </c>
      <c r="B777" t="s">
        <v>140</v>
      </c>
      <c r="C777" t="s">
        <v>93</v>
      </c>
      <c r="D777" t="s">
        <v>33</v>
      </c>
      <c r="E777">
        <v>24</v>
      </c>
      <c r="F777">
        <v>25000</v>
      </c>
      <c r="G777">
        <v>0</v>
      </c>
      <c r="H777" t="s">
        <v>1729</v>
      </c>
      <c r="I777" t="s">
        <v>72</v>
      </c>
      <c r="J777" t="s">
        <v>28</v>
      </c>
      <c r="K777" t="s">
        <v>29</v>
      </c>
      <c r="L777" t="str">
        <f t="array" ref="L777">_xlfn.IFS(HR_Data[[#This Row],[Experience]]&lt;2,"0-2 Years",HR_Data[[#This Row],[Experience]]&lt;5,"2-5 Years",HR_Data[[#This Row],[Experience]]&lt;10,"5-10 Years",TRUE(),"10+ Years")</f>
        <v>0-2 Years</v>
      </c>
      <c r="M777" t="str">
        <f t="array" ref="M777">_xlfn.IFS(HR_Data[[#This Row],[Salary]]&lt;40000,"Low",HR_Data[[#This Row],[Salary]]&lt;70000,"Medium",HR_Data[[#This Row],[Salary]]&lt;100000,"High",TRUE(),"Very High")</f>
        <v>Low</v>
      </c>
      <c r="N777" t="str">
        <f t="array" ref="N777">_xlfn.IFS(HR_Data[[#This Row],[Age]]&lt;25,"18-24",HR_Data[[#This Row],[Age]]&lt;35,"25-34",HR_Data[[#This Row],[Age]]&lt;45,"35-44",TRUE(),"45+")</f>
        <v>18-24</v>
      </c>
      <c r="O777">
        <f>YEAR(HR_Data[[#This Row],[Joining Date]])</f>
        <v>2016</v>
      </c>
      <c r="P777" t="str">
        <f>TEXT(HR_Data[[#This Row],[Joining Date]],"mmmm")</f>
        <v>August</v>
      </c>
      <c r="Q777">
        <f t="array" ref="Q77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777">
        <f>HR_Data[[#This Row],[Salary]]*HR_Data[[#This Row],[Bonus %]]</f>
        <v>3750</v>
      </c>
      <c r="S777">
        <f>HR_Data[[#This Row],[Salary]]+HR_Data[[#This Row],[Bonus Amount]]</f>
        <v>28750</v>
      </c>
      <c r="T777" t="str">
        <f>IF(HR_Data[[#This Row],[Attrition]]="Yes","Inactive","Active")</f>
        <v>Active</v>
      </c>
      <c r="U777" t="str">
        <f t="array" ref="U777">_xlfn.IFS(HR_Data[[#This Row],[Salary]]&gt;=100000,"A",HR_Data[[#This Row],[Salary]]&gt;=70000,"B",HR_Data[[#This Row],[Salary]]&gt;=50000,"C",TRUE(),"D")</f>
        <v>D</v>
      </c>
      <c r="V777" t="str">
        <f t="array" ref="V777">_xlfn.IFS(HR_Data[[#This Row],[Experience]]&gt;=15,"Expert",HR_Data[[#This Row],[Experience]]&gt;=8,"Senior",HR_Data[[#This Row],[Experience]]&gt;=3,"Mid-Level",TRUE(),"Junior")</f>
        <v>Junior</v>
      </c>
    </row>
    <row r="778" spans="1:22" ht="14.25" customHeight="1" x14ac:dyDescent="0.3">
      <c r="A778" t="s">
        <v>1730</v>
      </c>
      <c r="B778" t="s">
        <v>1118</v>
      </c>
      <c r="C778" t="s">
        <v>55</v>
      </c>
      <c r="D778" t="s">
        <v>33</v>
      </c>
      <c r="E778">
        <v>42</v>
      </c>
      <c r="F778">
        <v>91572</v>
      </c>
      <c r="G778">
        <v>23</v>
      </c>
      <c r="H778" t="s">
        <v>1731</v>
      </c>
      <c r="I778" t="s">
        <v>132</v>
      </c>
      <c r="J778" t="s">
        <v>28</v>
      </c>
      <c r="K778" t="s">
        <v>29</v>
      </c>
      <c r="L778" t="str">
        <f t="array" ref="L778">_xlfn.IFS(HR_Data[[#This Row],[Experience]]&lt;2,"0-2 Years",HR_Data[[#This Row],[Experience]]&lt;5,"2-5 Years",HR_Data[[#This Row],[Experience]]&lt;10,"5-10 Years",TRUE(),"10+ Years")</f>
        <v>10+ Years</v>
      </c>
      <c r="M778" t="str">
        <f t="array" ref="M778">_xlfn.IFS(HR_Data[[#This Row],[Salary]]&lt;40000,"Low",HR_Data[[#This Row],[Salary]]&lt;70000,"Medium",HR_Data[[#This Row],[Salary]]&lt;100000,"High",TRUE(),"Very High")</f>
        <v>High</v>
      </c>
      <c r="N778" t="str">
        <f t="array" ref="N778">_xlfn.IFS(HR_Data[[#This Row],[Age]]&lt;25,"18-24",HR_Data[[#This Row],[Age]]&lt;35,"25-34",HR_Data[[#This Row],[Age]]&lt;45,"35-44",TRUE(),"45+")</f>
        <v>35-44</v>
      </c>
      <c r="O778">
        <f>YEAR(HR_Data[[#This Row],[Joining Date]])</f>
        <v>2019</v>
      </c>
      <c r="P778" t="str">
        <f>TEXT(HR_Data[[#This Row],[Joining Date]],"mmmm")</f>
        <v>June</v>
      </c>
      <c r="Q778">
        <f t="array" ref="Q778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778">
        <f>HR_Data[[#This Row],[Salary]]*HR_Data[[#This Row],[Bonus %]]</f>
        <v>13735.8</v>
      </c>
      <c r="S778">
        <f>HR_Data[[#This Row],[Salary]]+HR_Data[[#This Row],[Bonus Amount]]</f>
        <v>105307.8</v>
      </c>
      <c r="T778" t="str">
        <f>IF(HR_Data[[#This Row],[Attrition]]="Yes","Inactive","Active")</f>
        <v>Active</v>
      </c>
      <c r="U778" t="str">
        <f t="array" ref="U778">_xlfn.IFS(HR_Data[[#This Row],[Salary]]&gt;=100000,"A",HR_Data[[#This Row],[Salary]]&gt;=70000,"B",HR_Data[[#This Row],[Salary]]&gt;=50000,"C",TRUE(),"D")</f>
        <v>B</v>
      </c>
      <c r="V778" t="str">
        <f t="array" ref="V778">_xlfn.IFS(HR_Data[[#This Row],[Experience]]&gt;=15,"Expert",HR_Data[[#This Row],[Experience]]&gt;=8,"Senior",HR_Data[[#This Row],[Experience]]&gt;=3,"Mid-Level",TRUE(),"Junior")</f>
        <v>Expert</v>
      </c>
    </row>
    <row r="779" spans="1:22" ht="14.25" customHeight="1" x14ac:dyDescent="0.3">
      <c r="A779" t="s">
        <v>1732</v>
      </c>
      <c r="B779" t="s">
        <v>594</v>
      </c>
      <c r="C779" t="s">
        <v>40</v>
      </c>
      <c r="D779" t="s">
        <v>25</v>
      </c>
      <c r="E779">
        <v>31</v>
      </c>
      <c r="F779">
        <v>61169</v>
      </c>
      <c r="G779">
        <v>12</v>
      </c>
      <c r="H779" t="s">
        <v>1733</v>
      </c>
      <c r="I779" t="s">
        <v>57</v>
      </c>
      <c r="J779" t="s">
        <v>46</v>
      </c>
      <c r="K779" t="s">
        <v>37</v>
      </c>
      <c r="L779" t="str">
        <f t="array" ref="L779">_xlfn.IFS(HR_Data[[#This Row],[Experience]]&lt;2,"0-2 Years",HR_Data[[#This Row],[Experience]]&lt;5,"2-5 Years",HR_Data[[#This Row],[Experience]]&lt;10,"5-10 Years",TRUE(),"10+ Years")</f>
        <v>10+ Years</v>
      </c>
      <c r="M779" t="str">
        <f t="array" ref="M779">_xlfn.IFS(HR_Data[[#This Row],[Salary]]&lt;40000,"Low",HR_Data[[#This Row],[Salary]]&lt;70000,"Medium",HR_Data[[#This Row],[Salary]]&lt;100000,"High",TRUE(),"Very High")</f>
        <v>Medium</v>
      </c>
      <c r="N779" t="str">
        <f t="array" ref="N779">_xlfn.IFS(HR_Data[[#This Row],[Age]]&lt;25,"18-24",HR_Data[[#This Row],[Age]]&lt;35,"25-34",HR_Data[[#This Row],[Age]]&lt;45,"35-44",TRUE(),"45+")</f>
        <v>25-34</v>
      </c>
      <c r="O779">
        <f>YEAR(HR_Data[[#This Row],[Joining Date]])</f>
        <v>2020</v>
      </c>
      <c r="P779" t="str">
        <f>TEXT(HR_Data[[#This Row],[Joining Date]],"mmmm")</f>
        <v>November</v>
      </c>
      <c r="Q779">
        <f t="array" ref="Q779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779">
        <f>HR_Data[[#This Row],[Salary]]*HR_Data[[#This Row],[Bonus %]]</f>
        <v>3058.4500000000003</v>
      </c>
      <c r="S779">
        <f>HR_Data[[#This Row],[Salary]]+HR_Data[[#This Row],[Bonus Amount]]</f>
        <v>64227.45</v>
      </c>
      <c r="T779" t="str">
        <f>IF(HR_Data[[#This Row],[Attrition]]="Yes","Inactive","Active")</f>
        <v>Inactive</v>
      </c>
      <c r="U779" t="str">
        <f t="array" ref="U779">_xlfn.IFS(HR_Data[[#This Row],[Salary]]&gt;=100000,"A",HR_Data[[#This Row],[Salary]]&gt;=70000,"B",HR_Data[[#This Row],[Salary]]&gt;=50000,"C",TRUE(),"D")</f>
        <v>C</v>
      </c>
      <c r="V779" t="str">
        <f t="array" ref="V779">_xlfn.IFS(HR_Data[[#This Row],[Experience]]&gt;=15,"Expert",HR_Data[[#This Row],[Experience]]&gt;=8,"Senior",HR_Data[[#This Row],[Experience]]&gt;=3,"Mid-Level",TRUE(),"Junior")</f>
        <v>Senior</v>
      </c>
    </row>
    <row r="780" spans="1:22" ht="14.25" customHeight="1" x14ac:dyDescent="0.3">
      <c r="A780" t="s">
        <v>1734</v>
      </c>
      <c r="B780" t="s">
        <v>88</v>
      </c>
      <c r="C780" t="s">
        <v>32</v>
      </c>
      <c r="D780" t="s">
        <v>33</v>
      </c>
      <c r="E780">
        <v>45</v>
      </c>
      <c r="F780">
        <v>85669</v>
      </c>
      <c r="G780">
        <v>19</v>
      </c>
      <c r="H780" t="s">
        <v>1735</v>
      </c>
      <c r="I780" t="s">
        <v>42</v>
      </c>
      <c r="J780" t="s">
        <v>46</v>
      </c>
      <c r="K780" t="s">
        <v>29</v>
      </c>
      <c r="L780" t="str">
        <f t="array" ref="L780">_xlfn.IFS(HR_Data[[#This Row],[Experience]]&lt;2,"0-2 Years",HR_Data[[#This Row],[Experience]]&lt;5,"2-5 Years",HR_Data[[#This Row],[Experience]]&lt;10,"5-10 Years",TRUE(),"10+ Years")</f>
        <v>10+ Years</v>
      </c>
      <c r="M780" t="str">
        <f t="array" ref="M780">_xlfn.IFS(HR_Data[[#This Row],[Salary]]&lt;40000,"Low",HR_Data[[#This Row],[Salary]]&lt;70000,"Medium",HR_Data[[#This Row],[Salary]]&lt;100000,"High",TRUE(),"Very High")</f>
        <v>High</v>
      </c>
      <c r="N780" t="str">
        <f t="array" ref="N780">_xlfn.IFS(HR_Data[[#This Row],[Age]]&lt;25,"18-24",HR_Data[[#This Row],[Age]]&lt;35,"25-34",HR_Data[[#This Row],[Age]]&lt;45,"35-44",TRUE(),"45+")</f>
        <v>45+</v>
      </c>
      <c r="O780">
        <f>YEAR(HR_Data[[#This Row],[Joining Date]])</f>
        <v>2023</v>
      </c>
      <c r="P780" t="str">
        <f>TEXT(HR_Data[[#This Row],[Joining Date]],"mmmm")</f>
        <v>April</v>
      </c>
      <c r="Q780">
        <f t="array" ref="Q780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780">
        <f>HR_Data[[#This Row],[Salary]]*HR_Data[[#This Row],[Bonus %]]</f>
        <v>4283.45</v>
      </c>
      <c r="S780">
        <f>HR_Data[[#This Row],[Salary]]+HR_Data[[#This Row],[Bonus Amount]]</f>
        <v>89952.45</v>
      </c>
      <c r="T780" t="str">
        <f>IF(HR_Data[[#This Row],[Attrition]]="Yes","Inactive","Active")</f>
        <v>Active</v>
      </c>
      <c r="U780" t="str">
        <f t="array" ref="U780">_xlfn.IFS(HR_Data[[#This Row],[Salary]]&gt;=100000,"A",HR_Data[[#This Row],[Salary]]&gt;=70000,"B",HR_Data[[#This Row],[Salary]]&gt;=50000,"C",TRUE(),"D")</f>
        <v>B</v>
      </c>
      <c r="V780" t="str">
        <f t="array" ref="V780">_xlfn.IFS(HR_Data[[#This Row],[Experience]]&gt;=15,"Expert",HR_Data[[#This Row],[Experience]]&gt;=8,"Senior",HR_Data[[#This Row],[Experience]]&gt;=3,"Mid-Level",TRUE(),"Junior")</f>
        <v>Expert</v>
      </c>
    </row>
    <row r="781" spans="1:22" ht="14.25" customHeight="1" x14ac:dyDescent="0.3">
      <c r="A781" t="s">
        <v>1736</v>
      </c>
      <c r="B781" t="s">
        <v>294</v>
      </c>
      <c r="C781" t="s">
        <v>32</v>
      </c>
      <c r="D781" t="s">
        <v>33</v>
      </c>
      <c r="E781">
        <v>30</v>
      </c>
      <c r="F781">
        <v>52014</v>
      </c>
      <c r="G781">
        <v>9</v>
      </c>
      <c r="H781" t="s">
        <v>1737</v>
      </c>
      <c r="I781" t="s">
        <v>27</v>
      </c>
      <c r="J781" t="s">
        <v>36</v>
      </c>
      <c r="K781" t="s">
        <v>29</v>
      </c>
      <c r="L781" t="str">
        <f t="array" ref="L781">_xlfn.IFS(HR_Data[[#This Row],[Experience]]&lt;2,"0-2 Years",HR_Data[[#This Row],[Experience]]&lt;5,"2-5 Years",HR_Data[[#This Row],[Experience]]&lt;10,"5-10 Years",TRUE(),"10+ Years")</f>
        <v>5-10 Years</v>
      </c>
      <c r="M781" t="str">
        <f t="array" ref="M781">_xlfn.IFS(HR_Data[[#This Row],[Salary]]&lt;40000,"Low",HR_Data[[#This Row],[Salary]]&lt;70000,"Medium",HR_Data[[#This Row],[Salary]]&lt;100000,"High",TRUE(),"Very High")</f>
        <v>Medium</v>
      </c>
      <c r="N781" t="str">
        <f t="array" ref="N781">_xlfn.IFS(HR_Data[[#This Row],[Age]]&lt;25,"18-24",HR_Data[[#This Row],[Age]]&lt;35,"25-34",HR_Data[[#This Row],[Age]]&lt;45,"35-44",TRUE(),"45+")</f>
        <v>25-34</v>
      </c>
      <c r="O781">
        <f>YEAR(HR_Data[[#This Row],[Joining Date]])</f>
        <v>2019</v>
      </c>
      <c r="P781" t="str">
        <f>TEXT(HR_Data[[#This Row],[Joining Date]],"mmmm")</f>
        <v>April</v>
      </c>
      <c r="Q781">
        <f t="array" ref="Q78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81">
        <f>HR_Data[[#This Row],[Salary]]*HR_Data[[#This Row],[Bonus %]]</f>
        <v>5201.4000000000005</v>
      </c>
      <c r="S781">
        <f>HR_Data[[#This Row],[Salary]]+HR_Data[[#This Row],[Bonus Amount]]</f>
        <v>57215.4</v>
      </c>
      <c r="T781" t="str">
        <f>IF(HR_Data[[#This Row],[Attrition]]="Yes","Inactive","Active")</f>
        <v>Active</v>
      </c>
      <c r="U781" t="str">
        <f t="array" ref="U781">_xlfn.IFS(HR_Data[[#This Row],[Salary]]&gt;=100000,"A",HR_Data[[#This Row],[Salary]]&gt;=70000,"B",HR_Data[[#This Row],[Salary]]&gt;=50000,"C",TRUE(),"D")</f>
        <v>C</v>
      </c>
      <c r="V781" t="str">
        <f t="array" ref="V781">_xlfn.IFS(HR_Data[[#This Row],[Experience]]&gt;=15,"Expert",HR_Data[[#This Row],[Experience]]&gt;=8,"Senior",HR_Data[[#This Row],[Experience]]&gt;=3,"Mid-Level",TRUE(),"Junior")</f>
        <v>Senior</v>
      </c>
    </row>
    <row r="782" spans="1:22" ht="14.25" customHeight="1" x14ac:dyDescent="0.3">
      <c r="A782" t="s">
        <v>1738</v>
      </c>
      <c r="B782" t="s">
        <v>1118</v>
      </c>
      <c r="C782" t="s">
        <v>75</v>
      </c>
      <c r="D782" t="s">
        <v>25</v>
      </c>
      <c r="E782">
        <v>39</v>
      </c>
      <c r="F782">
        <v>65039</v>
      </c>
      <c r="G782">
        <v>12</v>
      </c>
      <c r="H782" t="s">
        <v>1739</v>
      </c>
      <c r="I782" t="s">
        <v>57</v>
      </c>
      <c r="J782" t="s">
        <v>28</v>
      </c>
      <c r="K782" t="s">
        <v>37</v>
      </c>
      <c r="L782" t="str">
        <f t="array" ref="L782">_xlfn.IFS(HR_Data[[#This Row],[Experience]]&lt;2,"0-2 Years",HR_Data[[#This Row],[Experience]]&lt;5,"2-5 Years",HR_Data[[#This Row],[Experience]]&lt;10,"5-10 Years",TRUE(),"10+ Years")</f>
        <v>10+ Years</v>
      </c>
      <c r="M782" t="str">
        <f t="array" ref="M782">_xlfn.IFS(HR_Data[[#This Row],[Salary]]&lt;40000,"Low",HR_Data[[#This Row],[Salary]]&lt;70000,"Medium",HR_Data[[#This Row],[Salary]]&lt;100000,"High",TRUE(),"Very High")</f>
        <v>Medium</v>
      </c>
      <c r="N782" t="str">
        <f t="array" ref="N782">_xlfn.IFS(HR_Data[[#This Row],[Age]]&lt;25,"18-24",HR_Data[[#This Row],[Age]]&lt;35,"25-34",HR_Data[[#This Row],[Age]]&lt;45,"35-44",TRUE(),"45+")</f>
        <v>35-44</v>
      </c>
      <c r="O782">
        <f>YEAR(HR_Data[[#This Row],[Joining Date]])</f>
        <v>2018</v>
      </c>
      <c r="P782" t="str">
        <f>TEXT(HR_Data[[#This Row],[Joining Date]],"mmmm")</f>
        <v>May</v>
      </c>
      <c r="Q782">
        <f t="array" ref="Q782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782">
        <f>HR_Data[[#This Row],[Salary]]*HR_Data[[#This Row],[Bonus %]]</f>
        <v>9755.85</v>
      </c>
      <c r="S782">
        <f>HR_Data[[#This Row],[Salary]]+HR_Data[[#This Row],[Bonus Amount]]</f>
        <v>74794.850000000006</v>
      </c>
      <c r="T782" t="str">
        <f>IF(HR_Data[[#This Row],[Attrition]]="Yes","Inactive","Active")</f>
        <v>Inactive</v>
      </c>
      <c r="U782" t="str">
        <f t="array" ref="U782">_xlfn.IFS(HR_Data[[#This Row],[Salary]]&gt;=100000,"A",HR_Data[[#This Row],[Salary]]&gt;=70000,"B",HR_Data[[#This Row],[Salary]]&gt;=50000,"C",TRUE(),"D")</f>
        <v>C</v>
      </c>
      <c r="V782" t="str">
        <f t="array" ref="V782">_xlfn.IFS(HR_Data[[#This Row],[Experience]]&gt;=15,"Expert",HR_Data[[#This Row],[Experience]]&gt;=8,"Senior",HR_Data[[#This Row],[Experience]]&gt;=3,"Mid-Level",TRUE(),"Junior")</f>
        <v>Senior</v>
      </c>
    </row>
    <row r="783" spans="1:22" ht="14.25" customHeight="1" x14ac:dyDescent="0.3">
      <c r="A783" t="s">
        <v>1740</v>
      </c>
      <c r="B783" t="s">
        <v>1741</v>
      </c>
      <c r="C783" t="s">
        <v>93</v>
      </c>
      <c r="D783" t="s">
        <v>25</v>
      </c>
      <c r="E783">
        <v>31</v>
      </c>
      <c r="F783">
        <v>35125</v>
      </c>
      <c r="G783">
        <v>5</v>
      </c>
      <c r="H783" t="s">
        <v>1742</v>
      </c>
      <c r="I783" t="s">
        <v>132</v>
      </c>
      <c r="J783" t="s">
        <v>36</v>
      </c>
      <c r="K783" t="s">
        <v>29</v>
      </c>
      <c r="L783" t="str">
        <f t="array" ref="L783">_xlfn.IFS(HR_Data[[#This Row],[Experience]]&lt;2,"0-2 Years",HR_Data[[#This Row],[Experience]]&lt;5,"2-5 Years",HR_Data[[#This Row],[Experience]]&lt;10,"5-10 Years",TRUE(),"10+ Years")</f>
        <v>5-10 Years</v>
      </c>
      <c r="M783" t="str">
        <f t="array" ref="M783">_xlfn.IFS(HR_Data[[#This Row],[Salary]]&lt;40000,"Low",HR_Data[[#This Row],[Salary]]&lt;70000,"Medium",HR_Data[[#This Row],[Salary]]&lt;100000,"High",TRUE(),"Very High")</f>
        <v>Low</v>
      </c>
      <c r="N783" t="str">
        <f t="array" ref="N783">_xlfn.IFS(HR_Data[[#This Row],[Age]]&lt;25,"18-24",HR_Data[[#This Row],[Age]]&lt;35,"25-34",HR_Data[[#This Row],[Age]]&lt;45,"35-44",TRUE(),"45+")</f>
        <v>25-34</v>
      </c>
      <c r="O783">
        <f>YEAR(HR_Data[[#This Row],[Joining Date]])</f>
        <v>2018</v>
      </c>
      <c r="P783" t="str">
        <f>TEXT(HR_Data[[#This Row],[Joining Date]],"mmmm")</f>
        <v>October</v>
      </c>
      <c r="Q783">
        <f t="array" ref="Q783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83">
        <f>HR_Data[[#This Row],[Salary]]*HR_Data[[#This Row],[Bonus %]]</f>
        <v>3512.5</v>
      </c>
      <c r="S783">
        <f>HR_Data[[#This Row],[Salary]]+HR_Data[[#This Row],[Bonus Amount]]</f>
        <v>38637.5</v>
      </c>
      <c r="T783" t="str">
        <f>IF(HR_Data[[#This Row],[Attrition]]="Yes","Inactive","Active")</f>
        <v>Active</v>
      </c>
      <c r="U783" t="str">
        <f t="array" ref="U783">_xlfn.IFS(HR_Data[[#This Row],[Salary]]&gt;=100000,"A",HR_Data[[#This Row],[Salary]]&gt;=70000,"B",HR_Data[[#This Row],[Salary]]&gt;=50000,"C",TRUE(),"D")</f>
        <v>D</v>
      </c>
      <c r="V783" t="str">
        <f t="array" ref="V783">_xlfn.IFS(HR_Data[[#This Row],[Experience]]&gt;=15,"Expert",HR_Data[[#This Row],[Experience]]&gt;=8,"Senior",HR_Data[[#This Row],[Experience]]&gt;=3,"Mid-Level",TRUE(),"Junior")</f>
        <v>Mid-Level</v>
      </c>
    </row>
    <row r="784" spans="1:22" ht="14.25" customHeight="1" x14ac:dyDescent="0.3">
      <c r="A784" t="s">
        <v>1743</v>
      </c>
      <c r="B784" t="s">
        <v>65</v>
      </c>
      <c r="C784" t="s">
        <v>32</v>
      </c>
      <c r="D784" t="s">
        <v>33</v>
      </c>
      <c r="E784">
        <v>50</v>
      </c>
      <c r="F784">
        <v>93251</v>
      </c>
      <c r="G784">
        <v>20</v>
      </c>
      <c r="H784" t="s">
        <v>1744</v>
      </c>
      <c r="I784" t="s">
        <v>57</v>
      </c>
      <c r="J784" t="s">
        <v>36</v>
      </c>
      <c r="K784" t="s">
        <v>29</v>
      </c>
      <c r="L784" t="str">
        <f t="array" ref="L784">_xlfn.IFS(HR_Data[[#This Row],[Experience]]&lt;2,"0-2 Years",HR_Data[[#This Row],[Experience]]&lt;5,"2-5 Years",HR_Data[[#This Row],[Experience]]&lt;10,"5-10 Years",TRUE(),"10+ Years")</f>
        <v>10+ Years</v>
      </c>
      <c r="M784" t="str">
        <f t="array" ref="M784">_xlfn.IFS(HR_Data[[#This Row],[Salary]]&lt;40000,"Low",HR_Data[[#This Row],[Salary]]&lt;70000,"Medium",HR_Data[[#This Row],[Salary]]&lt;100000,"High",TRUE(),"Very High")</f>
        <v>High</v>
      </c>
      <c r="N784" t="str">
        <f t="array" ref="N784">_xlfn.IFS(HR_Data[[#This Row],[Age]]&lt;25,"18-24",HR_Data[[#This Row],[Age]]&lt;35,"25-34",HR_Data[[#This Row],[Age]]&lt;45,"35-44",TRUE(),"45+")</f>
        <v>45+</v>
      </c>
      <c r="O784">
        <f>YEAR(HR_Data[[#This Row],[Joining Date]])</f>
        <v>2025</v>
      </c>
      <c r="P784" t="str">
        <f>TEXT(HR_Data[[#This Row],[Joining Date]],"mmmm")</f>
        <v>November</v>
      </c>
      <c r="Q784">
        <f t="array" ref="Q784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84">
        <f>HR_Data[[#This Row],[Salary]]*HR_Data[[#This Row],[Bonus %]]</f>
        <v>9325.1</v>
      </c>
      <c r="S784">
        <f>HR_Data[[#This Row],[Salary]]+HR_Data[[#This Row],[Bonus Amount]]</f>
        <v>102576.1</v>
      </c>
      <c r="T784" t="str">
        <f>IF(HR_Data[[#This Row],[Attrition]]="Yes","Inactive","Active")</f>
        <v>Active</v>
      </c>
      <c r="U784" t="str">
        <f t="array" ref="U784">_xlfn.IFS(HR_Data[[#This Row],[Salary]]&gt;=100000,"A",HR_Data[[#This Row],[Salary]]&gt;=70000,"B",HR_Data[[#This Row],[Salary]]&gt;=50000,"C",TRUE(),"D")</f>
        <v>B</v>
      </c>
      <c r="V784" t="str">
        <f t="array" ref="V784">_xlfn.IFS(HR_Data[[#This Row],[Experience]]&gt;=15,"Expert",HR_Data[[#This Row],[Experience]]&gt;=8,"Senior",HR_Data[[#This Row],[Experience]]&gt;=3,"Mid-Level",TRUE(),"Junior")</f>
        <v>Expert</v>
      </c>
    </row>
    <row r="785" spans="1:22" ht="14.25" customHeight="1" x14ac:dyDescent="0.3">
      <c r="A785" t="s">
        <v>1745</v>
      </c>
      <c r="B785" t="s">
        <v>503</v>
      </c>
      <c r="C785" t="s">
        <v>70</v>
      </c>
      <c r="D785" t="s">
        <v>25</v>
      </c>
      <c r="E785">
        <v>36</v>
      </c>
      <c r="F785">
        <v>76613</v>
      </c>
      <c r="G785">
        <v>14</v>
      </c>
      <c r="H785" t="s">
        <v>1746</v>
      </c>
      <c r="I785" t="s">
        <v>80</v>
      </c>
      <c r="J785" t="s">
        <v>28</v>
      </c>
      <c r="K785" t="s">
        <v>29</v>
      </c>
      <c r="L785" t="str">
        <f t="array" ref="L785">_xlfn.IFS(HR_Data[[#This Row],[Experience]]&lt;2,"0-2 Years",HR_Data[[#This Row],[Experience]]&lt;5,"2-5 Years",HR_Data[[#This Row],[Experience]]&lt;10,"5-10 Years",TRUE(),"10+ Years")</f>
        <v>10+ Years</v>
      </c>
      <c r="M785" t="str">
        <f t="array" ref="M785">_xlfn.IFS(HR_Data[[#This Row],[Salary]]&lt;40000,"Low",HR_Data[[#This Row],[Salary]]&lt;70000,"Medium",HR_Data[[#This Row],[Salary]]&lt;100000,"High",TRUE(),"Very High")</f>
        <v>High</v>
      </c>
      <c r="N785" t="str">
        <f t="array" ref="N785">_xlfn.IFS(HR_Data[[#This Row],[Age]]&lt;25,"18-24",HR_Data[[#This Row],[Age]]&lt;35,"25-34",HR_Data[[#This Row],[Age]]&lt;45,"35-44",TRUE(),"45+")</f>
        <v>35-44</v>
      </c>
      <c r="O785">
        <f>YEAR(HR_Data[[#This Row],[Joining Date]])</f>
        <v>2020</v>
      </c>
      <c r="P785" t="str">
        <f>TEXT(HR_Data[[#This Row],[Joining Date]],"mmmm")</f>
        <v>April</v>
      </c>
      <c r="Q785">
        <f t="array" ref="Q785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785">
        <f>HR_Data[[#This Row],[Salary]]*HR_Data[[#This Row],[Bonus %]]</f>
        <v>11491.949999999999</v>
      </c>
      <c r="S785">
        <f>HR_Data[[#This Row],[Salary]]+HR_Data[[#This Row],[Bonus Amount]]</f>
        <v>88104.95</v>
      </c>
      <c r="T785" t="str">
        <f>IF(HR_Data[[#This Row],[Attrition]]="Yes","Inactive","Active")</f>
        <v>Active</v>
      </c>
      <c r="U785" t="str">
        <f t="array" ref="U785">_xlfn.IFS(HR_Data[[#This Row],[Salary]]&gt;=100000,"A",HR_Data[[#This Row],[Salary]]&gt;=70000,"B",HR_Data[[#This Row],[Salary]]&gt;=50000,"C",TRUE(),"D")</f>
        <v>B</v>
      </c>
      <c r="V785" t="str">
        <f t="array" ref="V785">_xlfn.IFS(HR_Data[[#This Row],[Experience]]&gt;=15,"Expert",HR_Data[[#This Row],[Experience]]&gt;=8,"Senior",HR_Data[[#This Row],[Experience]]&gt;=3,"Mid-Level",TRUE(),"Junior")</f>
        <v>Senior</v>
      </c>
    </row>
    <row r="786" spans="1:22" ht="14.25" customHeight="1" x14ac:dyDescent="0.3">
      <c r="A786" t="s">
        <v>1747</v>
      </c>
      <c r="B786" t="s">
        <v>1391</v>
      </c>
      <c r="C786" t="s">
        <v>112</v>
      </c>
      <c r="D786" t="s">
        <v>25</v>
      </c>
      <c r="E786">
        <v>55</v>
      </c>
      <c r="F786">
        <v>133401</v>
      </c>
      <c r="G786">
        <v>35</v>
      </c>
      <c r="H786" t="s">
        <v>1748</v>
      </c>
      <c r="I786" t="s">
        <v>45</v>
      </c>
      <c r="J786" t="s">
        <v>28</v>
      </c>
      <c r="K786" t="s">
        <v>29</v>
      </c>
      <c r="L786" t="str">
        <f t="array" ref="L786">_xlfn.IFS(HR_Data[[#This Row],[Experience]]&lt;2,"0-2 Years",HR_Data[[#This Row],[Experience]]&lt;5,"2-5 Years",HR_Data[[#This Row],[Experience]]&lt;10,"5-10 Years",TRUE(),"10+ Years")</f>
        <v>10+ Years</v>
      </c>
      <c r="M786" t="str">
        <f t="array" ref="M786">_xlfn.IFS(HR_Data[[#This Row],[Salary]]&lt;40000,"Low",HR_Data[[#This Row],[Salary]]&lt;70000,"Medium",HR_Data[[#This Row],[Salary]]&lt;100000,"High",TRUE(),"Very High")</f>
        <v>Very High</v>
      </c>
      <c r="N786" t="str">
        <f t="array" ref="N786">_xlfn.IFS(HR_Data[[#This Row],[Age]]&lt;25,"18-24",HR_Data[[#This Row],[Age]]&lt;35,"25-34",HR_Data[[#This Row],[Age]]&lt;45,"35-44",TRUE(),"45+")</f>
        <v>45+</v>
      </c>
      <c r="O786">
        <f>YEAR(HR_Data[[#This Row],[Joining Date]])</f>
        <v>2016</v>
      </c>
      <c r="P786" t="str">
        <f>TEXT(HR_Data[[#This Row],[Joining Date]],"mmmm")</f>
        <v>November</v>
      </c>
      <c r="Q786">
        <f t="array" ref="Q786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786">
        <f>HR_Data[[#This Row],[Salary]]*HR_Data[[#This Row],[Bonus %]]</f>
        <v>20010.149999999998</v>
      </c>
      <c r="S786">
        <f>HR_Data[[#This Row],[Salary]]+HR_Data[[#This Row],[Bonus Amount]]</f>
        <v>153411.15</v>
      </c>
      <c r="T786" t="str">
        <f>IF(HR_Data[[#This Row],[Attrition]]="Yes","Inactive","Active")</f>
        <v>Active</v>
      </c>
      <c r="U786" t="str">
        <f t="array" ref="U786">_xlfn.IFS(HR_Data[[#This Row],[Salary]]&gt;=100000,"A",HR_Data[[#This Row],[Salary]]&gt;=70000,"B",HR_Data[[#This Row],[Salary]]&gt;=50000,"C",TRUE(),"D")</f>
        <v>A</v>
      </c>
      <c r="V786" t="str">
        <f t="array" ref="V786">_xlfn.IFS(HR_Data[[#This Row],[Experience]]&gt;=15,"Expert",HR_Data[[#This Row],[Experience]]&gt;=8,"Senior",HR_Data[[#This Row],[Experience]]&gt;=3,"Mid-Level",TRUE(),"Junior")</f>
        <v>Expert</v>
      </c>
    </row>
    <row r="787" spans="1:22" ht="14.25" customHeight="1" x14ac:dyDescent="0.3">
      <c r="A787" t="s">
        <v>1749</v>
      </c>
      <c r="B787" t="s">
        <v>287</v>
      </c>
      <c r="C787" t="s">
        <v>134</v>
      </c>
      <c r="D787" t="s">
        <v>25</v>
      </c>
      <c r="E787">
        <v>46</v>
      </c>
      <c r="F787">
        <v>98983</v>
      </c>
      <c r="G787">
        <v>21</v>
      </c>
      <c r="H787" t="s">
        <v>1750</v>
      </c>
      <c r="I787" t="s">
        <v>27</v>
      </c>
      <c r="J787" t="s">
        <v>36</v>
      </c>
      <c r="K787" t="s">
        <v>29</v>
      </c>
      <c r="L787" t="str">
        <f t="array" ref="L787">_xlfn.IFS(HR_Data[[#This Row],[Experience]]&lt;2,"0-2 Years",HR_Data[[#This Row],[Experience]]&lt;5,"2-5 Years",HR_Data[[#This Row],[Experience]]&lt;10,"5-10 Years",TRUE(),"10+ Years")</f>
        <v>10+ Years</v>
      </c>
      <c r="M787" t="str">
        <f t="array" ref="M787">_xlfn.IFS(HR_Data[[#This Row],[Salary]]&lt;40000,"Low",HR_Data[[#This Row],[Salary]]&lt;70000,"Medium",HR_Data[[#This Row],[Salary]]&lt;100000,"High",TRUE(),"Very High")</f>
        <v>High</v>
      </c>
      <c r="N787" t="str">
        <f t="array" ref="N787">_xlfn.IFS(HR_Data[[#This Row],[Age]]&lt;25,"18-24",HR_Data[[#This Row],[Age]]&lt;35,"25-34",HR_Data[[#This Row],[Age]]&lt;45,"35-44",TRUE(),"45+")</f>
        <v>45+</v>
      </c>
      <c r="O787">
        <f>YEAR(HR_Data[[#This Row],[Joining Date]])</f>
        <v>2025</v>
      </c>
      <c r="P787" t="str">
        <f>TEXT(HR_Data[[#This Row],[Joining Date]],"mmmm")</f>
        <v>June</v>
      </c>
      <c r="Q787">
        <f t="array" ref="Q787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87">
        <f>HR_Data[[#This Row],[Salary]]*HR_Data[[#This Row],[Bonus %]]</f>
        <v>9898.3000000000011</v>
      </c>
      <c r="S787">
        <f>HR_Data[[#This Row],[Salary]]+HR_Data[[#This Row],[Bonus Amount]]</f>
        <v>108881.3</v>
      </c>
      <c r="T787" t="str">
        <f>IF(HR_Data[[#This Row],[Attrition]]="Yes","Inactive","Active")</f>
        <v>Active</v>
      </c>
      <c r="U787" t="str">
        <f t="array" ref="U787">_xlfn.IFS(HR_Data[[#This Row],[Salary]]&gt;=100000,"A",HR_Data[[#This Row],[Salary]]&gt;=70000,"B",HR_Data[[#This Row],[Salary]]&gt;=50000,"C",TRUE(),"D")</f>
        <v>B</v>
      </c>
      <c r="V787" t="str">
        <f t="array" ref="V787">_xlfn.IFS(HR_Data[[#This Row],[Experience]]&gt;=15,"Expert",HR_Data[[#This Row],[Experience]]&gt;=8,"Senior",HR_Data[[#This Row],[Experience]]&gt;=3,"Mid-Level",TRUE(),"Junior")</f>
        <v>Expert</v>
      </c>
    </row>
    <row r="788" spans="1:22" ht="14.25" customHeight="1" x14ac:dyDescent="0.3">
      <c r="A788" t="s">
        <v>1751</v>
      </c>
      <c r="B788" t="s">
        <v>223</v>
      </c>
      <c r="C788" t="s">
        <v>75</v>
      </c>
      <c r="D788" t="s">
        <v>33</v>
      </c>
      <c r="E788">
        <v>37</v>
      </c>
      <c r="F788">
        <v>59860</v>
      </c>
      <c r="G788">
        <v>11</v>
      </c>
      <c r="H788" t="s">
        <v>1752</v>
      </c>
      <c r="I788" t="s">
        <v>80</v>
      </c>
      <c r="J788" t="s">
        <v>36</v>
      </c>
      <c r="K788" t="s">
        <v>29</v>
      </c>
      <c r="L788" t="str">
        <f t="array" ref="L788">_xlfn.IFS(HR_Data[[#This Row],[Experience]]&lt;2,"0-2 Years",HR_Data[[#This Row],[Experience]]&lt;5,"2-5 Years",HR_Data[[#This Row],[Experience]]&lt;10,"5-10 Years",TRUE(),"10+ Years")</f>
        <v>10+ Years</v>
      </c>
      <c r="M788" t="str">
        <f t="array" ref="M788">_xlfn.IFS(HR_Data[[#This Row],[Salary]]&lt;40000,"Low",HR_Data[[#This Row],[Salary]]&lt;70000,"Medium",HR_Data[[#This Row],[Salary]]&lt;100000,"High",TRUE(),"Very High")</f>
        <v>Medium</v>
      </c>
      <c r="N788" t="str">
        <f t="array" ref="N788">_xlfn.IFS(HR_Data[[#This Row],[Age]]&lt;25,"18-24",HR_Data[[#This Row],[Age]]&lt;35,"25-34",HR_Data[[#This Row],[Age]]&lt;45,"35-44",TRUE(),"45+")</f>
        <v>35-44</v>
      </c>
      <c r="O788">
        <f>YEAR(HR_Data[[#This Row],[Joining Date]])</f>
        <v>2020</v>
      </c>
      <c r="P788" t="str">
        <f>TEXT(HR_Data[[#This Row],[Joining Date]],"mmmm")</f>
        <v>December</v>
      </c>
      <c r="Q788">
        <f t="array" ref="Q78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88">
        <f>HR_Data[[#This Row],[Salary]]*HR_Data[[#This Row],[Bonus %]]</f>
        <v>5986</v>
      </c>
      <c r="S788">
        <f>HR_Data[[#This Row],[Salary]]+HR_Data[[#This Row],[Bonus Amount]]</f>
        <v>65846</v>
      </c>
      <c r="T788" t="str">
        <f>IF(HR_Data[[#This Row],[Attrition]]="Yes","Inactive","Active")</f>
        <v>Active</v>
      </c>
      <c r="U788" t="str">
        <f t="array" ref="U788">_xlfn.IFS(HR_Data[[#This Row],[Salary]]&gt;=100000,"A",HR_Data[[#This Row],[Salary]]&gt;=70000,"B",HR_Data[[#This Row],[Salary]]&gt;=50000,"C",TRUE(),"D")</f>
        <v>C</v>
      </c>
      <c r="V788" t="str">
        <f t="array" ref="V788">_xlfn.IFS(HR_Data[[#This Row],[Experience]]&gt;=15,"Expert",HR_Data[[#This Row],[Experience]]&gt;=8,"Senior",HR_Data[[#This Row],[Experience]]&gt;=3,"Mid-Level",TRUE(),"Junior")</f>
        <v>Senior</v>
      </c>
    </row>
    <row r="789" spans="1:22" ht="14.25" customHeight="1" x14ac:dyDescent="0.3">
      <c r="A789" t="s">
        <v>1753</v>
      </c>
      <c r="B789" t="s">
        <v>842</v>
      </c>
      <c r="C789" t="s">
        <v>55</v>
      </c>
      <c r="D789" t="s">
        <v>25</v>
      </c>
      <c r="E789">
        <v>34</v>
      </c>
      <c r="F789">
        <v>65685</v>
      </c>
      <c r="G789">
        <v>14</v>
      </c>
      <c r="H789" t="s">
        <v>1754</v>
      </c>
      <c r="I789" t="s">
        <v>80</v>
      </c>
      <c r="J789" t="s">
        <v>28</v>
      </c>
      <c r="K789" t="s">
        <v>29</v>
      </c>
      <c r="L789" t="str">
        <f t="array" ref="L789">_xlfn.IFS(HR_Data[[#This Row],[Experience]]&lt;2,"0-2 Years",HR_Data[[#This Row],[Experience]]&lt;5,"2-5 Years",HR_Data[[#This Row],[Experience]]&lt;10,"5-10 Years",TRUE(),"10+ Years")</f>
        <v>10+ Years</v>
      </c>
      <c r="M789" t="str">
        <f t="array" ref="M789">_xlfn.IFS(HR_Data[[#This Row],[Salary]]&lt;40000,"Low",HR_Data[[#This Row],[Salary]]&lt;70000,"Medium",HR_Data[[#This Row],[Salary]]&lt;100000,"High",TRUE(),"Very High")</f>
        <v>Medium</v>
      </c>
      <c r="N789" t="str">
        <f t="array" ref="N789">_xlfn.IFS(HR_Data[[#This Row],[Age]]&lt;25,"18-24",HR_Data[[#This Row],[Age]]&lt;35,"25-34",HR_Data[[#This Row],[Age]]&lt;45,"35-44",TRUE(),"45+")</f>
        <v>25-34</v>
      </c>
      <c r="O789">
        <f>YEAR(HR_Data[[#This Row],[Joining Date]])</f>
        <v>2016</v>
      </c>
      <c r="P789" t="str">
        <f>TEXT(HR_Data[[#This Row],[Joining Date]],"mmmm")</f>
        <v>August</v>
      </c>
      <c r="Q789">
        <f t="array" ref="Q78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789">
        <f>HR_Data[[#This Row],[Salary]]*HR_Data[[#This Row],[Bonus %]]</f>
        <v>9852.75</v>
      </c>
      <c r="S789">
        <f>HR_Data[[#This Row],[Salary]]+HR_Data[[#This Row],[Bonus Amount]]</f>
        <v>75537.75</v>
      </c>
      <c r="T789" t="str">
        <f>IF(HR_Data[[#This Row],[Attrition]]="Yes","Inactive","Active")</f>
        <v>Active</v>
      </c>
      <c r="U789" t="str">
        <f t="array" ref="U789">_xlfn.IFS(HR_Data[[#This Row],[Salary]]&gt;=100000,"A",HR_Data[[#This Row],[Salary]]&gt;=70000,"B",HR_Data[[#This Row],[Salary]]&gt;=50000,"C",TRUE(),"D")</f>
        <v>C</v>
      </c>
      <c r="V789" t="str">
        <f t="array" ref="V789">_xlfn.IFS(HR_Data[[#This Row],[Experience]]&gt;=15,"Expert",HR_Data[[#This Row],[Experience]]&gt;=8,"Senior",HR_Data[[#This Row],[Experience]]&gt;=3,"Mid-Level",TRUE(),"Junior")</f>
        <v>Senior</v>
      </c>
    </row>
    <row r="790" spans="1:22" ht="14.25" customHeight="1" x14ac:dyDescent="0.3">
      <c r="A790" t="s">
        <v>1755</v>
      </c>
      <c r="B790" t="s">
        <v>513</v>
      </c>
      <c r="C790" t="s">
        <v>112</v>
      </c>
      <c r="D790" t="s">
        <v>25</v>
      </c>
      <c r="E790">
        <v>39</v>
      </c>
      <c r="F790">
        <v>91192</v>
      </c>
      <c r="G790">
        <v>17</v>
      </c>
      <c r="H790" t="s">
        <v>1756</v>
      </c>
      <c r="I790" t="s">
        <v>80</v>
      </c>
      <c r="J790" t="s">
        <v>90</v>
      </c>
      <c r="K790" t="s">
        <v>29</v>
      </c>
      <c r="L790" t="str">
        <f t="array" ref="L790">_xlfn.IFS(HR_Data[[#This Row],[Experience]]&lt;2,"0-2 Years",HR_Data[[#This Row],[Experience]]&lt;5,"2-5 Years",HR_Data[[#This Row],[Experience]]&lt;10,"5-10 Years",TRUE(),"10+ Years")</f>
        <v>10+ Years</v>
      </c>
      <c r="M790" t="str">
        <f t="array" ref="M790">_xlfn.IFS(HR_Data[[#This Row],[Salary]]&lt;40000,"Low",HR_Data[[#This Row],[Salary]]&lt;70000,"Medium",HR_Data[[#This Row],[Salary]]&lt;100000,"High",TRUE(),"Very High")</f>
        <v>High</v>
      </c>
      <c r="N790" t="str">
        <f t="array" ref="N790">_xlfn.IFS(HR_Data[[#This Row],[Age]]&lt;25,"18-24",HR_Data[[#This Row],[Age]]&lt;35,"25-34",HR_Data[[#This Row],[Age]]&lt;45,"35-44",TRUE(),"45+")</f>
        <v>35-44</v>
      </c>
      <c r="O790">
        <f>YEAR(HR_Data[[#This Row],[Joining Date]])</f>
        <v>2018</v>
      </c>
      <c r="P790" t="str">
        <f>TEXT(HR_Data[[#This Row],[Joining Date]],"mmmm")</f>
        <v>February</v>
      </c>
      <c r="Q790">
        <f t="array" ref="Q790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790">
        <f>HR_Data[[#This Row],[Salary]]*HR_Data[[#This Row],[Bonus %]]</f>
        <v>0</v>
      </c>
      <c r="S790">
        <f>HR_Data[[#This Row],[Salary]]+HR_Data[[#This Row],[Bonus Amount]]</f>
        <v>91192</v>
      </c>
      <c r="T790" t="str">
        <f>IF(HR_Data[[#This Row],[Attrition]]="Yes","Inactive","Active")</f>
        <v>Active</v>
      </c>
      <c r="U790" t="str">
        <f t="array" ref="U790">_xlfn.IFS(HR_Data[[#This Row],[Salary]]&gt;=100000,"A",HR_Data[[#This Row],[Salary]]&gt;=70000,"B",HR_Data[[#This Row],[Salary]]&gt;=50000,"C",TRUE(),"D")</f>
        <v>B</v>
      </c>
      <c r="V790" t="str">
        <f t="array" ref="V790">_xlfn.IFS(HR_Data[[#This Row],[Experience]]&gt;=15,"Expert",HR_Data[[#This Row],[Experience]]&gt;=8,"Senior",HR_Data[[#This Row],[Experience]]&gt;=3,"Mid-Level",TRUE(),"Junior")</f>
        <v>Expert</v>
      </c>
    </row>
    <row r="791" spans="1:22" ht="14.25" customHeight="1" x14ac:dyDescent="0.3">
      <c r="A791" t="s">
        <v>1757</v>
      </c>
      <c r="B791" t="s">
        <v>594</v>
      </c>
      <c r="C791" t="s">
        <v>60</v>
      </c>
      <c r="D791" t="s">
        <v>33</v>
      </c>
      <c r="E791">
        <v>47</v>
      </c>
      <c r="F791">
        <v>100695</v>
      </c>
      <c r="G791">
        <v>22</v>
      </c>
      <c r="H791" t="s">
        <v>616</v>
      </c>
      <c r="I791" t="s">
        <v>57</v>
      </c>
      <c r="J791" t="s">
        <v>36</v>
      </c>
      <c r="K791" t="s">
        <v>29</v>
      </c>
      <c r="L791" t="str">
        <f t="array" ref="L791">_xlfn.IFS(HR_Data[[#This Row],[Experience]]&lt;2,"0-2 Years",HR_Data[[#This Row],[Experience]]&lt;5,"2-5 Years",HR_Data[[#This Row],[Experience]]&lt;10,"5-10 Years",TRUE(),"10+ Years")</f>
        <v>10+ Years</v>
      </c>
      <c r="M791" t="str">
        <f t="array" ref="M791">_xlfn.IFS(HR_Data[[#This Row],[Salary]]&lt;40000,"Low",HR_Data[[#This Row],[Salary]]&lt;70000,"Medium",HR_Data[[#This Row],[Salary]]&lt;100000,"High",TRUE(),"Very High")</f>
        <v>Very High</v>
      </c>
      <c r="N791" t="str">
        <f t="array" ref="N791">_xlfn.IFS(HR_Data[[#This Row],[Age]]&lt;25,"18-24",HR_Data[[#This Row],[Age]]&lt;35,"25-34",HR_Data[[#This Row],[Age]]&lt;45,"35-44",TRUE(),"45+")</f>
        <v>45+</v>
      </c>
      <c r="O791">
        <f>YEAR(HR_Data[[#This Row],[Joining Date]])</f>
        <v>2015</v>
      </c>
      <c r="P791" t="str">
        <f>TEXT(HR_Data[[#This Row],[Joining Date]],"mmmm")</f>
        <v>April</v>
      </c>
      <c r="Q791">
        <f t="array" ref="Q79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91">
        <f>HR_Data[[#This Row],[Salary]]*HR_Data[[#This Row],[Bonus %]]</f>
        <v>10069.5</v>
      </c>
      <c r="S791">
        <f>HR_Data[[#This Row],[Salary]]+HR_Data[[#This Row],[Bonus Amount]]</f>
        <v>110764.5</v>
      </c>
      <c r="T791" t="str">
        <f>IF(HR_Data[[#This Row],[Attrition]]="Yes","Inactive","Active")</f>
        <v>Active</v>
      </c>
      <c r="U791" t="str">
        <f t="array" ref="U791">_xlfn.IFS(HR_Data[[#This Row],[Salary]]&gt;=100000,"A",HR_Data[[#This Row],[Salary]]&gt;=70000,"B",HR_Data[[#This Row],[Salary]]&gt;=50000,"C",TRUE(),"D")</f>
        <v>A</v>
      </c>
      <c r="V791" t="str">
        <f t="array" ref="V791">_xlfn.IFS(HR_Data[[#This Row],[Experience]]&gt;=15,"Expert",HR_Data[[#This Row],[Experience]]&gt;=8,"Senior",HR_Data[[#This Row],[Experience]]&gt;=3,"Mid-Level",TRUE(),"Junior")</f>
        <v>Expert</v>
      </c>
    </row>
    <row r="792" spans="1:22" ht="14.25" customHeight="1" x14ac:dyDescent="0.3">
      <c r="A792" t="s">
        <v>1758</v>
      </c>
      <c r="B792" t="s">
        <v>433</v>
      </c>
      <c r="C792" t="s">
        <v>60</v>
      </c>
      <c r="D792" t="s">
        <v>25</v>
      </c>
      <c r="E792">
        <v>52</v>
      </c>
      <c r="F792">
        <v>129902</v>
      </c>
      <c r="G792">
        <v>30</v>
      </c>
      <c r="H792" t="s">
        <v>260</v>
      </c>
      <c r="I792" t="s">
        <v>62</v>
      </c>
      <c r="J792" t="s">
        <v>36</v>
      </c>
      <c r="K792" t="s">
        <v>29</v>
      </c>
      <c r="L792" t="str">
        <f t="array" ref="L792">_xlfn.IFS(HR_Data[[#This Row],[Experience]]&lt;2,"0-2 Years",HR_Data[[#This Row],[Experience]]&lt;5,"2-5 Years",HR_Data[[#This Row],[Experience]]&lt;10,"5-10 Years",TRUE(),"10+ Years")</f>
        <v>10+ Years</v>
      </c>
      <c r="M792" t="str">
        <f t="array" ref="M792">_xlfn.IFS(HR_Data[[#This Row],[Salary]]&lt;40000,"Low",HR_Data[[#This Row],[Salary]]&lt;70000,"Medium",HR_Data[[#This Row],[Salary]]&lt;100000,"High",TRUE(),"Very High")</f>
        <v>Very High</v>
      </c>
      <c r="N792" t="str">
        <f t="array" ref="N792">_xlfn.IFS(HR_Data[[#This Row],[Age]]&lt;25,"18-24",HR_Data[[#This Row],[Age]]&lt;35,"25-34",HR_Data[[#This Row],[Age]]&lt;45,"35-44",TRUE(),"45+")</f>
        <v>45+</v>
      </c>
      <c r="O792">
        <f>YEAR(HR_Data[[#This Row],[Joining Date]])</f>
        <v>2025</v>
      </c>
      <c r="P792" t="str">
        <f>TEXT(HR_Data[[#This Row],[Joining Date]],"mmmm")</f>
        <v>July</v>
      </c>
      <c r="Q792">
        <f t="array" ref="Q79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92">
        <f>HR_Data[[#This Row],[Salary]]*HR_Data[[#This Row],[Bonus %]]</f>
        <v>12990.2</v>
      </c>
      <c r="S792">
        <f>HR_Data[[#This Row],[Salary]]+HR_Data[[#This Row],[Bonus Amount]]</f>
        <v>142892.20000000001</v>
      </c>
      <c r="T792" t="str">
        <f>IF(HR_Data[[#This Row],[Attrition]]="Yes","Inactive","Active")</f>
        <v>Active</v>
      </c>
      <c r="U792" t="str">
        <f t="array" ref="U792">_xlfn.IFS(HR_Data[[#This Row],[Salary]]&gt;=100000,"A",HR_Data[[#This Row],[Salary]]&gt;=70000,"B",HR_Data[[#This Row],[Salary]]&gt;=50000,"C",TRUE(),"D")</f>
        <v>A</v>
      </c>
      <c r="V792" t="str">
        <f t="array" ref="V792">_xlfn.IFS(HR_Data[[#This Row],[Experience]]&gt;=15,"Expert",HR_Data[[#This Row],[Experience]]&gt;=8,"Senior",HR_Data[[#This Row],[Experience]]&gt;=3,"Mid-Level",TRUE(),"Junior")</f>
        <v>Expert</v>
      </c>
    </row>
    <row r="793" spans="1:22" ht="14.25" customHeight="1" x14ac:dyDescent="0.3">
      <c r="A793" t="s">
        <v>1759</v>
      </c>
      <c r="B793" t="s">
        <v>140</v>
      </c>
      <c r="C793" t="s">
        <v>112</v>
      </c>
      <c r="D793" t="s">
        <v>25</v>
      </c>
      <c r="E793">
        <v>39</v>
      </c>
      <c r="F793">
        <v>73344</v>
      </c>
      <c r="G793">
        <v>13</v>
      </c>
      <c r="H793" t="s">
        <v>1760</v>
      </c>
      <c r="I793" t="s">
        <v>67</v>
      </c>
      <c r="J793" t="s">
        <v>28</v>
      </c>
      <c r="K793" t="s">
        <v>29</v>
      </c>
      <c r="L793" t="str">
        <f t="array" ref="L793">_xlfn.IFS(HR_Data[[#This Row],[Experience]]&lt;2,"0-2 Years",HR_Data[[#This Row],[Experience]]&lt;5,"2-5 Years",HR_Data[[#This Row],[Experience]]&lt;10,"5-10 Years",TRUE(),"10+ Years")</f>
        <v>10+ Years</v>
      </c>
      <c r="M793" t="str">
        <f t="array" ref="M793">_xlfn.IFS(HR_Data[[#This Row],[Salary]]&lt;40000,"Low",HR_Data[[#This Row],[Salary]]&lt;70000,"Medium",HR_Data[[#This Row],[Salary]]&lt;100000,"High",TRUE(),"Very High")</f>
        <v>High</v>
      </c>
      <c r="N793" t="str">
        <f t="array" ref="N793">_xlfn.IFS(HR_Data[[#This Row],[Age]]&lt;25,"18-24",HR_Data[[#This Row],[Age]]&lt;35,"25-34",HR_Data[[#This Row],[Age]]&lt;45,"35-44",TRUE(),"45+")</f>
        <v>35-44</v>
      </c>
      <c r="O793">
        <f>YEAR(HR_Data[[#This Row],[Joining Date]])</f>
        <v>2015</v>
      </c>
      <c r="P793" t="str">
        <f>TEXT(HR_Data[[#This Row],[Joining Date]],"mmmm")</f>
        <v>September</v>
      </c>
      <c r="Q793">
        <f t="array" ref="Q79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793">
        <f>HR_Data[[#This Row],[Salary]]*HR_Data[[#This Row],[Bonus %]]</f>
        <v>11001.6</v>
      </c>
      <c r="S793">
        <f>HR_Data[[#This Row],[Salary]]+HR_Data[[#This Row],[Bonus Amount]]</f>
        <v>84345.600000000006</v>
      </c>
      <c r="T793" t="str">
        <f>IF(HR_Data[[#This Row],[Attrition]]="Yes","Inactive","Active")</f>
        <v>Active</v>
      </c>
      <c r="U793" t="str">
        <f t="array" ref="U793">_xlfn.IFS(HR_Data[[#This Row],[Salary]]&gt;=100000,"A",HR_Data[[#This Row],[Salary]]&gt;=70000,"B",HR_Data[[#This Row],[Salary]]&gt;=50000,"C",TRUE(),"D")</f>
        <v>B</v>
      </c>
      <c r="V793" t="str">
        <f t="array" ref="V793">_xlfn.IFS(HR_Data[[#This Row],[Experience]]&gt;=15,"Expert",HR_Data[[#This Row],[Experience]]&gt;=8,"Senior",HR_Data[[#This Row],[Experience]]&gt;=3,"Mid-Level",TRUE(),"Junior")</f>
        <v>Senior</v>
      </c>
    </row>
    <row r="794" spans="1:22" ht="14.25" customHeight="1" x14ac:dyDescent="0.3">
      <c r="A794" t="s">
        <v>1761</v>
      </c>
      <c r="B794" t="s">
        <v>513</v>
      </c>
      <c r="C794" t="s">
        <v>55</v>
      </c>
      <c r="D794" t="s">
        <v>33</v>
      </c>
      <c r="E794">
        <v>43</v>
      </c>
      <c r="F794">
        <v>97934</v>
      </c>
      <c r="G794">
        <v>21</v>
      </c>
      <c r="H794" t="s">
        <v>1304</v>
      </c>
      <c r="I794" t="s">
        <v>72</v>
      </c>
      <c r="J794" t="s">
        <v>36</v>
      </c>
      <c r="K794" t="s">
        <v>29</v>
      </c>
      <c r="L794" t="str">
        <f t="array" ref="L794">_xlfn.IFS(HR_Data[[#This Row],[Experience]]&lt;2,"0-2 Years",HR_Data[[#This Row],[Experience]]&lt;5,"2-5 Years",HR_Data[[#This Row],[Experience]]&lt;10,"5-10 Years",TRUE(),"10+ Years")</f>
        <v>10+ Years</v>
      </c>
      <c r="M794" t="str">
        <f t="array" ref="M794">_xlfn.IFS(HR_Data[[#This Row],[Salary]]&lt;40000,"Low",HR_Data[[#This Row],[Salary]]&lt;70000,"Medium",HR_Data[[#This Row],[Salary]]&lt;100000,"High",TRUE(),"Very High")</f>
        <v>High</v>
      </c>
      <c r="N794" t="str">
        <f t="array" ref="N794">_xlfn.IFS(HR_Data[[#This Row],[Age]]&lt;25,"18-24",HR_Data[[#This Row],[Age]]&lt;35,"25-34",HR_Data[[#This Row],[Age]]&lt;45,"35-44",TRUE(),"45+")</f>
        <v>35-44</v>
      </c>
      <c r="O794">
        <f>YEAR(HR_Data[[#This Row],[Joining Date]])</f>
        <v>2024</v>
      </c>
      <c r="P794" t="str">
        <f>TEXT(HR_Data[[#This Row],[Joining Date]],"mmmm")</f>
        <v>July</v>
      </c>
      <c r="Q794">
        <f t="array" ref="Q794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94">
        <f>HR_Data[[#This Row],[Salary]]*HR_Data[[#This Row],[Bonus %]]</f>
        <v>9793.4</v>
      </c>
      <c r="S794">
        <f>HR_Data[[#This Row],[Salary]]+HR_Data[[#This Row],[Bonus Amount]]</f>
        <v>107727.4</v>
      </c>
      <c r="T794" t="str">
        <f>IF(HR_Data[[#This Row],[Attrition]]="Yes","Inactive","Active")</f>
        <v>Active</v>
      </c>
      <c r="U794" t="str">
        <f t="array" ref="U794">_xlfn.IFS(HR_Data[[#This Row],[Salary]]&gt;=100000,"A",HR_Data[[#This Row],[Salary]]&gt;=70000,"B",HR_Data[[#This Row],[Salary]]&gt;=50000,"C",TRUE(),"D")</f>
        <v>B</v>
      </c>
      <c r="V794" t="str">
        <f t="array" ref="V794">_xlfn.IFS(HR_Data[[#This Row],[Experience]]&gt;=15,"Expert",HR_Data[[#This Row],[Experience]]&gt;=8,"Senior",HR_Data[[#This Row],[Experience]]&gt;=3,"Mid-Level",TRUE(),"Junior")</f>
        <v>Expert</v>
      </c>
    </row>
    <row r="795" spans="1:22" ht="14.25" customHeight="1" x14ac:dyDescent="0.3">
      <c r="A795" t="s">
        <v>1762</v>
      </c>
      <c r="B795" t="s">
        <v>724</v>
      </c>
      <c r="C795" t="s">
        <v>32</v>
      </c>
      <c r="D795" t="s">
        <v>25</v>
      </c>
      <c r="E795">
        <v>23</v>
      </c>
      <c r="F795">
        <v>28436</v>
      </c>
      <c r="G795">
        <v>2</v>
      </c>
      <c r="H795" t="s">
        <v>1763</v>
      </c>
      <c r="I795" t="s">
        <v>57</v>
      </c>
      <c r="J795" t="s">
        <v>36</v>
      </c>
      <c r="K795" t="s">
        <v>29</v>
      </c>
      <c r="L795" t="str">
        <f t="array" ref="L795">_xlfn.IFS(HR_Data[[#This Row],[Experience]]&lt;2,"0-2 Years",HR_Data[[#This Row],[Experience]]&lt;5,"2-5 Years",HR_Data[[#This Row],[Experience]]&lt;10,"5-10 Years",TRUE(),"10+ Years")</f>
        <v>2-5 Years</v>
      </c>
      <c r="M795" t="str">
        <f t="array" ref="M795">_xlfn.IFS(HR_Data[[#This Row],[Salary]]&lt;40000,"Low",HR_Data[[#This Row],[Salary]]&lt;70000,"Medium",HR_Data[[#This Row],[Salary]]&lt;100000,"High",TRUE(),"Very High")</f>
        <v>Low</v>
      </c>
      <c r="N795" t="str">
        <f t="array" ref="N795">_xlfn.IFS(HR_Data[[#This Row],[Age]]&lt;25,"18-24",HR_Data[[#This Row],[Age]]&lt;35,"25-34",HR_Data[[#This Row],[Age]]&lt;45,"35-44",TRUE(),"45+")</f>
        <v>18-24</v>
      </c>
      <c r="O795">
        <f>YEAR(HR_Data[[#This Row],[Joining Date]])</f>
        <v>2022</v>
      </c>
      <c r="P795" t="str">
        <f>TEXT(HR_Data[[#This Row],[Joining Date]],"mmmm")</f>
        <v>May</v>
      </c>
      <c r="Q795">
        <f t="array" ref="Q79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795">
        <f>HR_Data[[#This Row],[Salary]]*HR_Data[[#This Row],[Bonus %]]</f>
        <v>2843.6000000000004</v>
      </c>
      <c r="S795">
        <f>HR_Data[[#This Row],[Salary]]+HR_Data[[#This Row],[Bonus Amount]]</f>
        <v>31279.599999999999</v>
      </c>
      <c r="T795" t="str">
        <f>IF(HR_Data[[#This Row],[Attrition]]="Yes","Inactive","Active")</f>
        <v>Active</v>
      </c>
      <c r="U795" t="str">
        <f t="array" ref="U795">_xlfn.IFS(HR_Data[[#This Row],[Salary]]&gt;=100000,"A",HR_Data[[#This Row],[Salary]]&gt;=70000,"B",HR_Data[[#This Row],[Salary]]&gt;=50000,"C",TRUE(),"D")</f>
        <v>D</v>
      </c>
      <c r="V795" t="str">
        <f t="array" ref="V795">_xlfn.IFS(HR_Data[[#This Row],[Experience]]&gt;=15,"Expert",HR_Data[[#This Row],[Experience]]&gt;=8,"Senior",HR_Data[[#This Row],[Experience]]&gt;=3,"Mid-Level",TRUE(),"Junior")</f>
        <v>Junior</v>
      </c>
    </row>
    <row r="796" spans="1:22" ht="14.25" customHeight="1" x14ac:dyDescent="0.3">
      <c r="A796" t="s">
        <v>1764</v>
      </c>
      <c r="B796" t="s">
        <v>118</v>
      </c>
      <c r="C796" t="s">
        <v>134</v>
      </c>
      <c r="D796" t="s">
        <v>33</v>
      </c>
      <c r="E796">
        <v>45</v>
      </c>
      <c r="F796">
        <v>114514</v>
      </c>
      <c r="G796">
        <v>25</v>
      </c>
      <c r="H796" t="s">
        <v>1765</v>
      </c>
      <c r="I796" t="s">
        <v>132</v>
      </c>
      <c r="J796" t="s">
        <v>28</v>
      </c>
      <c r="K796" t="s">
        <v>37</v>
      </c>
      <c r="L796" t="str">
        <f t="array" ref="L796">_xlfn.IFS(HR_Data[[#This Row],[Experience]]&lt;2,"0-2 Years",HR_Data[[#This Row],[Experience]]&lt;5,"2-5 Years",HR_Data[[#This Row],[Experience]]&lt;10,"5-10 Years",TRUE(),"10+ Years")</f>
        <v>10+ Years</v>
      </c>
      <c r="M796" t="str">
        <f t="array" ref="M796">_xlfn.IFS(HR_Data[[#This Row],[Salary]]&lt;40000,"Low",HR_Data[[#This Row],[Salary]]&lt;70000,"Medium",HR_Data[[#This Row],[Salary]]&lt;100000,"High",TRUE(),"Very High")</f>
        <v>Very High</v>
      </c>
      <c r="N796" t="str">
        <f t="array" ref="N796">_xlfn.IFS(HR_Data[[#This Row],[Age]]&lt;25,"18-24",HR_Data[[#This Row],[Age]]&lt;35,"25-34",HR_Data[[#This Row],[Age]]&lt;45,"35-44",TRUE(),"45+")</f>
        <v>45+</v>
      </c>
      <c r="O796">
        <f>YEAR(HR_Data[[#This Row],[Joining Date]])</f>
        <v>2023</v>
      </c>
      <c r="P796" t="str">
        <f>TEXT(HR_Data[[#This Row],[Joining Date]],"mmmm")</f>
        <v>September</v>
      </c>
      <c r="Q796">
        <f t="array" ref="Q796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796">
        <f>HR_Data[[#This Row],[Salary]]*HR_Data[[#This Row],[Bonus %]]</f>
        <v>17177.099999999999</v>
      </c>
      <c r="S796">
        <f>HR_Data[[#This Row],[Salary]]+HR_Data[[#This Row],[Bonus Amount]]</f>
        <v>131691.1</v>
      </c>
      <c r="T796" t="str">
        <f>IF(HR_Data[[#This Row],[Attrition]]="Yes","Inactive","Active")</f>
        <v>Inactive</v>
      </c>
      <c r="U796" t="str">
        <f t="array" ref="U796">_xlfn.IFS(HR_Data[[#This Row],[Salary]]&gt;=100000,"A",HR_Data[[#This Row],[Salary]]&gt;=70000,"B",HR_Data[[#This Row],[Salary]]&gt;=50000,"C",TRUE(),"D")</f>
        <v>A</v>
      </c>
      <c r="V796" t="str">
        <f t="array" ref="V796">_xlfn.IFS(HR_Data[[#This Row],[Experience]]&gt;=15,"Expert",HR_Data[[#This Row],[Experience]]&gt;=8,"Senior",HR_Data[[#This Row],[Experience]]&gt;=3,"Mid-Level",TRUE(),"Junior")</f>
        <v>Expert</v>
      </c>
    </row>
    <row r="797" spans="1:22" ht="14.25" customHeight="1" x14ac:dyDescent="0.3">
      <c r="A797" t="s">
        <v>1766</v>
      </c>
      <c r="B797" t="s">
        <v>573</v>
      </c>
      <c r="C797" t="s">
        <v>70</v>
      </c>
      <c r="D797" t="s">
        <v>33</v>
      </c>
      <c r="E797">
        <v>35</v>
      </c>
      <c r="F797">
        <v>54317</v>
      </c>
      <c r="G797">
        <v>6</v>
      </c>
      <c r="H797" t="s">
        <v>1767</v>
      </c>
      <c r="I797" t="s">
        <v>42</v>
      </c>
      <c r="J797" t="s">
        <v>63</v>
      </c>
      <c r="K797" t="s">
        <v>29</v>
      </c>
      <c r="L797" t="str">
        <f t="array" ref="L797">_xlfn.IFS(HR_Data[[#This Row],[Experience]]&lt;2,"0-2 Years",HR_Data[[#This Row],[Experience]]&lt;5,"2-5 Years",HR_Data[[#This Row],[Experience]]&lt;10,"5-10 Years",TRUE(),"10+ Years")</f>
        <v>5-10 Years</v>
      </c>
      <c r="M797" t="str">
        <f t="array" ref="M797">_xlfn.IFS(HR_Data[[#This Row],[Salary]]&lt;40000,"Low",HR_Data[[#This Row],[Salary]]&lt;70000,"Medium",HR_Data[[#This Row],[Salary]]&lt;100000,"High",TRUE(),"Very High")</f>
        <v>Medium</v>
      </c>
      <c r="N797" t="str">
        <f t="array" ref="N797">_xlfn.IFS(HR_Data[[#This Row],[Age]]&lt;25,"18-24",HR_Data[[#This Row],[Age]]&lt;35,"25-34",HR_Data[[#This Row],[Age]]&lt;45,"35-44",TRUE(),"45+")</f>
        <v>35-44</v>
      </c>
      <c r="O797">
        <f>YEAR(HR_Data[[#This Row],[Joining Date]])</f>
        <v>2018</v>
      </c>
      <c r="P797" t="str">
        <f>TEXT(HR_Data[[#This Row],[Joining Date]],"mmmm")</f>
        <v>December</v>
      </c>
      <c r="Q797">
        <f t="array" ref="Q797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797">
        <f>HR_Data[[#This Row],[Salary]]*HR_Data[[#This Row],[Bonus %]]</f>
        <v>10863.400000000001</v>
      </c>
      <c r="S797">
        <f>HR_Data[[#This Row],[Salary]]+HR_Data[[#This Row],[Bonus Amount]]</f>
        <v>65180.4</v>
      </c>
      <c r="T797" t="str">
        <f>IF(HR_Data[[#This Row],[Attrition]]="Yes","Inactive","Active")</f>
        <v>Active</v>
      </c>
      <c r="U797" t="str">
        <f t="array" ref="U797">_xlfn.IFS(HR_Data[[#This Row],[Salary]]&gt;=100000,"A",HR_Data[[#This Row],[Salary]]&gt;=70000,"B",HR_Data[[#This Row],[Salary]]&gt;=50000,"C",TRUE(),"D")</f>
        <v>C</v>
      </c>
      <c r="V797" t="str">
        <f t="array" ref="V797">_xlfn.IFS(HR_Data[[#This Row],[Experience]]&gt;=15,"Expert",HR_Data[[#This Row],[Experience]]&gt;=8,"Senior",HR_Data[[#This Row],[Experience]]&gt;=3,"Mid-Level",TRUE(),"Junior")</f>
        <v>Mid-Level</v>
      </c>
    </row>
    <row r="798" spans="1:22" ht="14.25" customHeight="1" x14ac:dyDescent="0.3">
      <c r="A798" t="s">
        <v>1768</v>
      </c>
      <c r="B798" t="s">
        <v>273</v>
      </c>
      <c r="C798" t="s">
        <v>55</v>
      </c>
      <c r="D798" t="s">
        <v>33</v>
      </c>
      <c r="E798">
        <v>47</v>
      </c>
      <c r="F798">
        <v>100546</v>
      </c>
      <c r="G798">
        <v>24</v>
      </c>
      <c r="H798" t="s">
        <v>1769</v>
      </c>
      <c r="I798" t="s">
        <v>132</v>
      </c>
      <c r="J798" t="s">
        <v>28</v>
      </c>
      <c r="K798" t="s">
        <v>29</v>
      </c>
      <c r="L798" t="str">
        <f t="array" ref="L798">_xlfn.IFS(HR_Data[[#This Row],[Experience]]&lt;2,"0-2 Years",HR_Data[[#This Row],[Experience]]&lt;5,"2-5 Years",HR_Data[[#This Row],[Experience]]&lt;10,"5-10 Years",TRUE(),"10+ Years")</f>
        <v>10+ Years</v>
      </c>
      <c r="M798" t="str">
        <f t="array" ref="M798">_xlfn.IFS(HR_Data[[#This Row],[Salary]]&lt;40000,"Low",HR_Data[[#This Row],[Salary]]&lt;70000,"Medium",HR_Data[[#This Row],[Salary]]&lt;100000,"High",TRUE(),"Very High")</f>
        <v>Very High</v>
      </c>
      <c r="N798" t="str">
        <f t="array" ref="N798">_xlfn.IFS(HR_Data[[#This Row],[Age]]&lt;25,"18-24",HR_Data[[#This Row],[Age]]&lt;35,"25-34",HR_Data[[#This Row],[Age]]&lt;45,"35-44",TRUE(),"45+")</f>
        <v>45+</v>
      </c>
      <c r="O798">
        <f>YEAR(HR_Data[[#This Row],[Joining Date]])</f>
        <v>2020</v>
      </c>
      <c r="P798" t="str">
        <f>TEXT(HR_Data[[#This Row],[Joining Date]],"mmmm")</f>
        <v>March</v>
      </c>
      <c r="Q798">
        <f t="array" ref="Q798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798">
        <f>HR_Data[[#This Row],[Salary]]*HR_Data[[#This Row],[Bonus %]]</f>
        <v>15081.9</v>
      </c>
      <c r="S798">
        <f>HR_Data[[#This Row],[Salary]]+HR_Data[[#This Row],[Bonus Amount]]</f>
        <v>115627.9</v>
      </c>
      <c r="T798" t="str">
        <f>IF(HR_Data[[#This Row],[Attrition]]="Yes","Inactive","Active")</f>
        <v>Active</v>
      </c>
      <c r="U798" t="str">
        <f t="array" ref="U798">_xlfn.IFS(HR_Data[[#This Row],[Salary]]&gt;=100000,"A",HR_Data[[#This Row],[Salary]]&gt;=70000,"B",HR_Data[[#This Row],[Salary]]&gt;=50000,"C",TRUE(),"D")</f>
        <v>A</v>
      </c>
      <c r="V798" t="str">
        <f t="array" ref="V798">_xlfn.IFS(HR_Data[[#This Row],[Experience]]&gt;=15,"Expert",HR_Data[[#This Row],[Experience]]&gt;=8,"Senior",HR_Data[[#This Row],[Experience]]&gt;=3,"Mid-Level",TRUE(),"Junior")</f>
        <v>Expert</v>
      </c>
    </row>
    <row r="799" spans="1:22" ht="14.25" customHeight="1" x14ac:dyDescent="0.3">
      <c r="A799" t="s">
        <v>1770</v>
      </c>
      <c r="B799" t="s">
        <v>798</v>
      </c>
      <c r="C799" t="s">
        <v>40</v>
      </c>
      <c r="D799" t="s">
        <v>25</v>
      </c>
      <c r="E799">
        <v>45</v>
      </c>
      <c r="F799">
        <v>93815</v>
      </c>
      <c r="G799">
        <v>20</v>
      </c>
      <c r="H799" t="s">
        <v>1771</v>
      </c>
      <c r="I799" t="s">
        <v>57</v>
      </c>
      <c r="J799" t="s">
        <v>90</v>
      </c>
      <c r="K799" t="s">
        <v>29</v>
      </c>
      <c r="L799" t="str">
        <f t="array" ref="L799">_xlfn.IFS(HR_Data[[#This Row],[Experience]]&lt;2,"0-2 Years",HR_Data[[#This Row],[Experience]]&lt;5,"2-5 Years",HR_Data[[#This Row],[Experience]]&lt;10,"5-10 Years",TRUE(),"10+ Years")</f>
        <v>10+ Years</v>
      </c>
      <c r="M799" t="str">
        <f t="array" ref="M799">_xlfn.IFS(HR_Data[[#This Row],[Salary]]&lt;40000,"Low",HR_Data[[#This Row],[Salary]]&lt;70000,"Medium",HR_Data[[#This Row],[Salary]]&lt;100000,"High",TRUE(),"Very High")</f>
        <v>High</v>
      </c>
      <c r="N799" t="str">
        <f t="array" ref="N799">_xlfn.IFS(HR_Data[[#This Row],[Age]]&lt;25,"18-24",HR_Data[[#This Row],[Age]]&lt;35,"25-34",HR_Data[[#This Row],[Age]]&lt;45,"35-44",TRUE(),"45+")</f>
        <v>45+</v>
      </c>
      <c r="O799">
        <f>YEAR(HR_Data[[#This Row],[Joining Date]])</f>
        <v>2018</v>
      </c>
      <c r="P799" t="str">
        <f>TEXT(HR_Data[[#This Row],[Joining Date]],"mmmm")</f>
        <v>July</v>
      </c>
      <c r="Q799">
        <f t="array" ref="Q799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799">
        <f>HR_Data[[#This Row],[Salary]]*HR_Data[[#This Row],[Bonus %]]</f>
        <v>0</v>
      </c>
      <c r="S799">
        <f>HR_Data[[#This Row],[Salary]]+HR_Data[[#This Row],[Bonus Amount]]</f>
        <v>93815</v>
      </c>
      <c r="T799" t="str">
        <f>IF(HR_Data[[#This Row],[Attrition]]="Yes","Inactive","Active")</f>
        <v>Active</v>
      </c>
      <c r="U799" t="str">
        <f t="array" ref="U799">_xlfn.IFS(HR_Data[[#This Row],[Salary]]&gt;=100000,"A",HR_Data[[#This Row],[Salary]]&gt;=70000,"B",HR_Data[[#This Row],[Salary]]&gt;=50000,"C",TRUE(),"D")</f>
        <v>B</v>
      </c>
      <c r="V799" t="str">
        <f t="array" ref="V799">_xlfn.IFS(HR_Data[[#This Row],[Experience]]&gt;=15,"Expert",HR_Data[[#This Row],[Experience]]&gt;=8,"Senior",HR_Data[[#This Row],[Experience]]&gt;=3,"Mid-Level",TRUE(),"Junior")</f>
        <v>Expert</v>
      </c>
    </row>
    <row r="800" spans="1:22" ht="14.25" customHeight="1" x14ac:dyDescent="0.3">
      <c r="A800" t="s">
        <v>1772</v>
      </c>
      <c r="B800" t="s">
        <v>169</v>
      </c>
      <c r="C800" t="s">
        <v>24</v>
      </c>
      <c r="D800" t="s">
        <v>25</v>
      </c>
      <c r="E800">
        <v>30</v>
      </c>
      <c r="F800">
        <v>52750</v>
      </c>
      <c r="G800">
        <v>8</v>
      </c>
      <c r="H800" t="s">
        <v>1773</v>
      </c>
      <c r="I800" t="s">
        <v>72</v>
      </c>
      <c r="J800" t="s">
        <v>46</v>
      </c>
      <c r="K800" t="s">
        <v>29</v>
      </c>
      <c r="L800" t="str">
        <f t="array" ref="L800">_xlfn.IFS(HR_Data[[#This Row],[Experience]]&lt;2,"0-2 Years",HR_Data[[#This Row],[Experience]]&lt;5,"2-5 Years",HR_Data[[#This Row],[Experience]]&lt;10,"5-10 Years",TRUE(),"10+ Years")</f>
        <v>5-10 Years</v>
      </c>
      <c r="M800" t="str">
        <f t="array" ref="M800">_xlfn.IFS(HR_Data[[#This Row],[Salary]]&lt;40000,"Low",HR_Data[[#This Row],[Salary]]&lt;70000,"Medium",HR_Data[[#This Row],[Salary]]&lt;100000,"High",TRUE(),"Very High")</f>
        <v>Medium</v>
      </c>
      <c r="N800" t="str">
        <f t="array" ref="N800">_xlfn.IFS(HR_Data[[#This Row],[Age]]&lt;25,"18-24",HR_Data[[#This Row],[Age]]&lt;35,"25-34",HR_Data[[#This Row],[Age]]&lt;45,"35-44",TRUE(),"45+")</f>
        <v>25-34</v>
      </c>
      <c r="O800">
        <f>YEAR(HR_Data[[#This Row],[Joining Date]])</f>
        <v>2024</v>
      </c>
      <c r="P800" t="str">
        <f>TEXT(HR_Data[[#This Row],[Joining Date]],"mmmm")</f>
        <v>September</v>
      </c>
      <c r="Q800">
        <f t="array" ref="Q800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800">
        <f>HR_Data[[#This Row],[Salary]]*HR_Data[[#This Row],[Bonus %]]</f>
        <v>2637.5</v>
      </c>
      <c r="S800">
        <f>HR_Data[[#This Row],[Salary]]+HR_Data[[#This Row],[Bonus Amount]]</f>
        <v>55387.5</v>
      </c>
      <c r="T800" t="str">
        <f>IF(HR_Data[[#This Row],[Attrition]]="Yes","Inactive","Active")</f>
        <v>Active</v>
      </c>
      <c r="U800" t="str">
        <f t="array" ref="U800">_xlfn.IFS(HR_Data[[#This Row],[Salary]]&gt;=100000,"A",HR_Data[[#This Row],[Salary]]&gt;=70000,"B",HR_Data[[#This Row],[Salary]]&gt;=50000,"C",TRUE(),"D")</f>
        <v>C</v>
      </c>
      <c r="V800" t="str">
        <f t="array" ref="V800">_xlfn.IFS(HR_Data[[#This Row],[Experience]]&gt;=15,"Expert",HR_Data[[#This Row],[Experience]]&gt;=8,"Senior",HR_Data[[#This Row],[Experience]]&gt;=3,"Mid-Level",TRUE(),"Junior")</f>
        <v>Senior</v>
      </c>
    </row>
    <row r="801" spans="1:22" ht="14.25" customHeight="1" x14ac:dyDescent="0.3">
      <c r="A801" t="s">
        <v>1774</v>
      </c>
      <c r="B801" t="s">
        <v>1073</v>
      </c>
      <c r="C801" t="s">
        <v>32</v>
      </c>
      <c r="D801" t="s">
        <v>33</v>
      </c>
      <c r="E801">
        <v>39</v>
      </c>
      <c r="F801">
        <v>70439</v>
      </c>
      <c r="G801">
        <v>12</v>
      </c>
      <c r="H801" t="s">
        <v>1775</v>
      </c>
      <c r="I801" t="s">
        <v>45</v>
      </c>
      <c r="J801" t="s">
        <v>28</v>
      </c>
      <c r="K801" t="s">
        <v>29</v>
      </c>
      <c r="L801" t="str">
        <f t="array" ref="L801">_xlfn.IFS(HR_Data[[#This Row],[Experience]]&lt;2,"0-2 Years",HR_Data[[#This Row],[Experience]]&lt;5,"2-5 Years",HR_Data[[#This Row],[Experience]]&lt;10,"5-10 Years",TRUE(),"10+ Years")</f>
        <v>10+ Years</v>
      </c>
      <c r="M801" t="str">
        <f t="array" ref="M801">_xlfn.IFS(HR_Data[[#This Row],[Salary]]&lt;40000,"Low",HR_Data[[#This Row],[Salary]]&lt;70000,"Medium",HR_Data[[#This Row],[Salary]]&lt;100000,"High",TRUE(),"Very High")</f>
        <v>High</v>
      </c>
      <c r="N801" t="str">
        <f t="array" ref="N801">_xlfn.IFS(HR_Data[[#This Row],[Age]]&lt;25,"18-24",HR_Data[[#This Row],[Age]]&lt;35,"25-34",HR_Data[[#This Row],[Age]]&lt;45,"35-44",TRUE(),"45+")</f>
        <v>35-44</v>
      </c>
      <c r="O801">
        <f>YEAR(HR_Data[[#This Row],[Joining Date]])</f>
        <v>2021</v>
      </c>
      <c r="P801" t="str">
        <f>TEXT(HR_Data[[#This Row],[Joining Date]],"mmmm")</f>
        <v>March</v>
      </c>
      <c r="Q801">
        <f t="array" ref="Q801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01">
        <f>HR_Data[[#This Row],[Salary]]*HR_Data[[#This Row],[Bonus %]]</f>
        <v>10565.85</v>
      </c>
      <c r="S801">
        <f>HR_Data[[#This Row],[Salary]]+HR_Data[[#This Row],[Bonus Amount]]</f>
        <v>81004.850000000006</v>
      </c>
      <c r="T801" t="str">
        <f>IF(HR_Data[[#This Row],[Attrition]]="Yes","Inactive","Active")</f>
        <v>Active</v>
      </c>
      <c r="U801" t="str">
        <f t="array" ref="U801">_xlfn.IFS(HR_Data[[#This Row],[Salary]]&gt;=100000,"A",HR_Data[[#This Row],[Salary]]&gt;=70000,"B",HR_Data[[#This Row],[Salary]]&gt;=50000,"C",TRUE(),"D")</f>
        <v>B</v>
      </c>
      <c r="V801" t="str">
        <f t="array" ref="V801">_xlfn.IFS(HR_Data[[#This Row],[Experience]]&gt;=15,"Expert",HR_Data[[#This Row],[Experience]]&gt;=8,"Senior",HR_Data[[#This Row],[Experience]]&gt;=3,"Mid-Level",TRUE(),"Junior")</f>
        <v>Senior</v>
      </c>
    </row>
    <row r="802" spans="1:22" ht="14.25" customHeight="1" x14ac:dyDescent="0.3">
      <c r="A802" t="s">
        <v>1776</v>
      </c>
      <c r="B802" t="s">
        <v>223</v>
      </c>
      <c r="C802" t="s">
        <v>93</v>
      </c>
      <c r="D802" t="s">
        <v>25</v>
      </c>
      <c r="E802">
        <v>49</v>
      </c>
      <c r="F802">
        <v>100287</v>
      </c>
      <c r="G802">
        <v>21</v>
      </c>
      <c r="H802" t="s">
        <v>1600</v>
      </c>
      <c r="I802" t="s">
        <v>80</v>
      </c>
      <c r="J802" t="s">
        <v>36</v>
      </c>
      <c r="K802" t="s">
        <v>37</v>
      </c>
      <c r="L802" t="str">
        <f t="array" ref="L802">_xlfn.IFS(HR_Data[[#This Row],[Experience]]&lt;2,"0-2 Years",HR_Data[[#This Row],[Experience]]&lt;5,"2-5 Years",HR_Data[[#This Row],[Experience]]&lt;10,"5-10 Years",TRUE(),"10+ Years")</f>
        <v>10+ Years</v>
      </c>
      <c r="M802" t="str">
        <f t="array" ref="M802">_xlfn.IFS(HR_Data[[#This Row],[Salary]]&lt;40000,"Low",HR_Data[[#This Row],[Salary]]&lt;70000,"Medium",HR_Data[[#This Row],[Salary]]&lt;100000,"High",TRUE(),"Very High")</f>
        <v>Very High</v>
      </c>
      <c r="N802" t="str">
        <f t="array" ref="N802">_xlfn.IFS(HR_Data[[#This Row],[Age]]&lt;25,"18-24",HR_Data[[#This Row],[Age]]&lt;35,"25-34",HR_Data[[#This Row],[Age]]&lt;45,"35-44",TRUE(),"45+")</f>
        <v>45+</v>
      </c>
      <c r="O802">
        <f>YEAR(HR_Data[[#This Row],[Joining Date]])</f>
        <v>2025</v>
      </c>
      <c r="P802" t="str">
        <f>TEXT(HR_Data[[#This Row],[Joining Date]],"mmmm")</f>
        <v>April</v>
      </c>
      <c r="Q802">
        <f t="array" ref="Q80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02">
        <f>HR_Data[[#This Row],[Salary]]*HR_Data[[#This Row],[Bonus %]]</f>
        <v>10028.700000000001</v>
      </c>
      <c r="S802">
        <f>HR_Data[[#This Row],[Salary]]+HR_Data[[#This Row],[Bonus Amount]]</f>
        <v>110315.7</v>
      </c>
      <c r="T802" t="str">
        <f>IF(HR_Data[[#This Row],[Attrition]]="Yes","Inactive","Active")</f>
        <v>Inactive</v>
      </c>
      <c r="U802" t="str">
        <f t="array" ref="U802">_xlfn.IFS(HR_Data[[#This Row],[Salary]]&gt;=100000,"A",HR_Data[[#This Row],[Salary]]&gt;=70000,"B",HR_Data[[#This Row],[Salary]]&gt;=50000,"C",TRUE(),"D")</f>
        <v>A</v>
      </c>
      <c r="V802" t="str">
        <f t="array" ref="V802">_xlfn.IFS(HR_Data[[#This Row],[Experience]]&gt;=15,"Expert",HR_Data[[#This Row],[Experience]]&gt;=8,"Senior",HR_Data[[#This Row],[Experience]]&gt;=3,"Mid-Level",TRUE(),"Junior")</f>
        <v>Expert</v>
      </c>
    </row>
    <row r="803" spans="1:22" ht="14.25" customHeight="1" x14ac:dyDescent="0.3">
      <c r="A803" t="s">
        <v>1777</v>
      </c>
      <c r="B803" t="s">
        <v>798</v>
      </c>
      <c r="C803" t="s">
        <v>32</v>
      </c>
      <c r="D803" t="s">
        <v>33</v>
      </c>
      <c r="E803">
        <v>53</v>
      </c>
      <c r="F803">
        <v>102738</v>
      </c>
      <c r="G803">
        <v>25</v>
      </c>
      <c r="H803" t="s">
        <v>1778</v>
      </c>
      <c r="I803" t="s">
        <v>72</v>
      </c>
      <c r="J803" t="s">
        <v>28</v>
      </c>
      <c r="K803" t="s">
        <v>29</v>
      </c>
      <c r="L803" t="str">
        <f t="array" ref="L803">_xlfn.IFS(HR_Data[[#This Row],[Experience]]&lt;2,"0-2 Years",HR_Data[[#This Row],[Experience]]&lt;5,"2-5 Years",HR_Data[[#This Row],[Experience]]&lt;10,"5-10 Years",TRUE(),"10+ Years")</f>
        <v>10+ Years</v>
      </c>
      <c r="M803" t="str">
        <f t="array" ref="M803">_xlfn.IFS(HR_Data[[#This Row],[Salary]]&lt;40000,"Low",HR_Data[[#This Row],[Salary]]&lt;70000,"Medium",HR_Data[[#This Row],[Salary]]&lt;100000,"High",TRUE(),"Very High")</f>
        <v>Very High</v>
      </c>
      <c r="N803" t="str">
        <f t="array" ref="N803">_xlfn.IFS(HR_Data[[#This Row],[Age]]&lt;25,"18-24",HR_Data[[#This Row],[Age]]&lt;35,"25-34",HR_Data[[#This Row],[Age]]&lt;45,"35-44",TRUE(),"45+")</f>
        <v>45+</v>
      </c>
      <c r="O803">
        <f>YEAR(HR_Data[[#This Row],[Joining Date]])</f>
        <v>2024</v>
      </c>
      <c r="P803" t="str">
        <f>TEXT(HR_Data[[#This Row],[Joining Date]],"mmmm")</f>
        <v>April</v>
      </c>
      <c r="Q803">
        <f t="array" ref="Q80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03">
        <f>HR_Data[[#This Row],[Salary]]*HR_Data[[#This Row],[Bonus %]]</f>
        <v>15410.699999999999</v>
      </c>
      <c r="S803">
        <f>HR_Data[[#This Row],[Salary]]+HR_Data[[#This Row],[Bonus Amount]]</f>
        <v>118148.7</v>
      </c>
      <c r="T803" t="str">
        <f>IF(HR_Data[[#This Row],[Attrition]]="Yes","Inactive","Active")</f>
        <v>Active</v>
      </c>
      <c r="U803" t="str">
        <f t="array" ref="U803">_xlfn.IFS(HR_Data[[#This Row],[Salary]]&gt;=100000,"A",HR_Data[[#This Row],[Salary]]&gt;=70000,"B",HR_Data[[#This Row],[Salary]]&gt;=50000,"C",TRUE(),"D")</f>
        <v>A</v>
      </c>
      <c r="V803" t="str">
        <f t="array" ref="V803">_xlfn.IFS(HR_Data[[#This Row],[Experience]]&gt;=15,"Expert",HR_Data[[#This Row],[Experience]]&gt;=8,"Senior",HR_Data[[#This Row],[Experience]]&gt;=3,"Mid-Level",TRUE(),"Junior")</f>
        <v>Expert</v>
      </c>
    </row>
    <row r="804" spans="1:22" ht="14.25" customHeight="1" x14ac:dyDescent="0.3">
      <c r="A804" t="s">
        <v>1779</v>
      </c>
      <c r="B804" t="s">
        <v>513</v>
      </c>
      <c r="C804" t="s">
        <v>40</v>
      </c>
      <c r="D804" t="s">
        <v>33</v>
      </c>
      <c r="E804">
        <v>31</v>
      </c>
      <c r="F804">
        <v>37630</v>
      </c>
      <c r="G804">
        <v>6</v>
      </c>
      <c r="H804" t="s">
        <v>1780</v>
      </c>
      <c r="I804" t="s">
        <v>35</v>
      </c>
      <c r="J804" t="s">
        <v>46</v>
      </c>
      <c r="K804" t="s">
        <v>29</v>
      </c>
      <c r="L804" t="str">
        <f t="array" ref="L804">_xlfn.IFS(HR_Data[[#This Row],[Experience]]&lt;2,"0-2 Years",HR_Data[[#This Row],[Experience]]&lt;5,"2-5 Years",HR_Data[[#This Row],[Experience]]&lt;10,"5-10 Years",TRUE(),"10+ Years")</f>
        <v>5-10 Years</v>
      </c>
      <c r="M804" t="str">
        <f t="array" ref="M804">_xlfn.IFS(HR_Data[[#This Row],[Salary]]&lt;40000,"Low",HR_Data[[#This Row],[Salary]]&lt;70000,"Medium",HR_Data[[#This Row],[Salary]]&lt;100000,"High",TRUE(),"Very High")</f>
        <v>Low</v>
      </c>
      <c r="N804" t="str">
        <f t="array" ref="N804">_xlfn.IFS(HR_Data[[#This Row],[Age]]&lt;25,"18-24",HR_Data[[#This Row],[Age]]&lt;35,"25-34",HR_Data[[#This Row],[Age]]&lt;45,"35-44",TRUE(),"45+")</f>
        <v>25-34</v>
      </c>
      <c r="O804">
        <f>YEAR(HR_Data[[#This Row],[Joining Date]])</f>
        <v>2020</v>
      </c>
      <c r="P804" t="str">
        <f>TEXT(HR_Data[[#This Row],[Joining Date]],"mmmm")</f>
        <v>May</v>
      </c>
      <c r="Q804">
        <f t="array" ref="Q804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804">
        <f>HR_Data[[#This Row],[Salary]]*HR_Data[[#This Row],[Bonus %]]</f>
        <v>1881.5</v>
      </c>
      <c r="S804">
        <f>HR_Data[[#This Row],[Salary]]+HR_Data[[#This Row],[Bonus Amount]]</f>
        <v>39511.5</v>
      </c>
      <c r="T804" t="str">
        <f>IF(HR_Data[[#This Row],[Attrition]]="Yes","Inactive","Active")</f>
        <v>Active</v>
      </c>
      <c r="U804" t="str">
        <f t="array" ref="U804">_xlfn.IFS(HR_Data[[#This Row],[Salary]]&gt;=100000,"A",HR_Data[[#This Row],[Salary]]&gt;=70000,"B",HR_Data[[#This Row],[Salary]]&gt;=50000,"C",TRUE(),"D")</f>
        <v>D</v>
      </c>
      <c r="V804" t="str">
        <f t="array" ref="V804">_xlfn.IFS(HR_Data[[#This Row],[Experience]]&gt;=15,"Expert",HR_Data[[#This Row],[Experience]]&gt;=8,"Senior",HR_Data[[#This Row],[Experience]]&gt;=3,"Mid-Level",TRUE(),"Junior")</f>
        <v>Mid-Level</v>
      </c>
    </row>
    <row r="805" spans="1:22" ht="14.25" customHeight="1" x14ac:dyDescent="0.3">
      <c r="A805" t="s">
        <v>1781</v>
      </c>
      <c r="B805" t="s">
        <v>267</v>
      </c>
      <c r="C805" t="s">
        <v>93</v>
      </c>
      <c r="D805" t="s">
        <v>33</v>
      </c>
      <c r="E805">
        <v>53</v>
      </c>
      <c r="F805">
        <v>104172</v>
      </c>
      <c r="G805">
        <v>26</v>
      </c>
      <c r="H805" t="s">
        <v>1782</v>
      </c>
      <c r="I805" t="s">
        <v>80</v>
      </c>
      <c r="J805" t="s">
        <v>63</v>
      </c>
      <c r="K805" t="s">
        <v>37</v>
      </c>
      <c r="L805" t="str">
        <f t="array" ref="L805">_xlfn.IFS(HR_Data[[#This Row],[Experience]]&lt;2,"0-2 Years",HR_Data[[#This Row],[Experience]]&lt;5,"2-5 Years",HR_Data[[#This Row],[Experience]]&lt;10,"5-10 Years",TRUE(),"10+ Years")</f>
        <v>10+ Years</v>
      </c>
      <c r="M805" t="str">
        <f t="array" ref="M805">_xlfn.IFS(HR_Data[[#This Row],[Salary]]&lt;40000,"Low",HR_Data[[#This Row],[Salary]]&lt;70000,"Medium",HR_Data[[#This Row],[Salary]]&lt;100000,"High",TRUE(),"Very High")</f>
        <v>Very High</v>
      </c>
      <c r="N805" t="str">
        <f t="array" ref="N805">_xlfn.IFS(HR_Data[[#This Row],[Age]]&lt;25,"18-24",HR_Data[[#This Row],[Age]]&lt;35,"25-34",HR_Data[[#This Row],[Age]]&lt;45,"35-44",TRUE(),"45+")</f>
        <v>45+</v>
      </c>
      <c r="O805">
        <f>YEAR(HR_Data[[#This Row],[Joining Date]])</f>
        <v>2023</v>
      </c>
      <c r="P805" t="str">
        <f>TEXT(HR_Data[[#This Row],[Joining Date]],"mmmm")</f>
        <v>April</v>
      </c>
      <c r="Q805">
        <f t="array" ref="Q805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805">
        <f>HR_Data[[#This Row],[Salary]]*HR_Data[[#This Row],[Bonus %]]</f>
        <v>20834.400000000001</v>
      </c>
      <c r="S805">
        <f>HR_Data[[#This Row],[Salary]]+HR_Data[[#This Row],[Bonus Amount]]</f>
        <v>125006.39999999999</v>
      </c>
      <c r="T805" t="str">
        <f>IF(HR_Data[[#This Row],[Attrition]]="Yes","Inactive","Active")</f>
        <v>Inactive</v>
      </c>
      <c r="U805" t="str">
        <f t="array" ref="U805">_xlfn.IFS(HR_Data[[#This Row],[Salary]]&gt;=100000,"A",HR_Data[[#This Row],[Salary]]&gt;=70000,"B",HR_Data[[#This Row],[Salary]]&gt;=50000,"C",TRUE(),"D")</f>
        <v>A</v>
      </c>
      <c r="V805" t="str">
        <f t="array" ref="V805">_xlfn.IFS(HR_Data[[#This Row],[Experience]]&gt;=15,"Expert",HR_Data[[#This Row],[Experience]]&gt;=8,"Senior",HR_Data[[#This Row],[Experience]]&gt;=3,"Mid-Level",TRUE(),"Junior")</f>
        <v>Expert</v>
      </c>
    </row>
    <row r="806" spans="1:22" ht="14.25" customHeight="1" x14ac:dyDescent="0.3">
      <c r="A806" t="s">
        <v>1783</v>
      </c>
      <c r="B806" t="s">
        <v>894</v>
      </c>
      <c r="C806" t="s">
        <v>55</v>
      </c>
      <c r="D806" t="s">
        <v>25</v>
      </c>
      <c r="E806">
        <v>40</v>
      </c>
      <c r="F806">
        <v>60062</v>
      </c>
      <c r="G806">
        <v>13</v>
      </c>
      <c r="H806" t="s">
        <v>1784</v>
      </c>
      <c r="I806" t="s">
        <v>57</v>
      </c>
      <c r="J806" t="s">
        <v>63</v>
      </c>
      <c r="K806" t="s">
        <v>29</v>
      </c>
      <c r="L806" t="str">
        <f t="array" ref="L806">_xlfn.IFS(HR_Data[[#This Row],[Experience]]&lt;2,"0-2 Years",HR_Data[[#This Row],[Experience]]&lt;5,"2-5 Years",HR_Data[[#This Row],[Experience]]&lt;10,"5-10 Years",TRUE(),"10+ Years")</f>
        <v>10+ Years</v>
      </c>
      <c r="M806" t="str">
        <f t="array" ref="M806">_xlfn.IFS(HR_Data[[#This Row],[Salary]]&lt;40000,"Low",HR_Data[[#This Row],[Salary]]&lt;70000,"Medium",HR_Data[[#This Row],[Salary]]&lt;100000,"High",TRUE(),"Very High")</f>
        <v>Medium</v>
      </c>
      <c r="N806" t="str">
        <f t="array" ref="N806">_xlfn.IFS(HR_Data[[#This Row],[Age]]&lt;25,"18-24",HR_Data[[#This Row],[Age]]&lt;35,"25-34",HR_Data[[#This Row],[Age]]&lt;45,"35-44",TRUE(),"45+")</f>
        <v>35-44</v>
      </c>
      <c r="O806">
        <f>YEAR(HR_Data[[#This Row],[Joining Date]])</f>
        <v>2025</v>
      </c>
      <c r="P806" t="str">
        <f>TEXT(HR_Data[[#This Row],[Joining Date]],"mmmm")</f>
        <v>May</v>
      </c>
      <c r="Q806">
        <f t="array" ref="Q806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806">
        <f>HR_Data[[#This Row],[Salary]]*HR_Data[[#This Row],[Bonus %]]</f>
        <v>12012.400000000001</v>
      </c>
      <c r="S806">
        <f>HR_Data[[#This Row],[Salary]]+HR_Data[[#This Row],[Bonus Amount]]</f>
        <v>72074.399999999994</v>
      </c>
      <c r="T806" t="str">
        <f>IF(HR_Data[[#This Row],[Attrition]]="Yes","Inactive","Active")</f>
        <v>Active</v>
      </c>
      <c r="U806" t="str">
        <f t="array" ref="U806">_xlfn.IFS(HR_Data[[#This Row],[Salary]]&gt;=100000,"A",HR_Data[[#This Row],[Salary]]&gt;=70000,"B",HR_Data[[#This Row],[Salary]]&gt;=50000,"C",TRUE(),"D")</f>
        <v>C</v>
      </c>
      <c r="V806" t="str">
        <f t="array" ref="V806">_xlfn.IFS(HR_Data[[#This Row],[Experience]]&gt;=15,"Expert",HR_Data[[#This Row],[Experience]]&gt;=8,"Senior",HR_Data[[#This Row],[Experience]]&gt;=3,"Mid-Level",TRUE(),"Junior")</f>
        <v>Senior</v>
      </c>
    </row>
    <row r="807" spans="1:22" ht="14.25" customHeight="1" x14ac:dyDescent="0.3">
      <c r="A807" t="s">
        <v>1785</v>
      </c>
      <c r="B807" t="s">
        <v>1068</v>
      </c>
      <c r="C807" t="s">
        <v>93</v>
      </c>
      <c r="D807" t="s">
        <v>25</v>
      </c>
      <c r="E807">
        <v>44</v>
      </c>
      <c r="F807">
        <v>97351</v>
      </c>
      <c r="G807">
        <v>25</v>
      </c>
      <c r="H807" t="s">
        <v>1786</v>
      </c>
      <c r="I807" t="s">
        <v>42</v>
      </c>
      <c r="J807" t="s">
        <v>63</v>
      </c>
      <c r="K807" t="s">
        <v>29</v>
      </c>
      <c r="L807" t="str">
        <f t="array" ref="L807">_xlfn.IFS(HR_Data[[#This Row],[Experience]]&lt;2,"0-2 Years",HR_Data[[#This Row],[Experience]]&lt;5,"2-5 Years",HR_Data[[#This Row],[Experience]]&lt;10,"5-10 Years",TRUE(),"10+ Years")</f>
        <v>10+ Years</v>
      </c>
      <c r="M807" t="str">
        <f t="array" ref="M807">_xlfn.IFS(HR_Data[[#This Row],[Salary]]&lt;40000,"Low",HR_Data[[#This Row],[Salary]]&lt;70000,"Medium",HR_Data[[#This Row],[Salary]]&lt;100000,"High",TRUE(),"Very High")</f>
        <v>High</v>
      </c>
      <c r="N807" t="str">
        <f t="array" ref="N807">_xlfn.IFS(HR_Data[[#This Row],[Age]]&lt;25,"18-24",HR_Data[[#This Row],[Age]]&lt;35,"25-34",HR_Data[[#This Row],[Age]]&lt;45,"35-44",TRUE(),"45+")</f>
        <v>35-44</v>
      </c>
      <c r="O807">
        <f>YEAR(HR_Data[[#This Row],[Joining Date]])</f>
        <v>2020</v>
      </c>
      <c r="P807" t="str">
        <f>TEXT(HR_Data[[#This Row],[Joining Date]],"mmmm")</f>
        <v>August</v>
      </c>
      <c r="Q807">
        <f t="array" ref="Q807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807">
        <f>HR_Data[[#This Row],[Salary]]*HR_Data[[#This Row],[Bonus %]]</f>
        <v>19470.2</v>
      </c>
      <c r="S807">
        <f>HR_Data[[#This Row],[Salary]]+HR_Data[[#This Row],[Bonus Amount]]</f>
        <v>116821.2</v>
      </c>
      <c r="T807" t="str">
        <f>IF(HR_Data[[#This Row],[Attrition]]="Yes","Inactive","Active")</f>
        <v>Active</v>
      </c>
      <c r="U807" t="str">
        <f t="array" ref="U807">_xlfn.IFS(HR_Data[[#This Row],[Salary]]&gt;=100000,"A",HR_Data[[#This Row],[Salary]]&gt;=70000,"B",HR_Data[[#This Row],[Salary]]&gt;=50000,"C",TRUE(),"D")</f>
        <v>B</v>
      </c>
      <c r="V807" t="str">
        <f t="array" ref="V807">_xlfn.IFS(HR_Data[[#This Row],[Experience]]&gt;=15,"Expert",HR_Data[[#This Row],[Experience]]&gt;=8,"Senior",HR_Data[[#This Row],[Experience]]&gt;=3,"Mid-Level",TRUE(),"Junior")</f>
        <v>Expert</v>
      </c>
    </row>
    <row r="808" spans="1:22" ht="14.25" customHeight="1" x14ac:dyDescent="0.3">
      <c r="A808" t="s">
        <v>1787</v>
      </c>
      <c r="B808" t="s">
        <v>149</v>
      </c>
      <c r="C808" t="s">
        <v>112</v>
      </c>
      <c r="D808" t="s">
        <v>33</v>
      </c>
      <c r="E808">
        <v>32</v>
      </c>
      <c r="F808">
        <v>40939</v>
      </c>
      <c r="G808">
        <v>5</v>
      </c>
      <c r="H808" t="s">
        <v>1788</v>
      </c>
      <c r="I808" t="s">
        <v>132</v>
      </c>
      <c r="J808" t="s">
        <v>63</v>
      </c>
      <c r="K808" t="s">
        <v>29</v>
      </c>
      <c r="L808" t="str">
        <f t="array" ref="L808">_xlfn.IFS(HR_Data[[#This Row],[Experience]]&lt;2,"0-2 Years",HR_Data[[#This Row],[Experience]]&lt;5,"2-5 Years",HR_Data[[#This Row],[Experience]]&lt;10,"5-10 Years",TRUE(),"10+ Years")</f>
        <v>5-10 Years</v>
      </c>
      <c r="M808" t="str">
        <f t="array" ref="M808">_xlfn.IFS(HR_Data[[#This Row],[Salary]]&lt;40000,"Low",HR_Data[[#This Row],[Salary]]&lt;70000,"Medium",HR_Data[[#This Row],[Salary]]&lt;100000,"High",TRUE(),"Very High")</f>
        <v>Medium</v>
      </c>
      <c r="N808" t="str">
        <f t="array" ref="N808">_xlfn.IFS(HR_Data[[#This Row],[Age]]&lt;25,"18-24",HR_Data[[#This Row],[Age]]&lt;35,"25-34",HR_Data[[#This Row],[Age]]&lt;45,"35-44",TRUE(),"45+")</f>
        <v>25-34</v>
      </c>
      <c r="O808">
        <f>YEAR(HR_Data[[#This Row],[Joining Date]])</f>
        <v>2024</v>
      </c>
      <c r="P808" t="str">
        <f>TEXT(HR_Data[[#This Row],[Joining Date]],"mmmm")</f>
        <v>October</v>
      </c>
      <c r="Q808">
        <f t="array" ref="Q808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808">
        <f>HR_Data[[#This Row],[Salary]]*HR_Data[[#This Row],[Bonus %]]</f>
        <v>8187.8</v>
      </c>
      <c r="S808">
        <f>HR_Data[[#This Row],[Salary]]+HR_Data[[#This Row],[Bonus Amount]]</f>
        <v>49126.8</v>
      </c>
      <c r="T808" t="str">
        <f>IF(HR_Data[[#This Row],[Attrition]]="Yes","Inactive","Active")</f>
        <v>Active</v>
      </c>
      <c r="U808" t="str">
        <f t="array" ref="U808">_xlfn.IFS(HR_Data[[#This Row],[Salary]]&gt;=100000,"A",HR_Data[[#This Row],[Salary]]&gt;=70000,"B",HR_Data[[#This Row],[Salary]]&gt;=50000,"C",TRUE(),"D")</f>
        <v>D</v>
      </c>
      <c r="V808" t="str">
        <f t="array" ref="V808">_xlfn.IFS(HR_Data[[#This Row],[Experience]]&gt;=15,"Expert",HR_Data[[#This Row],[Experience]]&gt;=8,"Senior",HR_Data[[#This Row],[Experience]]&gt;=3,"Mid-Level",TRUE(),"Junior")</f>
        <v>Mid-Level</v>
      </c>
    </row>
    <row r="809" spans="1:22" ht="14.25" customHeight="1" x14ac:dyDescent="0.3">
      <c r="A809" t="s">
        <v>1789</v>
      </c>
      <c r="B809" t="s">
        <v>1412</v>
      </c>
      <c r="C809" t="s">
        <v>70</v>
      </c>
      <c r="D809" t="s">
        <v>25</v>
      </c>
      <c r="E809">
        <v>38</v>
      </c>
      <c r="F809">
        <v>92119</v>
      </c>
      <c r="G809">
        <v>18</v>
      </c>
      <c r="H809" t="s">
        <v>1790</v>
      </c>
      <c r="I809" t="s">
        <v>67</v>
      </c>
      <c r="J809" t="s">
        <v>28</v>
      </c>
      <c r="K809" t="s">
        <v>29</v>
      </c>
      <c r="L809" t="str">
        <f t="array" ref="L809">_xlfn.IFS(HR_Data[[#This Row],[Experience]]&lt;2,"0-2 Years",HR_Data[[#This Row],[Experience]]&lt;5,"2-5 Years",HR_Data[[#This Row],[Experience]]&lt;10,"5-10 Years",TRUE(),"10+ Years")</f>
        <v>10+ Years</v>
      </c>
      <c r="M809" t="str">
        <f t="array" ref="M809">_xlfn.IFS(HR_Data[[#This Row],[Salary]]&lt;40000,"Low",HR_Data[[#This Row],[Salary]]&lt;70000,"Medium",HR_Data[[#This Row],[Salary]]&lt;100000,"High",TRUE(),"Very High")</f>
        <v>High</v>
      </c>
      <c r="N809" t="str">
        <f t="array" ref="N809">_xlfn.IFS(HR_Data[[#This Row],[Age]]&lt;25,"18-24",HR_Data[[#This Row],[Age]]&lt;35,"25-34",HR_Data[[#This Row],[Age]]&lt;45,"35-44",TRUE(),"45+")</f>
        <v>35-44</v>
      </c>
      <c r="O809">
        <f>YEAR(HR_Data[[#This Row],[Joining Date]])</f>
        <v>2023</v>
      </c>
      <c r="P809" t="str">
        <f>TEXT(HR_Data[[#This Row],[Joining Date]],"mmmm")</f>
        <v>October</v>
      </c>
      <c r="Q809">
        <f t="array" ref="Q80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09">
        <f>HR_Data[[#This Row],[Salary]]*HR_Data[[#This Row],[Bonus %]]</f>
        <v>13817.85</v>
      </c>
      <c r="S809">
        <f>HR_Data[[#This Row],[Salary]]+HR_Data[[#This Row],[Bonus Amount]]</f>
        <v>105936.85</v>
      </c>
      <c r="T809" t="str">
        <f>IF(HR_Data[[#This Row],[Attrition]]="Yes","Inactive","Active")</f>
        <v>Active</v>
      </c>
      <c r="U809" t="str">
        <f t="array" ref="U809">_xlfn.IFS(HR_Data[[#This Row],[Salary]]&gt;=100000,"A",HR_Data[[#This Row],[Salary]]&gt;=70000,"B",HR_Data[[#This Row],[Salary]]&gt;=50000,"C",TRUE(),"D")</f>
        <v>B</v>
      </c>
      <c r="V809" t="str">
        <f t="array" ref="V809">_xlfn.IFS(HR_Data[[#This Row],[Experience]]&gt;=15,"Expert",HR_Data[[#This Row],[Experience]]&gt;=8,"Senior",HR_Data[[#This Row],[Experience]]&gt;=3,"Mid-Level",TRUE(),"Junior")</f>
        <v>Expert</v>
      </c>
    </row>
    <row r="810" spans="1:22" ht="14.25" customHeight="1" x14ac:dyDescent="0.3">
      <c r="A810" t="s">
        <v>1791</v>
      </c>
      <c r="B810" t="s">
        <v>958</v>
      </c>
      <c r="C810" t="s">
        <v>32</v>
      </c>
      <c r="D810" t="s">
        <v>25</v>
      </c>
      <c r="E810">
        <v>33</v>
      </c>
      <c r="F810">
        <v>53328</v>
      </c>
      <c r="G810">
        <v>11</v>
      </c>
      <c r="H810" t="s">
        <v>1792</v>
      </c>
      <c r="I810" t="s">
        <v>35</v>
      </c>
      <c r="J810" t="s">
        <v>36</v>
      </c>
      <c r="K810" t="s">
        <v>37</v>
      </c>
      <c r="L810" t="str">
        <f t="array" ref="L810">_xlfn.IFS(HR_Data[[#This Row],[Experience]]&lt;2,"0-2 Years",HR_Data[[#This Row],[Experience]]&lt;5,"2-5 Years",HR_Data[[#This Row],[Experience]]&lt;10,"5-10 Years",TRUE(),"10+ Years")</f>
        <v>10+ Years</v>
      </c>
      <c r="M810" t="str">
        <f t="array" ref="M810">_xlfn.IFS(HR_Data[[#This Row],[Salary]]&lt;40000,"Low",HR_Data[[#This Row],[Salary]]&lt;70000,"Medium",HR_Data[[#This Row],[Salary]]&lt;100000,"High",TRUE(),"Very High")</f>
        <v>Medium</v>
      </c>
      <c r="N810" t="str">
        <f t="array" ref="N810">_xlfn.IFS(HR_Data[[#This Row],[Age]]&lt;25,"18-24",HR_Data[[#This Row],[Age]]&lt;35,"25-34",HR_Data[[#This Row],[Age]]&lt;45,"35-44",TRUE(),"45+")</f>
        <v>25-34</v>
      </c>
      <c r="O810">
        <f>YEAR(HR_Data[[#This Row],[Joining Date]])</f>
        <v>2019</v>
      </c>
      <c r="P810" t="str">
        <f>TEXT(HR_Data[[#This Row],[Joining Date]],"mmmm")</f>
        <v>November</v>
      </c>
      <c r="Q810">
        <f t="array" ref="Q81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10">
        <f>HR_Data[[#This Row],[Salary]]*HR_Data[[#This Row],[Bonus %]]</f>
        <v>5332.8</v>
      </c>
      <c r="S810">
        <f>HR_Data[[#This Row],[Salary]]+HR_Data[[#This Row],[Bonus Amount]]</f>
        <v>58660.800000000003</v>
      </c>
      <c r="T810" t="str">
        <f>IF(HR_Data[[#This Row],[Attrition]]="Yes","Inactive","Active")</f>
        <v>Inactive</v>
      </c>
      <c r="U810" t="str">
        <f t="array" ref="U810">_xlfn.IFS(HR_Data[[#This Row],[Salary]]&gt;=100000,"A",HR_Data[[#This Row],[Salary]]&gt;=70000,"B",HR_Data[[#This Row],[Salary]]&gt;=50000,"C",TRUE(),"D")</f>
        <v>C</v>
      </c>
      <c r="V810" t="str">
        <f t="array" ref="V810">_xlfn.IFS(HR_Data[[#This Row],[Experience]]&gt;=15,"Expert",HR_Data[[#This Row],[Experience]]&gt;=8,"Senior",HR_Data[[#This Row],[Experience]]&gt;=3,"Mid-Level",TRUE(),"Junior")</f>
        <v>Senior</v>
      </c>
    </row>
    <row r="811" spans="1:22" ht="14.25" customHeight="1" x14ac:dyDescent="0.3">
      <c r="A811" t="s">
        <v>1793</v>
      </c>
      <c r="B811" t="s">
        <v>492</v>
      </c>
      <c r="C811" t="s">
        <v>60</v>
      </c>
      <c r="D811" t="s">
        <v>33</v>
      </c>
      <c r="E811">
        <v>31</v>
      </c>
      <c r="F811">
        <v>26752</v>
      </c>
      <c r="G811">
        <v>3</v>
      </c>
      <c r="H811" t="s">
        <v>1794</v>
      </c>
      <c r="I811" t="s">
        <v>42</v>
      </c>
      <c r="J811" t="s">
        <v>46</v>
      </c>
      <c r="K811" t="s">
        <v>29</v>
      </c>
      <c r="L811" t="str">
        <f t="array" ref="L811">_xlfn.IFS(HR_Data[[#This Row],[Experience]]&lt;2,"0-2 Years",HR_Data[[#This Row],[Experience]]&lt;5,"2-5 Years",HR_Data[[#This Row],[Experience]]&lt;10,"5-10 Years",TRUE(),"10+ Years")</f>
        <v>2-5 Years</v>
      </c>
      <c r="M811" t="str">
        <f t="array" ref="M811">_xlfn.IFS(HR_Data[[#This Row],[Salary]]&lt;40000,"Low",HR_Data[[#This Row],[Salary]]&lt;70000,"Medium",HR_Data[[#This Row],[Salary]]&lt;100000,"High",TRUE(),"Very High")</f>
        <v>Low</v>
      </c>
      <c r="N811" t="str">
        <f t="array" ref="N811">_xlfn.IFS(HR_Data[[#This Row],[Age]]&lt;25,"18-24",HR_Data[[#This Row],[Age]]&lt;35,"25-34",HR_Data[[#This Row],[Age]]&lt;45,"35-44",TRUE(),"45+")</f>
        <v>25-34</v>
      </c>
      <c r="O811">
        <f>YEAR(HR_Data[[#This Row],[Joining Date]])</f>
        <v>2016</v>
      </c>
      <c r="P811" t="str">
        <f>TEXT(HR_Data[[#This Row],[Joining Date]],"mmmm")</f>
        <v>February</v>
      </c>
      <c r="Q811">
        <f t="array" ref="Q811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811">
        <f>HR_Data[[#This Row],[Salary]]*HR_Data[[#This Row],[Bonus %]]</f>
        <v>1337.6000000000001</v>
      </c>
      <c r="S811">
        <f>HR_Data[[#This Row],[Salary]]+HR_Data[[#This Row],[Bonus Amount]]</f>
        <v>28089.599999999999</v>
      </c>
      <c r="T811" t="str">
        <f>IF(HR_Data[[#This Row],[Attrition]]="Yes","Inactive","Active")</f>
        <v>Active</v>
      </c>
      <c r="U811" t="str">
        <f t="array" ref="U811">_xlfn.IFS(HR_Data[[#This Row],[Salary]]&gt;=100000,"A",HR_Data[[#This Row],[Salary]]&gt;=70000,"B",HR_Data[[#This Row],[Salary]]&gt;=50000,"C",TRUE(),"D")</f>
        <v>D</v>
      </c>
      <c r="V811" t="str">
        <f t="array" ref="V811">_xlfn.IFS(HR_Data[[#This Row],[Experience]]&gt;=15,"Expert",HR_Data[[#This Row],[Experience]]&gt;=8,"Senior",HR_Data[[#This Row],[Experience]]&gt;=3,"Mid-Level",TRUE(),"Junior")</f>
        <v>Mid-Level</v>
      </c>
    </row>
    <row r="812" spans="1:22" ht="14.25" customHeight="1" x14ac:dyDescent="0.3">
      <c r="A812" t="s">
        <v>1795</v>
      </c>
      <c r="B812" t="s">
        <v>130</v>
      </c>
      <c r="C812" t="s">
        <v>40</v>
      </c>
      <c r="D812" t="s">
        <v>33</v>
      </c>
      <c r="E812">
        <v>26</v>
      </c>
      <c r="F812">
        <v>25000</v>
      </c>
      <c r="G812">
        <v>1</v>
      </c>
      <c r="H812" t="s">
        <v>1796</v>
      </c>
      <c r="I812" t="s">
        <v>132</v>
      </c>
      <c r="J812" t="s">
        <v>28</v>
      </c>
      <c r="K812" t="s">
        <v>29</v>
      </c>
      <c r="L812" t="str">
        <f t="array" ref="L812">_xlfn.IFS(HR_Data[[#This Row],[Experience]]&lt;2,"0-2 Years",HR_Data[[#This Row],[Experience]]&lt;5,"2-5 Years",HR_Data[[#This Row],[Experience]]&lt;10,"5-10 Years",TRUE(),"10+ Years")</f>
        <v>0-2 Years</v>
      </c>
      <c r="M812" t="str">
        <f t="array" ref="M812">_xlfn.IFS(HR_Data[[#This Row],[Salary]]&lt;40000,"Low",HR_Data[[#This Row],[Salary]]&lt;70000,"Medium",HR_Data[[#This Row],[Salary]]&lt;100000,"High",TRUE(),"Very High")</f>
        <v>Low</v>
      </c>
      <c r="N812" t="str">
        <f t="array" ref="N812">_xlfn.IFS(HR_Data[[#This Row],[Age]]&lt;25,"18-24",HR_Data[[#This Row],[Age]]&lt;35,"25-34",HR_Data[[#This Row],[Age]]&lt;45,"35-44",TRUE(),"45+")</f>
        <v>25-34</v>
      </c>
      <c r="O812">
        <f>YEAR(HR_Data[[#This Row],[Joining Date]])</f>
        <v>2015</v>
      </c>
      <c r="P812" t="str">
        <f>TEXT(HR_Data[[#This Row],[Joining Date]],"mmmm")</f>
        <v>April</v>
      </c>
      <c r="Q812">
        <f t="array" ref="Q812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12">
        <f>HR_Data[[#This Row],[Salary]]*HR_Data[[#This Row],[Bonus %]]</f>
        <v>3750</v>
      </c>
      <c r="S812">
        <f>HR_Data[[#This Row],[Salary]]+HR_Data[[#This Row],[Bonus Amount]]</f>
        <v>28750</v>
      </c>
      <c r="T812" t="str">
        <f>IF(HR_Data[[#This Row],[Attrition]]="Yes","Inactive","Active")</f>
        <v>Active</v>
      </c>
      <c r="U812" t="str">
        <f t="array" ref="U812">_xlfn.IFS(HR_Data[[#This Row],[Salary]]&gt;=100000,"A",HR_Data[[#This Row],[Salary]]&gt;=70000,"B",HR_Data[[#This Row],[Salary]]&gt;=50000,"C",TRUE(),"D")</f>
        <v>D</v>
      </c>
      <c r="V812" t="str">
        <f t="array" ref="V812">_xlfn.IFS(HR_Data[[#This Row],[Experience]]&gt;=15,"Expert",HR_Data[[#This Row],[Experience]]&gt;=8,"Senior",HR_Data[[#This Row],[Experience]]&gt;=3,"Mid-Level",TRUE(),"Junior")</f>
        <v>Junior</v>
      </c>
    </row>
    <row r="813" spans="1:22" ht="14.25" customHeight="1" x14ac:dyDescent="0.3">
      <c r="A813" t="s">
        <v>1797</v>
      </c>
      <c r="B813" t="s">
        <v>342</v>
      </c>
      <c r="C813" t="s">
        <v>60</v>
      </c>
      <c r="D813" t="s">
        <v>25</v>
      </c>
      <c r="E813">
        <v>27</v>
      </c>
      <c r="F813">
        <v>40193</v>
      </c>
      <c r="G813">
        <v>2</v>
      </c>
      <c r="H813" t="s">
        <v>1798</v>
      </c>
      <c r="I813" t="s">
        <v>62</v>
      </c>
      <c r="J813" t="s">
        <v>46</v>
      </c>
      <c r="K813" t="s">
        <v>29</v>
      </c>
      <c r="L813" t="str">
        <f t="array" ref="L813">_xlfn.IFS(HR_Data[[#This Row],[Experience]]&lt;2,"0-2 Years",HR_Data[[#This Row],[Experience]]&lt;5,"2-5 Years",HR_Data[[#This Row],[Experience]]&lt;10,"5-10 Years",TRUE(),"10+ Years")</f>
        <v>2-5 Years</v>
      </c>
      <c r="M813" t="str">
        <f t="array" ref="M813">_xlfn.IFS(HR_Data[[#This Row],[Salary]]&lt;40000,"Low",HR_Data[[#This Row],[Salary]]&lt;70000,"Medium",HR_Data[[#This Row],[Salary]]&lt;100000,"High",TRUE(),"Very High")</f>
        <v>Medium</v>
      </c>
      <c r="N813" t="str">
        <f t="array" ref="N813">_xlfn.IFS(HR_Data[[#This Row],[Age]]&lt;25,"18-24",HR_Data[[#This Row],[Age]]&lt;35,"25-34",HR_Data[[#This Row],[Age]]&lt;45,"35-44",TRUE(),"45+")</f>
        <v>25-34</v>
      </c>
      <c r="O813">
        <f>YEAR(HR_Data[[#This Row],[Joining Date]])</f>
        <v>2017</v>
      </c>
      <c r="P813" t="str">
        <f>TEXT(HR_Data[[#This Row],[Joining Date]],"mmmm")</f>
        <v>June</v>
      </c>
      <c r="Q813">
        <f t="array" ref="Q813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813">
        <f>HR_Data[[#This Row],[Salary]]*HR_Data[[#This Row],[Bonus %]]</f>
        <v>2009.65</v>
      </c>
      <c r="S813">
        <f>HR_Data[[#This Row],[Salary]]+HR_Data[[#This Row],[Bonus Amount]]</f>
        <v>42202.65</v>
      </c>
      <c r="T813" t="str">
        <f>IF(HR_Data[[#This Row],[Attrition]]="Yes","Inactive","Active")</f>
        <v>Active</v>
      </c>
      <c r="U813" t="str">
        <f t="array" ref="U813">_xlfn.IFS(HR_Data[[#This Row],[Salary]]&gt;=100000,"A",HR_Data[[#This Row],[Salary]]&gt;=70000,"B",HR_Data[[#This Row],[Salary]]&gt;=50000,"C",TRUE(),"D")</f>
        <v>D</v>
      </c>
      <c r="V813" t="str">
        <f t="array" ref="V813">_xlfn.IFS(HR_Data[[#This Row],[Experience]]&gt;=15,"Expert",HR_Data[[#This Row],[Experience]]&gt;=8,"Senior",HR_Data[[#This Row],[Experience]]&gt;=3,"Mid-Level",TRUE(),"Junior")</f>
        <v>Junior</v>
      </c>
    </row>
    <row r="814" spans="1:22" ht="14.25" customHeight="1" x14ac:dyDescent="0.3">
      <c r="A814" t="s">
        <v>1799</v>
      </c>
      <c r="B814" t="s">
        <v>155</v>
      </c>
      <c r="C814" t="s">
        <v>112</v>
      </c>
      <c r="D814" t="s">
        <v>25</v>
      </c>
      <c r="E814">
        <v>29</v>
      </c>
      <c r="F814">
        <v>46405</v>
      </c>
      <c r="G814">
        <v>7</v>
      </c>
      <c r="H814" t="s">
        <v>1800</v>
      </c>
      <c r="I814" t="s">
        <v>57</v>
      </c>
      <c r="J814" t="s">
        <v>28</v>
      </c>
      <c r="K814" t="s">
        <v>29</v>
      </c>
      <c r="L814" t="str">
        <f t="array" ref="L814">_xlfn.IFS(HR_Data[[#This Row],[Experience]]&lt;2,"0-2 Years",HR_Data[[#This Row],[Experience]]&lt;5,"2-5 Years",HR_Data[[#This Row],[Experience]]&lt;10,"5-10 Years",TRUE(),"10+ Years")</f>
        <v>5-10 Years</v>
      </c>
      <c r="M814" t="str">
        <f t="array" ref="M814">_xlfn.IFS(HR_Data[[#This Row],[Salary]]&lt;40000,"Low",HR_Data[[#This Row],[Salary]]&lt;70000,"Medium",HR_Data[[#This Row],[Salary]]&lt;100000,"High",TRUE(),"Very High")</f>
        <v>Medium</v>
      </c>
      <c r="N814" t="str">
        <f t="array" ref="N814">_xlfn.IFS(HR_Data[[#This Row],[Age]]&lt;25,"18-24",HR_Data[[#This Row],[Age]]&lt;35,"25-34",HR_Data[[#This Row],[Age]]&lt;45,"35-44",TRUE(),"45+")</f>
        <v>25-34</v>
      </c>
      <c r="O814">
        <f>YEAR(HR_Data[[#This Row],[Joining Date]])</f>
        <v>2017</v>
      </c>
      <c r="P814" t="str">
        <f>TEXT(HR_Data[[#This Row],[Joining Date]],"mmmm")</f>
        <v>May</v>
      </c>
      <c r="Q814">
        <f t="array" ref="Q814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14">
        <f>HR_Data[[#This Row],[Salary]]*HR_Data[[#This Row],[Bonus %]]</f>
        <v>6960.75</v>
      </c>
      <c r="S814">
        <f>HR_Data[[#This Row],[Salary]]+HR_Data[[#This Row],[Bonus Amount]]</f>
        <v>53365.75</v>
      </c>
      <c r="T814" t="str">
        <f>IF(HR_Data[[#This Row],[Attrition]]="Yes","Inactive","Active")</f>
        <v>Active</v>
      </c>
      <c r="U814" t="str">
        <f t="array" ref="U814">_xlfn.IFS(HR_Data[[#This Row],[Salary]]&gt;=100000,"A",HR_Data[[#This Row],[Salary]]&gt;=70000,"B",HR_Data[[#This Row],[Salary]]&gt;=50000,"C",TRUE(),"D")</f>
        <v>D</v>
      </c>
      <c r="V814" t="str">
        <f t="array" ref="V814">_xlfn.IFS(HR_Data[[#This Row],[Experience]]&gt;=15,"Expert",HR_Data[[#This Row],[Experience]]&gt;=8,"Senior",HR_Data[[#This Row],[Experience]]&gt;=3,"Mid-Level",TRUE(),"Junior")</f>
        <v>Mid-Level</v>
      </c>
    </row>
    <row r="815" spans="1:22" ht="14.25" customHeight="1" x14ac:dyDescent="0.3">
      <c r="A815" t="s">
        <v>1801</v>
      </c>
      <c r="B815" t="s">
        <v>130</v>
      </c>
      <c r="C815" t="s">
        <v>32</v>
      </c>
      <c r="D815" t="s">
        <v>25</v>
      </c>
      <c r="E815">
        <v>51</v>
      </c>
      <c r="F815">
        <v>111963</v>
      </c>
      <c r="G815">
        <v>29</v>
      </c>
      <c r="H815" t="s">
        <v>1483</v>
      </c>
      <c r="I815" t="s">
        <v>72</v>
      </c>
      <c r="J815" t="s">
        <v>36</v>
      </c>
      <c r="K815" t="s">
        <v>29</v>
      </c>
      <c r="L815" t="str">
        <f t="array" ref="L815">_xlfn.IFS(HR_Data[[#This Row],[Experience]]&lt;2,"0-2 Years",HR_Data[[#This Row],[Experience]]&lt;5,"2-5 Years",HR_Data[[#This Row],[Experience]]&lt;10,"5-10 Years",TRUE(),"10+ Years")</f>
        <v>10+ Years</v>
      </c>
      <c r="M815" t="str">
        <f t="array" ref="M815">_xlfn.IFS(HR_Data[[#This Row],[Salary]]&lt;40000,"Low",HR_Data[[#This Row],[Salary]]&lt;70000,"Medium",HR_Data[[#This Row],[Salary]]&lt;100000,"High",TRUE(),"Very High")</f>
        <v>Very High</v>
      </c>
      <c r="N815" t="str">
        <f t="array" ref="N815">_xlfn.IFS(HR_Data[[#This Row],[Age]]&lt;25,"18-24",HR_Data[[#This Row],[Age]]&lt;35,"25-34",HR_Data[[#This Row],[Age]]&lt;45,"35-44",TRUE(),"45+")</f>
        <v>45+</v>
      </c>
      <c r="O815">
        <f>YEAR(HR_Data[[#This Row],[Joining Date]])</f>
        <v>2021</v>
      </c>
      <c r="P815" t="str">
        <f>TEXT(HR_Data[[#This Row],[Joining Date]],"mmmm")</f>
        <v>March</v>
      </c>
      <c r="Q815">
        <f t="array" ref="Q81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15">
        <f>HR_Data[[#This Row],[Salary]]*HR_Data[[#This Row],[Bonus %]]</f>
        <v>11196.300000000001</v>
      </c>
      <c r="S815">
        <f>HR_Data[[#This Row],[Salary]]+HR_Data[[#This Row],[Bonus Amount]]</f>
        <v>123159.3</v>
      </c>
      <c r="T815" t="str">
        <f>IF(HR_Data[[#This Row],[Attrition]]="Yes","Inactive","Active")</f>
        <v>Active</v>
      </c>
      <c r="U815" t="str">
        <f t="array" ref="U815">_xlfn.IFS(HR_Data[[#This Row],[Salary]]&gt;=100000,"A",HR_Data[[#This Row],[Salary]]&gt;=70000,"B",HR_Data[[#This Row],[Salary]]&gt;=50000,"C",TRUE(),"D")</f>
        <v>A</v>
      </c>
      <c r="V815" t="str">
        <f t="array" ref="V815">_xlfn.IFS(HR_Data[[#This Row],[Experience]]&gt;=15,"Expert",HR_Data[[#This Row],[Experience]]&gt;=8,"Senior",HR_Data[[#This Row],[Experience]]&gt;=3,"Mid-Level",TRUE(),"Junior")</f>
        <v>Expert</v>
      </c>
    </row>
    <row r="816" spans="1:22" ht="14.25" customHeight="1" x14ac:dyDescent="0.3">
      <c r="A816" t="s">
        <v>1802</v>
      </c>
      <c r="B816" t="s">
        <v>267</v>
      </c>
      <c r="C816" t="s">
        <v>70</v>
      </c>
      <c r="D816" t="s">
        <v>25</v>
      </c>
      <c r="E816">
        <v>51</v>
      </c>
      <c r="F816">
        <v>133769</v>
      </c>
      <c r="G816">
        <v>31</v>
      </c>
      <c r="H816" t="s">
        <v>1803</v>
      </c>
      <c r="I816" t="s">
        <v>132</v>
      </c>
      <c r="J816" t="s">
        <v>28</v>
      </c>
      <c r="K816" t="s">
        <v>37</v>
      </c>
      <c r="L816" t="str">
        <f t="array" ref="L816">_xlfn.IFS(HR_Data[[#This Row],[Experience]]&lt;2,"0-2 Years",HR_Data[[#This Row],[Experience]]&lt;5,"2-5 Years",HR_Data[[#This Row],[Experience]]&lt;10,"5-10 Years",TRUE(),"10+ Years")</f>
        <v>10+ Years</v>
      </c>
      <c r="M816" t="str">
        <f t="array" ref="M816">_xlfn.IFS(HR_Data[[#This Row],[Salary]]&lt;40000,"Low",HR_Data[[#This Row],[Salary]]&lt;70000,"Medium",HR_Data[[#This Row],[Salary]]&lt;100000,"High",TRUE(),"Very High")</f>
        <v>Very High</v>
      </c>
      <c r="N816" t="str">
        <f t="array" ref="N816">_xlfn.IFS(HR_Data[[#This Row],[Age]]&lt;25,"18-24",HR_Data[[#This Row],[Age]]&lt;35,"25-34",HR_Data[[#This Row],[Age]]&lt;45,"35-44",TRUE(),"45+")</f>
        <v>45+</v>
      </c>
      <c r="O816">
        <f>YEAR(HR_Data[[#This Row],[Joining Date]])</f>
        <v>2018</v>
      </c>
      <c r="P816" t="str">
        <f>TEXT(HR_Data[[#This Row],[Joining Date]],"mmmm")</f>
        <v>November</v>
      </c>
      <c r="Q816">
        <f t="array" ref="Q816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16">
        <f>HR_Data[[#This Row],[Salary]]*HR_Data[[#This Row],[Bonus %]]</f>
        <v>20065.349999999999</v>
      </c>
      <c r="S816">
        <f>HR_Data[[#This Row],[Salary]]+HR_Data[[#This Row],[Bonus Amount]]</f>
        <v>153834.35</v>
      </c>
      <c r="T816" t="str">
        <f>IF(HR_Data[[#This Row],[Attrition]]="Yes","Inactive","Active")</f>
        <v>Inactive</v>
      </c>
      <c r="U816" t="str">
        <f t="array" ref="U816">_xlfn.IFS(HR_Data[[#This Row],[Salary]]&gt;=100000,"A",HR_Data[[#This Row],[Salary]]&gt;=70000,"B",HR_Data[[#This Row],[Salary]]&gt;=50000,"C",TRUE(),"D")</f>
        <v>A</v>
      </c>
      <c r="V816" t="str">
        <f t="array" ref="V816">_xlfn.IFS(HR_Data[[#This Row],[Experience]]&gt;=15,"Expert",HR_Data[[#This Row],[Experience]]&gt;=8,"Senior",HR_Data[[#This Row],[Experience]]&gt;=3,"Mid-Level",TRUE(),"Junior")</f>
        <v>Expert</v>
      </c>
    </row>
    <row r="817" spans="1:22" ht="14.25" customHeight="1" x14ac:dyDescent="0.3">
      <c r="A817" t="s">
        <v>1804</v>
      </c>
      <c r="B817" t="s">
        <v>118</v>
      </c>
      <c r="C817" t="s">
        <v>32</v>
      </c>
      <c r="D817" t="s">
        <v>33</v>
      </c>
      <c r="E817">
        <v>49</v>
      </c>
      <c r="F817">
        <v>96798</v>
      </c>
      <c r="G817">
        <v>20</v>
      </c>
      <c r="H817" t="s">
        <v>1805</v>
      </c>
      <c r="I817" t="s">
        <v>45</v>
      </c>
      <c r="J817" t="s">
        <v>28</v>
      </c>
      <c r="K817" t="s">
        <v>29</v>
      </c>
      <c r="L817" t="str">
        <f t="array" ref="L817">_xlfn.IFS(HR_Data[[#This Row],[Experience]]&lt;2,"0-2 Years",HR_Data[[#This Row],[Experience]]&lt;5,"2-5 Years",HR_Data[[#This Row],[Experience]]&lt;10,"5-10 Years",TRUE(),"10+ Years")</f>
        <v>10+ Years</v>
      </c>
      <c r="M817" t="str">
        <f t="array" ref="M817">_xlfn.IFS(HR_Data[[#This Row],[Salary]]&lt;40000,"Low",HR_Data[[#This Row],[Salary]]&lt;70000,"Medium",HR_Data[[#This Row],[Salary]]&lt;100000,"High",TRUE(),"Very High")</f>
        <v>High</v>
      </c>
      <c r="N817" t="str">
        <f t="array" ref="N817">_xlfn.IFS(HR_Data[[#This Row],[Age]]&lt;25,"18-24",HR_Data[[#This Row],[Age]]&lt;35,"25-34",HR_Data[[#This Row],[Age]]&lt;45,"35-44",TRUE(),"45+")</f>
        <v>45+</v>
      </c>
      <c r="O817">
        <f>YEAR(HR_Data[[#This Row],[Joining Date]])</f>
        <v>2016</v>
      </c>
      <c r="P817" t="str">
        <f>TEXT(HR_Data[[#This Row],[Joining Date]],"mmmm")</f>
        <v>July</v>
      </c>
      <c r="Q817">
        <f t="array" ref="Q81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17">
        <f>HR_Data[[#This Row],[Salary]]*HR_Data[[#This Row],[Bonus %]]</f>
        <v>14519.699999999999</v>
      </c>
      <c r="S817">
        <f>HR_Data[[#This Row],[Salary]]+HR_Data[[#This Row],[Bonus Amount]]</f>
        <v>111317.7</v>
      </c>
      <c r="T817" t="str">
        <f>IF(HR_Data[[#This Row],[Attrition]]="Yes","Inactive","Active")</f>
        <v>Active</v>
      </c>
      <c r="U817" t="str">
        <f t="array" ref="U817">_xlfn.IFS(HR_Data[[#This Row],[Salary]]&gt;=100000,"A",HR_Data[[#This Row],[Salary]]&gt;=70000,"B",HR_Data[[#This Row],[Salary]]&gt;=50000,"C",TRUE(),"D")</f>
        <v>B</v>
      </c>
      <c r="V817" t="str">
        <f t="array" ref="V817">_xlfn.IFS(HR_Data[[#This Row],[Experience]]&gt;=15,"Expert",HR_Data[[#This Row],[Experience]]&gt;=8,"Senior",HR_Data[[#This Row],[Experience]]&gt;=3,"Mid-Level",TRUE(),"Junior")</f>
        <v>Expert</v>
      </c>
    </row>
    <row r="818" spans="1:22" ht="14.25" customHeight="1" x14ac:dyDescent="0.3">
      <c r="A818" t="s">
        <v>1806</v>
      </c>
      <c r="B818" t="s">
        <v>1391</v>
      </c>
      <c r="C818" t="s">
        <v>40</v>
      </c>
      <c r="D818" t="s">
        <v>33</v>
      </c>
      <c r="E818">
        <v>22</v>
      </c>
      <c r="F818">
        <v>25000</v>
      </c>
      <c r="G818">
        <v>0</v>
      </c>
      <c r="H818" t="s">
        <v>1807</v>
      </c>
      <c r="I818" t="s">
        <v>132</v>
      </c>
      <c r="J818" t="s">
        <v>28</v>
      </c>
      <c r="K818" t="s">
        <v>29</v>
      </c>
      <c r="L818" t="str">
        <f t="array" ref="L818">_xlfn.IFS(HR_Data[[#This Row],[Experience]]&lt;2,"0-2 Years",HR_Data[[#This Row],[Experience]]&lt;5,"2-5 Years",HR_Data[[#This Row],[Experience]]&lt;10,"5-10 Years",TRUE(),"10+ Years")</f>
        <v>0-2 Years</v>
      </c>
      <c r="M818" t="str">
        <f t="array" ref="M818">_xlfn.IFS(HR_Data[[#This Row],[Salary]]&lt;40000,"Low",HR_Data[[#This Row],[Salary]]&lt;70000,"Medium",HR_Data[[#This Row],[Salary]]&lt;100000,"High",TRUE(),"Very High")</f>
        <v>Low</v>
      </c>
      <c r="N818" t="str">
        <f t="array" ref="N818">_xlfn.IFS(HR_Data[[#This Row],[Age]]&lt;25,"18-24",HR_Data[[#This Row],[Age]]&lt;35,"25-34",HR_Data[[#This Row],[Age]]&lt;45,"35-44",TRUE(),"45+")</f>
        <v>18-24</v>
      </c>
      <c r="O818">
        <f>YEAR(HR_Data[[#This Row],[Joining Date]])</f>
        <v>2017</v>
      </c>
      <c r="P818" t="str">
        <f>TEXT(HR_Data[[#This Row],[Joining Date]],"mmmm")</f>
        <v>October</v>
      </c>
      <c r="Q818">
        <f t="array" ref="Q818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18">
        <f>HR_Data[[#This Row],[Salary]]*HR_Data[[#This Row],[Bonus %]]</f>
        <v>3750</v>
      </c>
      <c r="S818">
        <f>HR_Data[[#This Row],[Salary]]+HR_Data[[#This Row],[Bonus Amount]]</f>
        <v>28750</v>
      </c>
      <c r="T818" t="str">
        <f>IF(HR_Data[[#This Row],[Attrition]]="Yes","Inactive","Active")</f>
        <v>Active</v>
      </c>
      <c r="U818" t="str">
        <f t="array" ref="U818">_xlfn.IFS(HR_Data[[#This Row],[Salary]]&gt;=100000,"A",HR_Data[[#This Row],[Salary]]&gt;=70000,"B",HR_Data[[#This Row],[Salary]]&gt;=50000,"C",TRUE(),"D")</f>
        <v>D</v>
      </c>
      <c r="V818" t="str">
        <f t="array" ref="V818">_xlfn.IFS(HR_Data[[#This Row],[Experience]]&gt;=15,"Expert",HR_Data[[#This Row],[Experience]]&gt;=8,"Senior",HR_Data[[#This Row],[Experience]]&gt;=3,"Mid-Level",TRUE(),"Junior")</f>
        <v>Junior</v>
      </c>
    </row>
    <row r="819" spans="1:22" ht="14.25" customHeight="1" x14ac:dyDescent="0.3">
      <c r="A819" t="s">
        <v>1808</v>
      </c>
      <c r="B819" t="s">
        <v>727</v>
      </c>
      <c r="C819" t="s">
        <v>24</v>
      </c>
      <c r="D819" t="s">
        <v>25</v>
      </c>
      <c r="E819">
        <v>49</v>
      </c>
      <c r="F819">
        <v>100319</v>
      </c>
      <c r="G819">
        <v>23</v>
      </c>
      <c r="H819" t="s">
        <v>1809</v>
      </c>
      <c r="I819" t="s">
        <v>67</v>
      </c>
      <c r="J819" t="s">
        <v>28</v>
      </c>
      <c r="K819" t="s">
        <v>29</v>
      </c>
      <c r="L819" t="str">
        <f t="array" ref="L819">_xlfn.IFS(HR_Data[[#This Row],[Experience]]&lt;2,"0-2 Years",HR_Data[[#This Row],[Experience]]&lt;5,"2-5 Years",HR_Data[[#This Row],[Experience]]&lt;10,"5-10 Years",TRUE(),"10+ Years")</f>
        <v>10+ Years</v>
      </c>
      <c r="M819" t="str">
        <f t="array" ref="M819">_xlfn.IFS(HR_Data[[#This Row],[Salary]]&lt;40000,"Low",HR_Data[[#This Row],[Salary]]&lt;70000,"Medium",HR_Data[[#This Row],[Salary]]&lt;100000,"High",TRUE(),"Very High")</f>
        <v>Very High</v>
      </c>
      <c r="N819" t="str">
        <f t="array" ref="N819">_xlfn.IFS(HR_Data[[#This Row],[Age]]&lt;25,"18-24",HR_Data[[#This Row],[Age]]&lt;35,"25-34",HR_Data[[#This Row],[Age]]&lt;45,"35-44",TRUE(),"45+")</f>
        <v>45+</v>
      </c>
      <c r="O819">
        <f>YEAR(HR_Data[[#This Row],[Joining Date]])</f>
        <v>2019</v>
      </c>
      <c r="P819" t="str">
        <f>TEXT(HR_Data[[#This Row],[Joining Date]],"mmmm")</f>
        <v>July</v>
      </c>
      <c r="Q819">
        <f t="array" ref="Q81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19">
        <f>HR_Data[[#This Row],[Salary]]*HR_Data[[#This Row],[Bonus %]]</f>
        <v>15047.849999999999</v>
      </c>
      <c r="S819">
        <f>HR_Data[[#This Row],[Salary]]+HR_Data[[#This Row],[Bonus Amount]]</f>
        <v>115366.85</v>
      </c>
      <c r="T819" t="str">
        <f>IF(HR_Data[[#This Row],[Attrition]]="Yes","Inactive","Active")</f>
        <v>Active</v>
      </c>
      <c r="U819" t="str">
        <f t="array" ref="U819">_xlfn.IFS(HR_Data[[#This Row],[Salary]]&gt;=100000,"A",HR_Data[[#This Row],[Salary]]&gt;=70000,"B",HR_Data[[#This Row],[Salary]]&gt;=50000,"C",TRUE(),"D")</f>
        <v>A</v>
      </c>
      <c r="V819" t="str">
        <f t="array" ref="V819">_xlfn.IFS(HR_Data[[#This Row],[Experience]]&gt;=15,"Expert",HR_Data[[#This Row],[Experience]]&gt;=8,"Senior",HR_Data[[#This Row],[Experience]]&gt;=3,"Mid-Level",TRUE(),"Junior")</f>
        <v>Expert</v>
      </c>
    </row>
    <row r="820" spans="1:22" ht="14.25" customHeight="1" x14ac:dyDescent="0.3">
      <c r="A820" t="s">
        <v>1810</v>
      </c>
      <c r="B820" t="s">
        <v>546</v>
      </c>
      <c r="C820" t="s">
        <v>60</v>
      </c>
      <c r="D820" t="s">
        <v>25</v>
      </c>
      <c r="E820">
        <v>31</v>
      </c>
      <c r="F820">
        <v>53005</v>
      </c>
      <c r="G820">
        <v>8</v>
      </c>
      <c r="H820" t="s">
        <v>1811</v>
      </c>
      <c r="I820" t="s">
        <v>67</v>
      </c>
      <c r="J820" t="s">
        <v>36</v>
      </c>
      <c r="K820" t="s">
        <v>29</v>
      </c>
      <c r="L820" t="str">
        <f t="array" ref="L820">_xlfn.IFS(HR_Data[[#This Row],[Experience]]&lt;2,"0-2 Years",HR_Data[[#This Row],[Experience]]&lt;5,"2-5 Years",HR_Data[[#This Row],[Experience]]&lt;10,"5-10 Years",TRUE(),"10+ Years")</f>
        <v>5-10 Years</v>
      </c>
      <c r="M820" t="str">
        <f t="array" ref="M820">_xlfn.IFS(HR_Data[[#This Row],[Salary]]&lt;40000,"Low",HR_Data[[#This Row],[Salary]]&lt;70000,"Medium",HR_Data[[#This Row],[Salary]]&lt;100000,"High",TRUE(),"Very High")</f>
        <v>Medium</v>
      </c>
      <c r="N820" t="str">
        <f t="array" ref="N820">_xlfn.IFS(HR_Data[[#This Row],[Age]]&lt;25,"18-24",HR_Data[[#This Row],[Age]]&lt;35,"25-34",HR_Data[[#This Row],[Age]]&lt;45,"35-44",TRUE(),"45+")</f>
        <v>25-34</v>
      </c>
      <c r="O820">
        <f>YEAR(HR_Data[[#This Row],[Joining Date]])</f>
        <v>2015</v>
      </c>
      <c r="P820" t="str">
        <f>TEXT(HR_Data[[#This Row],[Joining Date]],"mmmm")</f>
        <v>November</v>
      </c>
      <c r="Q820">
        <f t="array" ref="Q82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20">
        <f>HR_Data[[#This Row],[Salary]]*HR_Data[[#This Row],[Bonus %]]</f>
        <v>5300.5</v>
      </c>
      <c r="S820">
        <f>HR_Data[[#This Row],[Salary]]+HR_Data[[#This Row],[Bonus Amount]]</f>
        <v>58305.5</v>
      </c>
      <c r="T820" t="str">
        <f>IF(HR_Data[[#This Row],[Attrition]]="Yes","Inactive","Active")</f>
        <v>Active</v>
      </c>
      <c r="U820" t="str">
        <f t="array" ref="U820">_xlfn.IFS(HR_Data[[#This Row],[Salary]]&gt;=100000,"A",HR_Data[[#This Row],[Salary]]&gt;=70000,"B",HR_Data[[#This Row],[Salary]]&gt;=50000,"C",TRUE(),"D")</f>
        <v>C</v>
      </c>
      <c r="V820" t="str">
        <f t="array" ref="V820">_xlfn.IFS(HR_Data[[#This Row],[Experience]]&gt;=15,"Expert",HR_Data[[#This Row],[Experience]]&gt;=8,"Senior",HR_Data[[#This Row],[Experience]]&gt;=3,"Mid-Level",TRUE(),"Junior")</f>
        <v>Senior</v>
      </c>
    </row>
    <row r="821" spans="1:22" ht="14.25" customHeight="1" x14ac:dyDescent="0.3">
      <c r="A821" t="s">
        <v>1812</v>
      </c>
      <c r="B821" t="s">
        <v>884</v>
      </c>
      <c r="C821" t="s">
        <v>24</v>
      </c>
      <c r="D821" t="s">
        <v>25</v>
      </c>
      <c r="E821">
        <v>37</v>
      </c>
      <c r="F821">
        <v>82672</v>
      </c>
      <c r="G821">
        <v>15</v>
      </c>
      <c r="H821" t="s">
        <v>1813</v>
      </c>
      <c r="I821" t="s">
        <v>45</v>
      </c>
      <c r="J821" t="s">
        <v>46</v>
      </c>
      <c r="K821" t="s">
        <v>29</v>
      </c>
      <c r="L821" t="str">
        <f t="array" ref="L821">_xlfn.IFS(HR_Data[[#This Row],[Experience]]&lt;2,"0-2 Years",HR_Data[[#This Row],[Experience]]&lt;5,"2-5 Years",HR_Data[[#This Row],[Experience]]&lt;10,"5-10 Years",TRUE(),"10+ Years")</f>
        <v>10+ Years</v>
      </c>
      <c r="M821" t="str">
        <f t="array" ref="M821">_xlfn.IFS(HR_Data[[#This Row],[Salary]]&lt;40000,"Low",HR_Data[[#This Row],[Salary]]&lt;70000,"Medium",HR_Data[[#This Row],[Salary]]&lt;100000,"High",TRUE(),"Very High")</f>
        <v>High</v>
      </c>
      <c r="N821" t="str">
        <f t="array" ref="N821">_xlfn.IFS(HR_Data[[#This Row],[Age]]&lt;25,"18-24",HR_Data[[#This Row],[Age]]&lt;35,"25-34",HR_Data[[#This Row],[Age]]&lt;45,"35-44",TRUE(),"45+")</f>
        <v>35-44</v>
      </c>
      <c r="O821">
        <f>YEAR(HR_Data[[#This Row],[Joining Date]])</f>
        <v>2016</v>
      </c>
      <c r="P821" t="str">
        <f>TEXT(HR_Data[[#This Row],[Joining Date]],"mmmm")</f>
        <v>March</v>
      </c>
      <c r="Q821">
        <f t="array" ref="Q821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821">
        <f>HR_Data[[#This Row],[Salary]]*HR_Data[[#This Row],[Bonus %]]</f>
        <v>4133.6000000000004</v>
      </c>
      <c r="S821">
        <f>HR_Data[[#This Row],[Salary]]+HR_Data[[#This Row],[Bonus Amount]]</f>
        <v>86805.6</v>
      </c>
      <c r="T821" t="str">
        <f>IF(HR_Data[[#This Row],[Attrition]]="Yes","Inactive","Active")</f>
        <v>Active</v>
      </c>
      <c r="U821" t="str">
        <f t="array" ref="U821">_xlfn.IFS(HR_Data[[#This Row],[Salary]]&gt;=100000,"A",HR_Data[[#This Row],[Salary]]&gt;=70000,"B",HR_Data[[#This Row],[Salary]]&gt;=50000,"C",TRUE(),"D")</f>
        <v>B</v>
      </c>
      <c r="V821" t="str">
        <f t="array" ref="V821">_xlfn.IFS(HR_Data[[#This Row],[Experience]]&gt;=15,"Expert",HR_Data[[#This Row],[Experience]]&gt;=8,"Senior",HR_Data[[#This Row],[Experience]]&gt;=3,"Mid-Level",TRUE(),"Junior")</f>
        <v>Expert</v>
      </c>
    </row>
    <row r="822" spans="1:22" ht="14.25" customHeight="1" x14ac:dyDescent="0.3">
      <c r="A822" t="s">
        <v>1814</v>
      </c>
      <c r="B822" t="s">
        <v>454</v>
      </c>
      <c r="C822" t="s">
        <v>70</v>
      </c>
      <c r="D822" t="s">
        <v>33</v>
      </c>
      <c r="E822">
        <v>41</v>
      </c>
      <c r="F822">
        <v>95495</v>
      </c>
      <c r="G822">
        <v>20</v>
      </c>
      <c r="H822" t="s">
        <v>1815</v>
      </c>
      <c r="I822" t="s">
        <v>132</v>
      </c>
      <c r="J822" t="s">
        <v>63</v>
      </c>
      <c r="K822" t="s">
        <v>29</v>
      </c>
      <c r="L822" t="str">
        <f t="array" ref="L822">_xlfn.IFS(HR_Data[[#This Row],[Experience]]&lt;2,"0-2 Years",HR_Data[[#This Row],[Experience]]&lt;5,"2-5 Years",HR_Data[[#This Row],[Experience]]&lt;10,"5-10 Years",TRUE(),"10+ Years")</f>
        <v>10+ Years</v>
      </c>
      <c r="M822" t="str">
        <f t="array" ref="M822">_xlfn.IFS(HR_Data[[#This Row],[Salary]]&lt;40000,"Low",HR_Data[[#This Row],[Salary]]&lt;70000,"Medium",HR_Data[[#This Row],[Salary]]&lt;100000,"High",TRUE(),"Very High")</f>
        <v>High</v>
      </c>
      <c r="N822" t="str">
        <f t="array" ref="N822">_xlfn.IFS(HR_Data[[#This Row],[Age]]&lt;25,"18-24",HR_Data[[#This Row],[Age]]&lt;35,"25-34",HR_Data[[#This Row],[Age]]&lt;45,"35-44",TRUE(),"45+")</f>
        <v>35-44</v>
      </c>
      <c r="O822">
        <f>YEAR(HR_Data[[#This Row],[Joining Date]])</f>
        <v>2015</v>
      </c>
      <c r="P822" t="str">
        <f>TEXT(HR_Data[[#This Row],[Joining Date]],"mmmm")</f>
        <v>February</v>
      </c>
      <c r="Q822">
        <f t="array" ref="Q822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822">
        <f>HR_Data[[#This Row],[Salary]]*HR_Data[[#This Row],[Bonus %]]</f>
        <v>19099</v>
      </c>
      <c r="S822">
        <f>HR_Data[[#This Row],[Salary]]+HR_Data[[#This Row],[Bonus Amount]]</f>
        <v>114594</v>
      </c>
      <c r="T822" t="str">
        <f>IF(HR_Data[[#This Row],[Attrition]]="Yes","Inactive","Active")</f>
        <v>Active</v>
      </c>
      <c r="U822" t="str">
        <f t="array" ref="U822">_xlfn.IFS(HR_Data[[#This Row],[Salary]]&gt;=100000,"A",HR_Data[[#This Row],[Salary]]&gt;=70000,"B",HR_Data[[#This Row],[Salary]]&gt;=50000,"C",TRUE(),"D")</f>
        <v>B</v>
      </c>
      <c r="V822" t="str">
        <f t="array" ref="V822">_xlfn.IFS(HR_Data[[#This Row],[Experience]]&gt;=15,"Expert",HR_Data[[#This Row],[Experience]]&gt;=8,"Senior",HR_Data[[#This Row],[Experience]]&gt;=3,"Mid-Level",TRUE(),"Junior")</f>
        <v>Expert</v>
      </c>
    </row>
    <row r="823" spans="1:22" ht="14.25" customHeight="1" x14ac:dyDescent="0.3">
      <c r="A823" t="s">
        <v>1816</v>
      </c>
      <c r="B823" t="s">
        <v>304</v>
      </c>
      <c r="C823" t="s">
        <v>70</v>
      </c>
      <c r="D823" t="s">
        <v>33</v>
      </c>
      <c r="E823">
        <v>26</v>
      </c>
      <c r="F823">
        <v>52419</v>
      </c>
      <c r="G823">
        <v>5</v>
      </c>
      <c r="H823" t="s">
        <v>1817</v>
      </c>
      <c r="I823" t="s">
        <v>57</v>
      </c>
      <c r="J823" t="s">
        <v>28</v>
      </c>
      <c r="K823" t="s">
        <v>37</v>
      </c>
      <c r="L823" t="str">
        <f t="array" ref="L823">_xlfn.IFS(HR_Data[[#This Row],[Experience]]&lt;2,"0-2 Years",HR_Data[[#This Row],[Experience]]&lt;5,"2-5 Years",HR_Data[[#This Row],[Experience]]&lt;10,"5-10 Years",TRUE(),"10+ Years")</f>
        <v>5-10 Years</v>
      </c>
      <c r="M823" t="str">
        <f t="array" ref="M823">_xlfn.IFS(HR_Data[[#This Row],[Salary]]&lt;40000,"Low",HR_Data[[#This Row],[Salary]]&lt;70000,"Medium",HR_Data[[#This Row],[Salary]]&lt;100000,"High",TRUE(),"Very High")</f>
        <v>Medium</v>
      </c>
      <c r="N823" t="str">
        <f t="array" ref="N823">_xlfn.IFS(HR_Data[[#This Row],[Age]]&lt;25,"18-24",HR_Data[[#This Row],[Age]]&lt;35,"25-34",HR_Data[[#This Row],[Age]]&lt;45,"35-44",TRUE(),"45+")</f>
        <v>25-34</v>
      </c>
      <c r="O823">
        <f>YEAR(HR_Data[[#This Row],[Joining Date]])</f>
        <v>2019</v>
      </c>
      <c r="P823" t="str">
        <f>TEXT(HR_Data[[#This Row],[Joining Date]],"mmmm")</f>
        <v>August</v>
      </c>
      <c r="Q823">
        <f t="array" ref="Q82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23">
        <f>HR_Data[[#This Row],[Salary]]*HR_Data[[#This Row],[Bonus %]]</f>
        <v>7862.8499999999995</v>
      </c>
      <c r="S823">
        <f>HR_Data[[#This Row],[Salary]]+HR_Data[[#This Row],[Bonus Amount]]</f>
        <v>60281.85</v>
      </c>
      <c r="T823" t="str">
        <f>IF(HR_Data[[#This Row],[Attrition]]="Yes","Inactive","Active")</f>
        <v>Inactive</v>
      </c>
      <c r="U823" t="str">
        <f t="array" ref="U823">_xlfn.IFS(HR_Data[[#This Row],[Salary]]&gt;=100000,"A",HR_Data[[#This Row],[Salary]]&gt;=70000,"B",HR_Data[[#This Row],[Salary]]&gt;=50000,"C",TRUE(),"D")</f>
        <v>C</v>
      </c>
      <c r="V823" t="str">
        <f t="array" ref="V823">_xlfn.IFS(HR_Data[[#This Row],[Experience]]&gt;=15,"Expert",HR_Data[[#This Row],[Experience]]&gt;=8,"Senior",HR_Data[[#This Row],[Experience]]&gt;=3,"Mid-Level",TRUE(),"Junior")</f>
        <v>Mid-Level</v>
      </c>
    </row>
    <row r="824" spans="1:22" ht="14.25" customHeight="1" x14ac:dyDescent="0.3">
      <c r="A824" t="s">
        <v>1818</v>
      </c>
      <c r="B824" t="s">
        <v>137</v>
      </c>
      <c r="C824" t="s">
        <v>93</v>
      </c>
      <c r="D824" t="s">
        <v>33</v>
      </c>
      <c r="E824">
        <v>48</v>
      </c>
      <c r="F824">
        <v>123252</v>
      </c>
      <c r="G824">
        <v>27</v>
      </c>
      <c r="H824" t="s">
        <v>1819</v>
      </c>
      <c r="I824" t="s">
        <v>67</v>
      </c>
      <c r="J824" t="s">
        <v>28</v>
      </c>
      <c r="K824" t="s">
        <v>29</v>
      </c>
      <c r="L824" t="str">
        <f t="array" ref="L824">_xlfn.IFS(HR_Data[[#This Row],[Experience]]&lt;2,"0-2 Years",HR_Data[[#This Row],[Experience]]&lt;5,"2-5 Years",HR_Data[[#This Row],[Experience]]&lt;10,"5-10 Years",TRUE(),"10+ Years")</f>
        <v>10+ Years</v>
      </c>
      <c r="M824" t="str">
        <f t="array" ref="M824">_xlfn.IFS(HR_Data[[#This Row],[Salary]]&lt;40000,"Low",HR_Data[[#This Row],[Salary]]&lt;70000,"Medium",HR_Data[[#This Row],[Salary]]&lt;100000,"High",TRUE(),"Very High")</f>
        <v>Very High</v>
      </c>
      <c r="N824" t="str">
        <f t="array" ref="N824">_xlfn.IFS(HR_Data[[#This Row],[Age]]&lt;25,"18-24",HR_Data[[#This Row],[Age]]&lt;35,"25-34",HR_Data[[#This Row],[Age]]&lt;45,"35-44",TRUE(),"45+")</f>
        <v>45+</v>
      </c>
      <c r="O824">
        <f>YEAR(HR_Data[[#This Row],[Joining Date]])</f>
        <v>2020</v>
      </c>
      <c r="P824" t="str">
        <f>TEXT(HR_Data[[#This Row],[Joining Date]],"mmmm")</f>
        <v>August</v>
      </c>
      <c r="Q824">
        <f t="array" ref="Q824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24">
        <f>HR_Data[[#This Row],[Salary]]*HR_Data[[#This Row],[Bonus %]]</f>
        <v>18487.8</v>
      </c>
      <c r="S824">
        <f>HR_Data[[#This Row],[Salary]]+HR_Data[[#This Row],[Bonus Amount]]</f>
        <v>141739.79999999999</v>
      </c>
      <c r="T824" t="str">
        <f>IF(HR_Data[[#This Row],[Attrition]]="Yes","Inactive","Active")</f>
        <v>Active</v>
      </c>
      <c r="U824" t="str">
        <f t="array" ref="U824">_xlfn.IFS(HR_Data[[#This Row],[Salary]]&gt;=100000,"A",HR_Data[[#This Row],[Salary]]&gt;=70000,"B",HR_Data[[#This Row],[Salary]]&gt;=50000,"C",TRUE(),"D")</f>
        <v>A</v>
      </c>
      <c r="V824" t="str">
        <f t="array" ref="V824">_xlfn.IFS(HR_Data[[#This Row],[Experience]]&gt;=15,"Expert",HR_Data[[#This Row],[Experience]]&gt;=8,"Senior",HR_Data[[#This Row],[Experience]]&gt;=3,"Mid-Level",TRUE(),"Junior")</f>
        <v>Expert</v>
      </c>
    </row>
    <row r="825" spans="1:22" ht="14.25" customHeight="1" x14ac:dyDescent="0.3">
      <c r="A825" t="s">
        <v>1820</v>
      </c>
      <c r="B825" t="s">
        <v>319</v>
      </c>
      <c r="C825" t="s">
        <v>93</v>
      </c>
      <c r="D825" t="s">
        <v>33</v>
      </c>
      <c r="E825">
        <v>50</v>
      </c>
      <c r="F825">
        <v>102497</v>
      </c>
      <c r="G825">
        <v>25</v>
      </c>
      <c r="H825" t="s">
        <v>1821</v>
      </c>
      <c r="I825" t="s">
        <v>62</v>
      </c>
      <c r="J825" t="s">
        <v>36</v>
      </c>
      <c r="K825" t="s">
        <v>29</v>
      </c>
      <c r="L825" t="str">
        <f t="array" ref="L825">_xlfn.IFS(HR_Data[[#This Row],[Experience]]&lt;2,"0-2 Years",HR_Data[[#This Row],[Experience]]&lt;5,"2-5 Years",HR_Data[[#This Row],[Experience]]&lt;10,"5-10 Years",TRUE(),"10+ Years")</f>
        <v>10+ Years</v>
      </c>
      <c r="M825" t="str">
        <f t="array" ref="M825">_xlfn.IFS(HR_Data[[#This Row],[Salary]]&lt;40000,"Low",HR_Data[[#This Row],[Salary]]&lt;70000,"Medium",HR_Data[[#This Row],[Salary]]&lt;100000,"High",TRUE(),"Very High")</f>
        <v>Very High</v>
      </c>
      <c r="N825" t="str">
        <f t="array" ref="N825">_xlfn.IFS(HR_Data[[#This Row],[Age]]&lt;25,"18-24",HR_Data[[#This Row],[Age]]&lt;35,"25-34",HR_Data[[#This Row],[Age]]&lt;45,"35-44",TRUE(),"45+")</f>
        <v>45+</v>
      </c>
      <c r="O825">
        <f>YEAR(HR_Data[[#This Row],[Joining Date]])</f>
        <v>2025</v>
      </c>
      <c r="P825" t="str">
        <f>TEXT(HR_Data[[#This Row],[Joining Date]],"mmmm")</f>
        <v>July</v>
      </c>
      <c r="Q825">
        <f t="array" ref="Q82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25">
        <f>HR_Data[[#This Row],[Salary]]*HR_Data[[#This Row],[Bonus %]]</f>
        <v>10249.700000000001</v>
      </c>
      <c r="S825">
        <f>HR_Data[[#This Row],[Salary]]+HR_Data[[#This Row],[Bonus Amount]]</f>
        <v>112746.7</v>
      </c>
      <c r="T825" t="str">
        <f>IF(HR_Data[[#This Row],[Attrition]]="Yes","Inactive","Active")</f>
        <v>Active</v>
      </c>
      <c r="U825" t="str">
        <f t="array" ref="U825">_xlfn.IFS(HR_Data[[#This Row],[Salary]]&gt;=100000,"A",HR_Data[[#This Row],[Salary]]&gt;=70000,"B",HR_Data[[#This Row],[Salary]]&gt;=50000,"C",TRUE(),"D")</f>
        <v>A</v>
      </c>
      <c r="V825" t="str">
        <f t="array" ref="V825">_xlfn.IFS(HR_Data[[#This Row],[Experience]]&gt;=15,"Expert",HR_Data[[#This Row],[Experience]]&gt;=8,"Senior",HR_Data[[#This Row],[Experience]]&gt;=3,"Mid-Level",TRUE(),"Junior")</f>
        <v>Expert</v>
      </c>
    </row>
    <row r="826" spans="1:22" ht="14.25" customHeight="1" x14ac:dyDescent="0.3">
      <c r="A826" t="s">
        <v>1822</v>
      </c>
      <c r="B826" t="s">
        <v>770</v>
      </c>
      <c r="C826" t="s">
        <v>134</v>
      </c>
      <c r="D826" t="s">
        <v>25</v>
      </c>
      <c r="E826">
        <v>47</v>
      </c>
      <c r="F826">
        <v>113237</v>
      </c>
      <c r="G826">
        <v>27</v>
      </c>
      <c r="H826" t="s">
        <v>1823</v>
      </c>
      <c r="I826" t="s">
        <v>80</v>
      </c>
      <c r="J826" t="s">
        <v>36</v>
      </c>
      <c r="K826" t="s">
        <v>29</v>
      </c>
      <c r="L826" t="str">
        <f t="array" ref="L826">_xlfn.IFS(HR_Data[[#This Row],[Experience]]&lt;2,"0-2 Years",HR_Data[[#This Row],[Experience]]&lt;5,"2-5 Years",HR_Data[[#This Row],[Experience]]&lt;10,"5-10 Years",TRUE(),"10+ Years")</f>
        <v>10+ Years</v>
      </c>
      <c r="M826" t="str">
        <f t="array" ref="M826">_xlfn.IFS(HR_Data[[#This Row],[Salary]]&lt;40000,"Low",HR_Data[[#This Row],[Salary]]&lt;70000,"Medium",HR_Data[[#This Row],[Salary]]&lt;100000,"High",TRUE(),"Very High")</f>
        <v>Very High</v>
      </c>
      <c r="N826" t="str">
        <f t="array" ref="N826">_xlfn.IFS(HR_Data[[#This Row],[Age]]&lt;25,"18-24",HR_Data[[#This Row],[Age]]&lt;35,"25-34",HR_Data[[#This Row],[Age]]&lt;45,"35-44",TRUE(),"45+")</f>
        <v>45+</v>
      </c>
      <c r="O826">
        <f>YEAR(HR_Data[[#This Row],[Joining Date]])</f>
        <v>2018</v>
      </c>
      <c r="P826" t="str">
        <f>TEXT(HR_Data[[#This Row],[Joining Date]],"mmmm")</f>
        <v>June</v>
      </c>
      <c r="Q826">
        <f t="array" ref="Q82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26">
        <f>HR_Data[[#This Row],[Salary]]*HR_Data[[#This Row],[Bonus %]]</f>
        <v>11323.7</v>
      </c>
      <c r="S826">
        <f>HR_Data[[#This Row],[Salary]]+HR_Data[[#This Row],[Bonus Amount]]</f>
        <v>124560.7</v>
      </c>
      <c r="T826" t="str">
        <f>IF(HR_Data[[#This Row],[Attrition]]="Yes","Inactive","Active")</f>
        <v>Active</v>
      </c>
      <c r="U826" t="str">
        <f t="array" ref="U826">_xlfn.IFS(HR_Data[[#This Row],[Salary]]&gt;=100000,"A",HR_Data[[#This Row],[Salary]]&gt;=70000,"B",HR_Data[[#This Row],[Salary]]&gt;=50000,"C",TRUE(),"D")</f>
        <v>A</v>
      </c>
      <c r="V826" t="str">
        <f t="array" ref="V826">_xlfn.IFS(HR_Data[[#This Row],[Experience]]&gt;=15,"Expert",HR_Data[[#This Row],[Experience]]&gt;=8,"Senior",HR_Data[[#This Row],[Experience]]&gt;=3,"Mid-Level",TRUE(),"Junior")</f>
        <v>Expert</v>
      </c>
    </row>
    <row r="827" spans="1:22" ht="14.25" customHeight="1" x14ac:dyDescent="0.3">
      <c r="A827" t="s">
        <v>1824</v>
      </c>
      <c r="B827" t="s">
        <v>99</v>
      </c>
      <c r="C827" t="s">
        <v>70</v>
      </c>
      <c r="D827" t="s">
        <v>33</v>
      </c>
      <c r="E827">
        <v>51</v>
      </c>
      <c r="F827">
        <v>113658</v>
      </c>
      <c r="G827">
        <v>24</v>
      </c>
      <c r="H827" t="s">
        <v>1825</v>
      </c>
      <c r="I827" t="s">
        <v>27</v>
      </c>
      <c r="J827" t="s">
        <v>63</v>
      </c>
      <c r="K827" t="s">
        <v>29</v>
      </c>
      <c r="L827" t="str">
        <f t="array" ref="L827">_xlfn.IFS(HR_Data[[#This Row],[Experience]]&lt;2,"0-2 Years",HR_Data[[#This Row],[Experience]]&lt;5,"2-5 Years",HR_Data[[#This Row],[Experience]]&lt;10,"5-10 Years",TRUE(),"10+ Years")</f>
        <v>10+ Years</v>
      </c>
      <c r="M827" t="str">
        <f t="array" ref="M827">_xlfn.IFS(HR_Data[[#This Row],[Salary]]&lt;40000,"Low",HR_Data[[#This Row],[Salary]]&lt;70000,"Medium",HR_Data[[#This Row],[Salary]]&lt;100000,"High",TRUE(),"Very High")</f>
        <v>Very High</v>
      </c>
      <c r="N827" t="str">
        <f t="array" ref="N827">_xlfn.IFS(HR_Data[[#This Row],[Age]]&lt;25,"18-24",HR_Data[[#This Row],[Age]]&lt;35,"25-34",HR_Data[[#This Row],[Age]]&lt;45,"35-44",TRUE(),"45+")</f>
        <v>45+</v>
      </c>
      <c r="O827">
        <f>YEAR(HR_Data[[#This Row],[Joining Date]])</f>
        <v>2025</v>
      </c>
      <c r="P827" t="str">
        <f>TEXT(HR_Data[[#This Row],[Joining Date]],"mmmm")</f>
        <v>October</v>
      </c>
      <c r="Q827">
        <f t="array" ref="Q827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827">
        <f>HR_Data[[#This Row],[Salary]]*HR_Data[[#This Row],[Bonus %]]</f>
        <v>22731.600000000002</v>
      </c>
      <c r="S827">
        <f>HR_Data[[#This Row],[Salary]]+HR_Data[[#This Row],[Bonus Amount]]</f>
        <v>136389.6</v>
      </c>
      <c r="T827" t="str">
        <f>IF(HR_Data[[#This Row],[Attrition]]="Yes","Inactive","Active")</f>
        <v>Active</v>
      </c>
      <c r="U827" t="str">
        <f t="array" ref="U827">_xlfn.IFS(HR_Data[[#This Row],[Salary]]&gt;=100000,"A",HR_Data[[#This Row],[Salary]]&gt;=70000,"B",HR_Data[[#This Row],[Salary]]&gt;=50000,"C",TRUE(),"D")</f>
        <v>A</v>
      </c>
      <c r="V827" t="str">
        <f t="array" ref="V827">_xlfn.IFS(HR_Data[[#This Row],[Experience]]&gt;=15,"Expert",HR_Data[[#This Row],[Experience]]&gt;=8,"Senior",HR_Data[[#This Row],[Experience]]&gt;=3,"Mid-Level",TRUE(),"Junior")</f>
        <v>Expert</v>
      </c>
    </row>
    <row r="828" spans="1:22" ht="14.25" customHeight="1" x14ac:dyDescent="0.3">
      <c r="A828" t="s">
        <v>1826</v>
      </c>
      <c r="B828" t="s">
        <v>155</v>
      </c>
      <c r="C828" t="s">
        <v>32</v>
      </c>
      <c r="D828" t="s">
        <v>25</v>
      </c>
      <c r="E828">
        <v>27</v>
      </c>
      <c r="F828">
        <v>29263</v>
      </c>
      <c r="G828">
        <v>0</v>
      </c>
      <c r="H828" t="s">
        <v>1827</v>
      </c>
      <c r="I828" t="s">
        <v>80</v>
      </c>
      <c r="J828" t="s">
        <v>36</v>
      </c>
      <c r="K828" t="s">
        <v>29</v>
      </c>
      <c r="L828" t="str">
        <f t="array" ref="L828">_xlfn.IFS(HR_Data[[#This Row],[Experience]]&lt;2,"0-2 Years",HR_Data[[#This Row],[Experience]]&lt;5,"2-5 Years",HR_Data[[#This Row],[Experience]]&lt;10,"5-10 Years",TRUE(),"10+ Years")</f>
        <v>0-2 Years</v>
      </c>
      <c r="M828" t="str">
        <f t="array" ref="M828">_xlfn.IFS(HR_Data[[#This Row],[Salary]]&lt;40000,"Low",HR_Data[[#This Row],[Salary]]&lt;70000,"Medium",HR_Data[[#This Row],[Salary]]&lt;100000,"High",TRUE(),"Very High")</f>
        <v>Low</v>
      </c>
      <c r="N828" t="str">
        <f t="array" ref="N828">_xlfn.IFS(HR_Data[[#This Row],[Age]]&lt;25,"18-24",HR_Data[[#This Row],[Age]]&lt;35,"25-34",HR_Data[[#This Row],[Age]]&lt;45,"35-44",TRUE(),"45+")</f>
        <v>25-34</v>
      </c>
      <c r="O828">
        <f>YEAR(HR_Data[[#This Row],[Joining Date]])</f>
        <v>2026</v>
      </c>
      <c r="P828" t="str">
        <f>TEXT(HR_Data[[#This Row],[Joining Date]],"mmmm")</f>
        <v>January</v>
      </c>
      <c r="Q828">
        <f t="array" ref="Q82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28">
        <f>HR_Data[[#This Row],[Salary]]*HR_Data[[#This Row],[Bonus %]]</f>
        <v>2926.3</v>
      </c>
      <c r="S828">
        <f>HR_Data[[#This Row],[Salary]]+HR_Data[[#This Row],[Bonus Amount]]</f>
        <v>32189.3</v>
      </c>
      <c r="T828" t="str">
        <f>IF(HR_Data[[#This Row],[Attrition]]="Yes","Inactive","Active")</f>
        <v>Active</v>
      </c>
      <c r="U828" t="str">
        <f t="array" ref="U828">_xlfn.IFS(HR_Data[[#This Row],[Salary]]&gt;=100000,"A",HR_Data[[#This Row],[Salary]]&gt;=70000,"B",HR_Data[[#This Row],[Salary]]&gt;=50000,"C",TRUE(),"D")</f>
        <v>D</v>
      </c>
      <c r="V828" t="str">
        <f t="array" ref="V828">_xlfn.IFS(HR_Data[[#This Row],[Experience]]&gt;=15,"Expert",HR_Data[[#This Row],[Experience]]&gt;=8,"Senior",HR_Data[[#This Row],[Experience]]&gt;=3,"Mid-Level",TRUE(),"Junior")</f>
        <v>Junior</v>
      </c>
    </row>
    <row r="829" spans="1:22" ht="14.25" customHeight="1" x14ac:dyDescent="0.3">
      <c r="A829" t="s">
        <v>1828</v>
      </c>
      <c r="B829" t="s">
        <v>111</v>
      </c>
      <c r="C829" t="s">
        <v>134</v>
      </c>
      <c r="D829" t="s">
        <v>25</v>
      </c>
      <c r="E829">
        <v>29</v>
      </c>
      <c r="F829">
        <v>31072</v>
      </c>
      <c r="G829">
        <v>4</v>
      </c>
      <c r="H829" t="s">
        <v>1829</v>
      </c>
      <c r="I829" t="s">
        <v>45</v>
      </c>
      <c r="J829" t="s">
        <v>28</v>
      </c>
      <c r="K829" t="s">
        <v>29</v>
      </c>
      <c r="L829" t="str">
        <f t="array" ref="L829">_xlfn.IFS(HR_Data[[#This Row],[Experience]]&lt;2,"0-2 Years",HR_Data[[#This Row],[Experience]]&lt;5,"2-5 Years",HR_Data[[#This Row],[Experience]]&lt;10,"5-10 Years",TRUE(),"10+ Years")</f>
        <v>2-5 Years</v>
      </c>
      <c r="M829" t="str">
        <f t="array" ref="M829">_xlfn.IFS(HR_Data[[#This Row],[Salary]]&lt;40000,"Low",HR_Data[[#This Row],[Salary]]&lt;70000,"Medium",HR_Data[[#This Row],[Salary]]&lt;100000,"High",TRUE(),"Very High")</f>
        <v>Low</v>
      </c>
      <c r="N829" t="str">
        <f t="array" ref="N829">_xlfn.IFS(HR_Data[[#This Row],[Age]]&lt;25,"18-24",HR_Data[[#This Row],[Age]]&lt;35,"25-34",HR_Data[[#This Row],[Age]]&lt;45,"35-44",TRUE(),"45+")</f>
        <v>25-34</v>
      </c>
      <c r="O829">
        <f>YEAR(HR_Data[[#This Row],[Joining Date]])</f>
        <v>2017</v>
      </c>
      <c r="P829" t="str">
        <f>TEXT(HR_Data[[#This Row],[Joining Date]],"mmmm")</f>
        <v>October</v>
      </c>
      <c r="Q829">
        <f t="array" ref="Q82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29">
        <f>HR_Data[[#This Row],[Salary]]*HR_Data[[#This Row],[Bonus %]]</f>
        <v>4660.8</v>
      </c>
      <c r="S829">
        <f>HR_Data[[#This Row],[Salary]]+HR_Data[[#This Row],[Bonus Amount]]</f>
        <v>35732.800000000003</v>
      </c>
      <c r="T829" t="str">
        <f>IF(HR_Data[[#This Row],[Attrition]]="Yes","Inactive","Active")</f>
        <v>Active</v>
      </c>
      <c r="U829" t="str">
        <f t="array" ref="U829">_xlfn.IFS(HR_Data[[#This Row],[Salary]]&gt;=100000,"A",HR_Data[[#This Row],[Salary]]&gt;=70000,"B",HR_Data[[#This Row],[Salary]]&gt;=50000,"C",TRUE(),"D")</f>
        <v>D</v>
      </c>
      <c r="V829" t="str">
        <f t="array" ref="V829">_xlfn.IFS(HR_Data[[#This Row],[Experience]]&gt;=15,"Expert",HR_Data[[#This Row],[Experience]]&gt;=8,"Senior",HR_Data[[#This Row],[Experience]]&gt;=3,"Mid-Level",TRUE(),"Junior")</f>
        <v>Mid-Level</v>
      </c>
    </row>
    <row r="830" spans="1:22" ht="14.25" customHeight="1" x14ac:dyDescent="0.3">
      <c r="A830" t="s">
        <v>1830</v>
      </c>
      <c r="B830" t="s">
        <v>884</v>
      </c>
      <c r="C830" t="s">
        <v>93</v>
      </c>
      <c r="D830" t="s">
        <v>33</v>
      </c>
      <c r="E830">
        <v>60</v>
      </c>
      <c r="F830">
        <v>128264</v>
      </c>
      <c r="G830">
        <v>31</v>
      </c>
      <c r="H830" t="s">
        <v>1831</v>
      </c>
      <c r="I830" t="s">
        <v>67</v>
      </c>
      <c r="J830" t="s">
        <v>36</v>
      </c>
      <c r="K830" t="s">
        <v>29</v>
      </c>
      <c r="L830" t="str">
        <f t="array" ref="L830">_xlfn.IFS(HR_Data[[#This Row],[Experience]]&lt;2,"0-2 Years",HR_Data[[#This Row],[Experience]]&lt;5,"2-5 Years",HR_Data[[#This Row],[Experience]]&lt;10,"5-10 Years",TRUE(),"10+ Years")</f>
        <v>10+ Years</v>
      </c>
      <c r="M830" t="str">
        <f t="array" ref="M830">_xlfn.IFS(HR_Data[[#This Row],[Salary]]&lt;40000,"Low",HR_Data[[#This Row],[Salary]]&lt;70000,"Medium",HR_Data[[#This Row],[Salary]]&lt;100000,"High",TRUE(),"Very High")</f>
        <v>Very High</v>
      </c>
      <c r="N830" t="str">
        <f t="array" ref="N830">_xlfn.IFS(HR_Data[[#This Row],[Age]]&lt;25,"18-24",HR_Data[[#This Row],[Age]]&lt;35,"25-34",HR_Data[[#This Row],[Age]]&lt;45,"35-44",TRUE(),"45+")</f>
        <v>45+</v>
      </c>
      <c r="O830">
        <f>YEAR(HR_Data[[#This Row],[Joining Date]])</f>
        <v>2016</v>
      </c>
      <c r="P830" t="str">
        <f>TEXT(HR_Data[[#This Row],[Joining Date]],"mmmm")</f>
        <v>April</v>
      </c>
      <c r="Q830">
        <f t="array" ref="Q83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30">
        <f>HR_Data[[#This Row],[Salary]]*HR_Data[[#This Row],[Bonus %]]</f>
        <v>12826.400000000001</v>
      </c>
      <c r="S830">
        <f>HR_Data[[#This Row],[Salary]]+HR_Data[[#This Row],[Bonus Amount]]</f>
        <v>141090.4</v>
      </c>
      <c r="T830" t="str">
        <f>IF(HR_Data[[#This Row],[Attrition]]="Yes","Inactive","Active")</f>
        <v>Active</v>
      </c>
      <c r="U830" t="str">
        <f t="array" ref="U830">_xlfn.IFS(HR_Data[[#This Row],[Salary]]&gt;=100000,"A",HR_Data[[#This Row],[Salary]]&gt;=70000,"B",HR_Data[[#This Row],[Salary]]&gt;=50000,"C",TRUE(),"D")</f>
        <v>A</v>
      </c>
      <c r="V830" t="str">
        <f t="array" ref="V830">_xlfn.IFS(HR_Data[[#This Row],[Experience]]&gt;=15,"Expert",HR_Data[[#This Row],[Experience]]&gt;=8,"Senior",HR_Data[[#This Row],[Experience]]&gt;=3,"Mid-Level",TRUE(),"Junior")</f>
        <v>Expert</v>
      </c>
    </row>
    <row r="831" spans="1:22" ht="14.25" customHeight="1" x14ac:dyDescent="0.3">
      <c r="A831" t="s">
        <v>1832</v>
      </c>
      <c r="B831" t="s">
        <v>140</v>
      </c>
      <c r="C831" t="s">
        <v>60</v>
      </c>
      <c r="D831" t="s">
        <v>33</v>
      </c>
      <c r="E831">
        <v>31</v>
      </c>
      <c r="F831">
        <v>25045</v>
      </c>
      <c r="G831">
        <v>1</v>
      </c>
      <c r="H831" t="s">
        <v>1833</v>
      </c>
      <c r="I831" t="s">
        <v>27</v>
      </c>
      <c r="J831" t="s">
        <v>36</v>
      </c>
      <c r="K831" t="s">
        <v>29</v>
      </c>
      <c r="L831" t="str">
        <f t="array" ref="L831">_xlfn.IFS(HR_Data[[#This Row],[Experience]]&lt;2,"0-2 Years",HR_Data[[#This Row],[Experience]]&lt;5,"2-5 Years",HR_Data[[#This Row],[Experience]]&lt;10,"5-10 Years",TRUE(),"10+ Years")</f>
        <v>0-2 Years</v>
      </c>
      <c r="M831" t="str">
        <f t="array" ref="M831">_xlfn.IFS(HR_Data[[#This Row],[Salary]]&lt;40000,"Low",HR_Data[[#This Row],[Salary]]&lt;70000,"Medium",HR_Data[[#This Row],[Salary]]&lt;100000,"High",TRUE(),"Very High")</f>
        <v>Low</v>
      </c>
      <c r="N831" t="str">
        <f t="array" ref="N831">_xlfn.IFS(HR_Data[[#This Row],[Age]]&lt;25,"18-24",HR_Data[[#This Row],[Age]]&lt;35,"25-34",HR_Data[[#This Row],[Age]]&lt;45,"35-44",TRUE(),"45+")</f>
        <v>25-34</v>
      </c>
      <c r="O831">
        <f>YEAR(HR_Data[[#This Row],[Joining Date]])</f>
        <v>2020</v>
      </c>
      <c r="P831" t="str">
        <f>TEXT(HR_Data[[#This Row],[Joining Date]],"mmmm")</f>
        <v>November</v>
      </c>
      <c r="Q831">
        <f t="array" ref="Q83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31">
        <f>HR_Data[[#This Row],[Salary]]*HR_Data[[#This Row],[Bonus %]]</f>
        <v>2504.5</v>
      </c>
      <c r="S831">
        <f>HR_Data[[#This Row],[Salary]]+HR_Data[[#This Row],[Bonus Amount]]</f>
        <v>27549.5</v>
      </c>
      <c r="T831" t="str">
        <f>IF(HR_Data[[#This Row],[Attrition]]="Yes","Inactive","Active")</f>
        <v>Active</v>
      </c>
      <c r="U831" t="str">
        <f t="array" ref="U831">_xlfn.IFS(HR_Data[[#This Row],[Salary]]&gt;=100000,"A",HR_Data[[#This Row],[Salary]]&gt;=70000,"B",HR_Data[[#This Row],[Salary]]&gt;=50000,"C",TRUE(),"D")</f>
        <v>D</v>
      </c>
      <c r="V831" t="str">
        <f t="array" ref="V831">_xlfn.IFS(HR_Data[[#This Row],[Experience]]&gt;=15,"Expert",HR_Data[[#This Row],[Experience]]&gt;=8,"Senior",HR_Data[[#This Row],[Experience]]&gt;=3,"Mid-Level",TRUE(),"Junior")</f>
        <v>Junior</v>
      </c>
    </row>
    <row r="832" spans="1:22" ht="14.25" customHeight="1" x14ac:dyDescent="0.3">
      <c r="A832" t="s">
        <v>1834</v>
      </c>
      <c r="B832" t="s">
        <v>406</v>
      </c>
      <c r="C832" t="s">
        <v>60</v>
      </c>
      <c r="D832" t="s">
        <v>25</v>
      </c>
      <c r="E832">
        <v>27</v>
      </c>
      <c r="F832">
        <v>51994</v>
      </c>
      <c r="G832">
        <v>7</v>
      </c>
      <c r="H832" t="s">
        <v>1835</v>
      </c>
      <c r="I832" t="s">
        <v>132</v>
      </c>
      <c r="J832" t="s">
        <v>36</v>
      </c>
      <c r="K832" t="s">
        <v>29</v>
      </c>
      <c r="L832" t="str">
        <f t="array" ref="L832">_xlfn.IFS(HR_Data[[#This Row],[Experience]]&lt;2,"0-2 Years",HR_Data[[#This Row],[Experience]]&lt;5,"2-5 Years",HR_Data[[#This Row],[Experience]]&lt;10,"5-10 Years",TRUE(),"10+ Years")</f>
        <v>5-10 Years</v>
      </c>
      <c r="M832" t="str">
        <f t="array" ref="M832">_xlfn.IFS(HR_Data[[#This Row],[Salary]]&lt;40000,"Low",HR_Data[[#This Row],[Salary]]&lt;70000,"Medium",HR_Data[[#This Row],[Salary]]&lt;100000,"High",TRUE(),"Very High")</f>
        <v>Medium</v>
      </c>
      <c r="N832" t="str">
        <f t="array" ref="N832">_xlfn.IFS(HR_Data[[#This Row],[Age]]&lt;25,"18-24",HR_Data[[#This Row],[Age]]&lt;35,"25-34",HR_Data[[#This Row],[Age]]&lt;45,"35-44",TRUE(),"45+")</f>
        <v>25-34</v>
      </c>
      <c r="O832">
        <f>YEAR(HR_Data[[#This Row],[Joining Date]])</f>
        <v>2023</v>
      </c>
      <c r="P832" t="str">
        <f>TEXT(HR_Data[[#This Row],[Joining Date]],"mmmm")</f>
        <v>December</v>
      </c>
      <c r="Q832">
        <f t="array" ref="Q83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32">
        <f>HR_Data[[#This Row],[Salary]]*HR_Data[[#This Row],[Bonus %]]</f>
        <v>5199.4000000000005</v>
      </c>
      <c r="S832">
        <f>HR_Data[[#This Row],[Salary]]+HR_Data[[#This Row],[Bonus Amount]]</f>
        <v>57193.4</v>
      </c>
      <c r="T832" t="str">
        <f>IF(HR_Data[[#This Row],[Attrition]]="Yes","Inactive","Active")</f>
        <v>Active</v>
      </c>
      <c r="U832" t="str">
        <f t="array" ref="U832">_xlfn.IFS(HR_Data[[#This Row],[Salary]]&gt;=100000,"A",HR_Data[[#This Row],[Salary]]&gt;=70000,"B",HR_Data[[#This Row],[Salary]]&gt;=50000,"C",TRUE(),"D")</f>
        <v>C</v>
      </c>
      <c r="V832" t="str">
        <f t="array" ref="V832">_xlfn.IFS(HR_Data[[#This Row],[Experience]]&gt;=15,"Expert",HR_Data[[#This Row],[Experience]]&gt;=8,"Senior",HR_Data[[#This Row],[Experience]]&gt;=3,"Mid-Level",TRUE(),"Junior")</f>
        <v>Mid-Level</v>
      </c>
    </row>
    <row r="833" spans="1:22" ht="14.25" customHeight="1" x14ac:dyDescent="0.3">
      <c r="A833" t="s">
        <v>1836</v>
      </c>
      <c r="B833" t="s">
        <v>503</v>
      </c>
      <c r="C833" t="s">
        <v>134</v>
      </c>
      <c r="D833" t="s">
        <v>25</v>
      </c>
      <c r="E833">
        <v>50</v>
      </c>
      <c r="F833">
        <v>113303</v>
      </c>
      <c r="G833">
        <v>27</v>
      </c>
      <c r="H833" t="s">
        <v>1837</v>
      </c>
      <c r="I833" t="s">
        <v>42</v>
      </c>
      <c r="J833" t="s">
        <v>90</v>
      </c>
      <c r="K833" t="s">
        <v>29</v>
      </c>
      <c r="L833" t="str">
        <f t="array" ref="L833">_xlfn.IFS(HR_Data[[#This Row],[Experience]]&lt;2,"0-2 Years",HR_Data[[#This Row],[Experience]]&lt;5,"2-5 Years",HR_Data[[#This Row],[Experience]]&lt;10,"5-10 Years",TRUE(),"10+ Years")</f>
        <v>10+ Years</v>
      </c>
      <c r="M833" t="str">
        <f t="array" ref="M833">_xlfn.IFS(HR_Data[[#This Row],[Salary]]&lt;40000,"Low",HR_Data[[#This Row],[Salary]]&lt;70000,"Medium",HR_Data[[#This Row],[Salary]]&lt;100000,"High",TRUE(),"Very High")</f>
        <v>Very High</v>
      </c>
      <c r="N833" t="str">
        <f t="array" ref="N833">_xlfn.IFS(HR_Data[[#This Row],[Age]]&lt;25,"18-24",HR_Data[[#This Row],[Age]]&lt;35,"25-34",HR_Data[[#This Row],[Age]]&lt;45,"35-44",TRUE(),"45+")</f>
        <v>45+</v>
      </c>
      <c r="O833">
        <f>YEAR(HR_Data[[#This Row],[Joining Date]])</f>
        <v>2026</v>
      </c>
      <c r="P833" t="str">
        <f>TEXT(HR_Data[[#This Row],[Joining Date]],"mmmm")</f>
        <v>March</v>
      </c>
      <c r="Q833">
        <f t="array" ref="Q833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833">
        <f>HR_Data[[#This Row],[Salary]]*HR_Data[[#This Row],[Bonus %]]</f>
        <v>0</v>
      </c>
      <c r="S833">
        <f>HR_Data[[#This Row],[Salary]]+HR_Data[[#This Row],[Bonus Amount]]</f>
        <v>113303</v>
      </c>
      <c r="T833" t="str">
        <f>IF(HR_Data[[#This Row],[Attrition]]="Yes","Inactive","Active")</f>
        <v>Active</v>
      </c>
      <c r="U833" t="str">
        <f t="array" ref="U833">_xlfn.IFS(HR_Data[[#This Row],[Salary]]&gt;=100000,"A",HR_Data[[#This Row],[Salary]]&gt;=70000,"B",HR_Data[[#This Row],[Salary]]&gt;=50000,"C",TRUE(),"D")</f>
        <v>A</v>
      </c>
      <c r="V833" t="str">
        <f t="array" ref="V833">_xlfn.IFS(HR_Data[[#This Row],[Experience]]&gt;=15,"Expert",HR_Data[[#This Row],[Experience]]&gt;=8,"Senior",HR_Data[[#This Row],[Experience]]&gt;=3,"Mid-Level",TRUE(),"Junior")</f>
        <v>Expert</v>
      </c>
    </row>
    <row r="834" spans="1:22" ht="14.25" customHeight="1" x14ac:dyDescent="0.3">
      <c r="A834" t="s">
        <v>1838</v>
      </c>
      <c r="B834" t="s">
        <v>111</v>
      </c>
      <c r="C834" t="s">
        <v>134</v>
      </c>
      <c r="D834" t="s">
        <v>33</v>
      </c>
      <c r="E834">
        <v>35</v>
      </c>
      <c r="F834">
        <v>54963</v>
      </c>
      <c r="G834">
        <v>6</v>
      </c>
      <c r="H834" t="s">
        <v>1839</v>
      </c>
      <c r="I834" t="s">
        <v>132</v>
      </c>
      <c r="J834" t="s">
        <v>46</v>
      </c>
      <c r="K834" t="s">
        <v>29</v>
      </c>
      <c r="L834" t="str">
        <f t="array" ref="L834">_xlfn.IFS(HR_Data[[#This Row],[Experience]]&lt;2,"0-2 Years",HR_Data[[#This Row],[Experience]]&lt;5,"2-5 Years",HR_Data[[#This Row],[Experience]]&lt;10,"5-10 Years",TRUE(),"10+ Years")</f>
        <v>5-10 Years</v>
      </c>
      <c r="M834" t="str">
        <f t="array" ref="M834">_xlfn.IFS(HR_Data[[#This Row],[Salary]]&lt;40000,"Low",HR_Data[[#This Row],[Salary]]&lt;70000,"Medium",HR_Data[[#This Row],[Salary]]&lt;100000,"High",TRUE(),"Very High")</f>
        <v>Medium</v>
      </c>
      <c r="N834" t="str">
        <f t="array" ref="N834">_xlfn.IFS(HR_Data[[#This Row],[Age]]&lt;25,"18-24",HR_Data[[#This Row],[Age]]&lt;35,"25-34",HR_Data[[#This Row],[Age]]&lt;45,"35-44",TRUE(),"45+")</f>
        <v>35-44</v>
      </c>
      <c r="O834">
        <f>YEAR(HR_Data[[#This Row],[Joining Date]])</f>
        <v>2022</v>
      </c>
      <c r="P834" t="str">
        <f>TEXT(HR_Data[[#This Row],[Joining Date]],"mmmm")</f>
        <v>September</v>
      </c>
      <c r="Q834">
        <f t="array" ref="Q834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834">
        <f>HR_Data[[#This Row],[Salary]]*HR_Data[[#This Row],[Bonus %]]</f>
        <v>2748.15</v>
      </c>
      <c r="S834">
        <f>HR_Data[[#This Row],[Salary]]+HR_Data[[#This Row],[Bonus Amount]]</f>
        <v>57711.15</v>
      </c>
      <c r="T834" t="str">
        <f>IF(HR_Data[[#This Row],[Attrition]]="Yes","Inactive","Active")</f>
        <v>Active</v>
      </c>
      <c r="U834" t="str">
        <f t="array" ref="U834">_xlfn.IFS(HR_Data[[#This Row],[Salary]]&gt;=100000,"A",HR_Data[[#This Row],[Salary]]&gt;=70000,"B",HR_Data[[#This Row],[Salary]]&gt;=50000,"C",TRUE(),"D")</f>
        <v>C</v>
      </c>
      <c r="V834" t="str">
        <f t="array" ref="V834">_xlfn.IFS(HR_Data[[#This Row],[Experience]]&gt;=15,"Expert",HR_Data[[#This Row],[Experience]]&gt;=8,"Senior",HR_Data[[#This Row],[Experience]]&gt;=3,"Mid-Level",TRUE(),"Junior")</f>
        <v>Mid-Level</v>
      </c>
    </row>
    <row r="835" spans="1:22" ht="14.25" customHeight="1" x14ac:dyDescent="0.3">
      <c r="A835" t="s">
        <v>1840</v>
      </c>
      <c r="B835" t="s">
        <v>741</v>
      </c>
      <c r="C835" t="s">
        <v>32</v>
      </c>
      <c r="D835" t="s">
        <v>33</v>
      </c>
      <c r="E835">
        <v>50</v>
      </c>
      <c r="F835">
        <v>119374</v>
      </c>
      <c r="G835">
        <v>31</v>
      </c>
      <c r="H835" t="s">
        <v>1841</v>
      </c>
      <c r="I835" t="s">
        <v>132</v>
      </c>
      <c r="J835" t="s">
        <v>46</v>
      </c>
      <c r="K835" t="s">
        <v>29</v>
      </c>
      <c r="L835" t="str">
        <f t="array" ref="L835">_xlfn.IFS(HR_Data[[#This Row],[Experience]]&lt;2,"0-2 Years",HR_Data[[#This Row],[Experience]]&lt;5,"2-5 Years",HR_Data[[#This Row],[Experience]]&lt;10,"5-10 Years",TRUE(),"10+ Years")</f>
        <v>10+ Years</v>
      </c>
      <c r="M835" t="str">
        <f t="array" ref="M835">_xlfn.IFS(HR_Data[[#This Row],[Salary]]&lt;40000,"Low",HR_Data[[#This Row],[Salary]]&lt;70000,"Medium",HR_Data[[#This Row],[Salary]]&lt;100000,"High",TRUE(),"Very High")</f>
        <v>Very High</v>
      </c>
      <c r="N835" t="str">
        <f t="array" ref="N835">_xlfn.IFS(HR_Data[[#This Row],[Age]]&lt;25,"18-24",HR_Data[[#This Row],[Age]]&lt;35,"25-34",HR_Data[[#This Row],[Age]]&lt;45,"35-44",TRUE(),"45+")</f>
        <v>45+</v>
      </c>
      <c r="O835">
        <f>YEAR(HR_Data[[#This Row],[Joining Date]])</f>
        <v>2016</v>
      </c>
      <c r="P835" t="str">
        <f>TEXT(HR_Data[[#This Row],[Joining Date]],"mmmm")</f>
        <v>July</v>
      </c>
      <c r="Q835">
        <f t="array" ref="Q835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835">
        <f>HR_Data[[#This Row],[Salary]]*HR_Data[[#This Row],[Bonus %]]</f>
        <v>5968.7000000000007</v>
      </c>
      <c r="S835">
        <f>HR_Data[[#This Row],[Salary]]+HR_Data[[#This Row],[Bonus Amount]]</f>
        <v>125342.7</v>
      </c>
      <c r="T835" t="str">
        <f>IF(HR_Data[[#This Row],[Attrition]]="Yes","Inactive","Active")</f>
        <v>Active</v>
      </c>
      <c r="U835" t="str">
        <f t="array" ref="U835">_xlfn.IFS(HR_Data[[#This Row],[Salary]]&gt;=100000,"A",HR_Data[[#This Row],[Salary]]&gt;=70000,"B",HR_Data[[#This Row],[Salary]]&gt;=50000,"C",TRUE(),"D")</f>
        <v>A</v>
      </c>
      <c r="V835" t="str">
        <f t="array" ref="V835">_xlfn.IFS(HR_Data[[#This Row],[Experience]]&gt;=15,"Expert",HR_Data[[#This Row],[Experience]]&gt;=8,"Senior",HR_Data[[#This Row],[Experience]]&gt;=3,"Mid-Level",TRUE(),"Junior")</f>
        <v>Expert</v>
      </c>
    </row>
    <row r="836" spans="1:22" ht="14.25" customHeight="1" x14ac:dyDescent="0.3">
      <c r="A836" t="s">
        <v>1842</v>
      </c>
      <c r="B836" t="s">
        <v>279</v>
      </c>
      <c r="C836" t="s">
        <v>24</v>
      </c>
      <c r="D836" t="s">
        <v>33</v>
      </c>
      <c r="E836">
        <v>44</v>
      </c>
      <c r="F836">
        <v>95001</v>
      </c>
      <c r="G836">
        <v>23</v>
      </c>
      <c r="H836" t="s">
        <v>1843</v>
      </c>
      <c r="I836" t="s">
        <v>132</v>
      </c>
      <c r="J836" t="s">
        <v>36</v>
      </c>
      <c r="K836" t="s">
        <v>29</v>
      </c>
      <c r="L836" t="str">
        <f t="array" ref="L836">_xlfn.IFS(HR_Data[[#This Row],[Experience]]&lt;2,"0-2 Years",HR_Data[[#This Row],[Experience]]&lt;5,"2-5 Years",HR_Data[[#This Row],[Experience]]&lt;10,"5-10 Years",TRUE(),"10+ Years")</f>
        <v>10+ Years</v>
      </c>
      <c r="M836" t="str">
        <f t="array" ref="M836">_xlfn.IFS(HR_Data[[#This Row],[Salary]]&lt;40000,"Low",HR_Data[[#This Row],[Salary]]&lt;70000,"Medium",HR_Data[[#This Row],[Salary]]&lt;100000,"High",TRUE(),"Very High")</f>
        <v>High</v>
      </c>
      <c r="N836" t="str">
        <f t="array" ref="N836">_xlfn.IFS(HR_Data[[#This Row],[Age]]&lt;25,"18-24",HR_Data[[#This Row],[Age]]&lt;35,"25-34",HR_Data[[#This Row],[Age]]&lt;45,"35-44",TRUE(),"45+")</f>
        <v>35-44</v>
      </c>
      <c r="O836">
        <f>YEAR(HR_Data[[#This Row],[Joining Date]])</f>
        <v>2019</v>
      </c>
      <c r="P836" t="str">
        <f>TEXT(HR_Data[[#This Row],[Joining Date]],"mmmm")</f>
        <v>June</v>
      </c>
      <c r="Q836">
        <f t="array" ref="Q83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36">
        <f>HR_Data[[#This Row],[Salary]]*HR_Data[[#This Row],[Bonus %]]</f>
        <v>9500.1</v>
      </c>
      <c r="S836">
        <f>HR_Data[[#This Row],[Salary]]+HR_Data[[#This Row],[Bonus Amount]]</f>
        <v>104501.1</v>
      </c>
      <c r="T836" t="str">
        <f>IF(HR_Data[[#This Row],[Attrition]]="Yes","Inactive","Active")</f>
        <v>Active</v>
      </c>
      <c r="U836" t="str">
        <f t="array" ref="U836">_xlfn.IFS(HR_Data[[#This Row],[Salary]]&gt;=100000,"A",HR_Data[[#This Row],[Salary]]&gt;=70000,"B",HR_Data[[#This Row],[Salary]]&gt;=50000,"C",TRUE(),"D")</f>
        <v>B</v>
      </c>
      <c r="V836" t="str">
        <f t="array" ref="V836">_xlfn.IFS(HR_Data[[#This Row],[Experience]]&gt;=15,"Expert",HR_Data[[#This Row],[Experience]]&gt;=8,"Senior",HR_Data[[#This Row],[Experience]]&gt;=3,"Mid-Level",TRUE(),"Junior")</f>
        <v>Expert</v>
      </c>
    </row>
    <row r="837" spans="1:22" ht="14.25" customHeight="1" x14ac:dyDescent="0.3">
      <c r="A837" t="s">
        <v>1844</v>
      </c>
      <c r="B837" t="s">
        <v>798</v>
      </c>
      <c r="C837" t="s">
        <v>24</v>
      </c>
      <c r="D837" t="s">
        <v>33</v>
      </c>
      <c r="E837">
        <v>31</v>
      </c>
      <c r="F837">
        <v>61387</v>
      </c>
      <c r="G837">
        <v>12</v>
      </c>
      <c r="H837" t="s">
        <v>1845</v>
      </c>
      <c r="I837" t="s">
        <v>132</v>
      </c>
      <c r="J837" t="s">
        <v>28</v>
      </c>
      <c r="K837" t="s">
        <v>29</v>
      </c>
      <c r="L837" t="str">
        <f t="array" ref="L837">_xlfn.IFS(HR_Data[[#This Row],[Experience]]&lt;2,"0-2 Years",HR_Data[[#This Row],[Experience]]&lt;5,"2-5 Years",HR_Data[[#This Row],[Experience]]&lt;10,"5-10 Years",TRUE(),"10+ Years")</f>
        <v>10+ Years</v>
      </c>
      <c r="M837" t="str">
        <f t="array" ref="M837">_xlfn.IFS(HR_Data[[#This Row],[Salary]]&lt;40000,"Low",HR_Data[[#This Row],[Salary]]&lt;70000,"Medium",HR_Data[[#This Row],[Salary]]&lt;100000,"High",TRUE(),"Very High")</f>
        <v>Medium</v>
      </c>
      <c r="N837" t="str">
        <f t="array" ref="N837">_xlfn.IFS(HR_Data[[#This Row],[Age]]&lt;25,"18-24",HR_Data[[#This Row],[Age]]&lt;35,"25-34",HR_Data[[#This Row],[Age]]&lt;45,"35-44",TRUE(),"45+")</f>
        <v>25-34</v>
      </c>
      <c r="O837">
        <f>YEAR(HR_Data[[#This Row],[Joining Date]])</f>
        <v>2019</v>
      </c>
      <c r="P837" t="str">
        <f>TEXT(HR_Data[[#This Row],[Joining Date]],"mmmm")</f>
        <v>April</v>
      </c>
      <c r="Q837">
        <f t="array" ref="Q83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37">
        <f>HR_Data[[#This Row],[Salary]]*HR_Data[[#This Row],[Bonus %]]</f>
        <v>9208.0499999999993</v>
      </c>
      <c r="S837">
        <f>HR_Data[[#This Row],[Salary]]+HR_Data[[#This Row],[Bonus Amount]]</f>
        <v>70595.05</v>
      </c>
      <c r="T837" t="str">
        <f>IF(HR_Data[[#This Row],[Attrition]]="Yes","Inactive","Active")</f>
        <v>Active</v>
      </c>
      <c r="U837" t="str">
        <f t="array" ref="U837">_xlfn.IFS(HR_Data[[#This Row],[Salary]]&gt;=100000,"A",HR_Data[[#This Row],[Salary]]&gt;=70000,"B",HR_Data[[#This Row],[Salary]]&gt;=50000,"C",TRUE(),"D")</f>
        <v>C</v>
      </c>
      <c r="V837" t="str">
        <f t="array" ref="V837">_xlfn.IFS(HR_Data[[#This Row],[Experience]]&gt;=15,"Expert",HR_Data[[#This Row],[Experience]]&gt;=8,"Senior",HR_Data[[#This Row],[Experience]]&gt;=3,"Mid-Level",TRUE(),"Junior")</f>
        <v>Senior</v>
      </c>
    </row>
    <row r="838" spans="1:22" ht="14.25" customHeight="1" x14ac:dyDescent="0.3">
      <c r="A838" t="s">
        <v>1846</v>
      </c>
      <c r="B838" t="s">
        <v>444</v>
      </c>
      <c r="C838" t="s">
        <v>60</v>
      </c>
      <c r="D838" t="s">
        <v>25</v>
      </c>
      <c r="E838">
        <v>28</v>
      </c>
      <c r="F838">
        <v>35808</v>
      </c>
      <c r="G838">
        <v>5</v>
      </c>
      <c r="H838" t="s">
        <v>1847</v>
      </c>
      <c r="I838" t="s">
        <v>35</v>
      </c>
      <c r="J838" t="s">
        <v>63</v>
      </c>
      <c r="K838" t="s">
        <v>37</v>
      </c>
      <c r="L838" t="str">
        <f t="array" ref="L838">_xlfn.IFS(HR_Data[[#This Row],[Experience]]&lt;2,"0-2 Years",HR_Data[[#This Row],[Experience]]&lt;5,"2-5 Years",HR_Data[[#This Row],[Experience]]&lt;10,"5-10 Years",TRUE(),"10+ Years")</f>
        <v>5-10 Years</v>
      </c>
      <c r="M838" t="str">
        <f t="array" ref="M838">_xlfn.IFS(HR_Data[[#This Row],[Salary]]&lt;40000,"Low",HR_Data[[#This Row],[Salary]]&lt;70000,"Medium",HR_Data[[#This Row],[Salary]]&lt;100000,"High",TRUE(),"Very High")</f>
        <v>Low</v>
      </c>
      <c r="N838" t="str">
        <f t="array" ref="N838">_xlfn.IFS(HR_Data[[#This Row],[Age]]&lt;25,"18-24",HR_Data[[#This Row],[Age]]&lt;35,"25-34",HR_Data[[#This Row],[Age]]&lt;45,"35-44",TRUE(),"45+")</f>
        <v>25-34</v>
      </c>
      <c r="O838">
        <f>YEAR(HR_Data[[#This Row],[Joining Date]])</f>
        <v>2023</v>
      </c>
      <c r="P838" t="str">
        <f>TEXT(HR_Data[[#This Row],[Joining Date]],"mmmm")</f>
        <v>June</v>
      </c>
      <c r="Q838">
        <f t="array" ref="Q838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838">
        <f>HR_Data[[#This Row],[Salary]]*HR_Data[[#This Row],[Bonus %]]</f>
        <v>7161.6</v>
      </c>
      <c r="S838">
        <f>HR_Data[[#This Row],[Salary]]+HR_Data[[#This Row],[Bonus Amount]]</f>
        <v>42969.599999999999</v>
      </c>
      <c r="T838" t="str">
        <f>IF(HR_Data[[#This Row],[Attrition]]="Yes","Inactive","Active")</f>
        <v>Inactive</v>
      </c>
      <c r="U838" t="str">
        <f t="array" ref="U838">_xlfn.IFS(HR_Data[[#This Row],[Salary]]&gt;=100000,"A",HR_Data[[#This Row],[Salary]]&gt;=70000,"B",HR_Data[[#This Row],[Salary]]&gt;=50000,"C",TRUE(),"D")</f>
        <v>D</v>
      </c>
      <c r="V838" t="str">
        <f t="array" ref="V838">_xlfn.IFS(HR_Data[[#This Row],[Experience]]&gt;=15,"Expert",HR_Data[[#This Row],[Experience]]&gt;=8,"Senior",HR_Data[[#This Row],[Experience]]&gt;=3,"Mid-Level",TRUE(),"Junior")</f>
        <v>Mid-Level</v>
      </c>
    </row>
    <row r="839" spans="1:22" ht="14.25" customHeight="1" x14ac:dyDescent="0.3">
      <c r="A839" t="s">
        <v>1848</v>
      </c>
      <c r="B839" t="s">
        <v>193</v>
      </c>
      <c r="C839" t="s">
        <v>40</v>
      </c>
      <c r="D839" t="s">
        <v>33</v>
      </c>
      <c r="E839">
        <v>25</v>
      </c>
      <c r="F839">
        <v>38200</v>
      </c>
      <c r="G839">
        <v>6</v>
      </c>
      <c r="H839" t="s">
        <v>1849</v>
      </c>
      <c r="I839" t="s">
        <v>45</v>
      </c>
      <c r="J839" t="s">
        <v>46</v>
      </c>
      <c r="K839" t="s">
        <v>37</v>
      </c>
      <c r="L839" t="str">
        <f t="array" ref="L839">_xlfn.IFS(HR_Data[[#This Row],[Experience]]&lt;2,"0-2 Years",HR_Data[[#This Row],[Experience]]&lt;5,"2-5 Years",HR_Data[[#This Row],[Experience]]&lt;10,"5-10 Years",TRUE(),"10+ Years")</f>
        <v>5-10 Years</v>
      </c>
      <c r="M839" t="str">
        <f t="array" ref="M839">_xlfn.IFS(HR_Data[[#This Row],[Salary]]&lt;40000,"Low",HR_Data[[#This Row],[Salary]]&lt;70000,"Medium",HR_Data[[#This Row],[Salary]]&lt;100000,"High",TRUE(),"Very High")</f>
        <v>Low</v>
      </c>
      <c r="N839" t="str">
        <f t="array" ref="N839">_xlfn.IFS(HR_Data[[#This Row],[Age]]&lt;25,"18-24",HR_Data[[#This Row],[Age]]&lt;35,"25-34",HR_Data[[#This Row],[Age]]&lt;45,"35-44",TRUE(),"45+")</f>
        <v>25-34</v>
      </c>
      <c r="O839">
        <f>YEAR(HR_Data[[#This Row],[Joining Date]])</f>
        <v>2020</v>
      </c>
      <c r="P839" t="str">
        <f>TEXT(HR_Data[[#This Row],[Joining Date]],"mmmm")</f>
        <v>December</v>
      </c>
      <c r="Q839">
        <f t="array" ref="Q839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839">
        <f>HR_Data[[#This Row],[Salary]]*HR_Data[[#This Row],[Bonus %]]</f>
        <v>1910</v>
      </c>
      <c r="S839">
        <f>HR_Data[[#This Row],[Salary]]+HR_Data[[#This Row],[Bonus Amount]]</f>
        <v>40110</v>
      </c>
      <c r="T839" t="str">
        <f>IF(HR_Data[[#This Row],[Attrition]]="Yes","Inactive","Active")</f>
        <v>Inactive</v>
      </c>
      <c r="U839" t="str">
        <f t="array" ref="U839">_xlfn.IFS(HR_Data[[#This Row],[Salary]]&gt;=100000,"A",HR_Data[[#This Row],[Salary]]&gt;=70000,"B",HR_Data[[#This Row],[Salary]]&gt;=50000,"C",TRUE(),"D")</f>
        <v>D</v>
      </c>
      <c r="V839" t="str">
        <f t="array" ref="V839">_xlfn.IFS(HR_Data[[#This Row],[Experience]]&gt;=15,"Expert",HR_Data[[#This Row],[Experience]]&gt;=8,"Senior",HR_Data[[#This Row],[Experience]]&gt;=3,"Mid-Level",TRUE(),"Junior")</f>
        <v>Mid-Level</v>
      </c>
    </row>
    <row r="840" spans="1:22" ht="14.25" customHeight="1" x14ac:dyDescent="0.3">
      <c r="A840" t="s">
        <v>1850</v>
      </c>
      <c r="B840" t="s">
        <v>294</v>
      </c>
      <c r="C840" t="s">
        <v>32</v>
      </c>
      <c r="D840" t="s">
        <v>25</v>
      </c>
      <c r="E840">
        <v>25</v>
      </c>
      <c r="F840">
        <v>36758</v>
      </c>
      <c r="G840">
        <v>0</v>
      </c>
      <c r="H840" t="s">
        <v>1851</v>
      </c>
      <c r="I840" t="s">
        <v>67</v>
      </c>
      <c r="J840" t="s">
        <v>90</v>
      </c>
      <c r="K840" t="s">
        <v>29</v>
      </c>
      <c r="L840" t="str">
        <f t="array" ref="L840">_xlfn.IFS(HR_Data[[#This Row],[Experience]]&lt;2,"0-2 Years",HR_Data[[#This Row],[Experience]]&lt;5,"2-5 Years",HR_Data[[#This Row],[Experience]]&lt;10,"5-10 Years",TRUE(),"10+ Years")</f>
        <v>0-2 Years</v>
      </c>
      <c r="M840" t="str">
        <f t="array" ref="M840">_xlfn.IFS(HR_Data[[#This Row],[Salary]]&lt;40000,"Low",HR_Data[[#This Row],[Salary]]&lt;70000,"Medium",HR_Data[[#This Row],[Salary]]&lt;100000,"High",TRUE(),"Very High")</f>
        <v>Low</v>
      </c>
      <c r="N840" t="str">
        <f t="array" ref="N840">_xlfn.IFS(HR_Data[[#This Row],[Age]]&lt;25,"18-24",HR_Data[[#This Row],[Age]]&lt;35,"25-34",HR_Data[[#This Row],[Age]]&lt;45,"35-44",TRUE(),"45+")</f>
        <v>25-34</v>
      </c>
      <c r="O840">
        <f>YEAR(HR_Data[[#This Row],[Joining Date]])</f>
        <v>2020</v>
      </c>
      <c r="P840" t="str">
        <f>TEXT(HR_Data[[#This Row],[Joining Date]],"mmmm")</f>
        <v>December</v>
      </c>
      <c r="Q840">
        <f t="array" ref="Q840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840">
        <f>HR_Data[[#This Row],[Salary]]*HR_Data[[#This Row],[Bonus %]]</f>
        <v>0</v>
      </c>
      <c r="S840">
        <f>HR_Data[[#This Row],[Salary]]+HR_Data[[#This Row],[Bonus Amount]]</f>
        <v>36758</v>
      </c>
      <c r="T840" t="str">
        <f>IF(HR_Data[[#This Row],[Attrition]]="Yes","Inactive","Active")</f>
        <v>Active</v>
      </c>
      <c r="U840" t="str">
        <f t="array" ref="U840">_xlfn.IFS(HR_Data[[#This Row],[Salary]]&gt;=100000,"A",HR_Data[[#This Row],[Salary]]&gt;=70000,"B",HR_Data[[#This Row],[Salary]]&gt;=50000,"C",TRUE(),"D")</f>
        <v>D</v>
      </c>
      <c r="V840" t="str">
        <f t="array" ref="V840">_xlfn.IFS(HR_Data[[#This Row],[Experience]]&gt;=15,"Expert",HR_Data[[#This Row],[Experience]]&gt;=8,"Senior",HR_Data[[#This Row],[Experience]]&gt;=3,"Mid-Level",TRUE(),"Junior")</f>
        <v>Junior</v>
      </c>
    </row>
    <row r="841" spans="1:22" ht="14.25" customHeight="1" x14ac:dyDescent="0.3">
      <c r="A841" t="s">
        <v>1852</v>
      </c>
      <c r="B841" t="s">
        <v>146</v>
      </c>
      <c r="C841" t="s">
        <v>55</v>
      </c>
      <c r="D841" t="s">
        <v>33</v>
      </c>
      <c r="E841">
        <v>45</v>
      </c>
      <c r="F841">
        <v>92051</v>
      </c>
      <c r="G841">
        <v>21</v>
      </c>
      <c r="H841" t="s">
        <v>1853</v>
      </c>
      <c r="I841" t="s">
        <v>27</v>
      </c>
      <c r="J841" t="s">
        <v>36</v>
      </c>
      <c r="K841" t="s">
        <v>29</v>
      </c>
      <c r="L841" t="str">
        <f t="array" ref="L841">_xlfn.IFS(HR_Data[[#This Row],[Experience]]&lt;2,"0-2 Years",HR_Data[[#This Row],[Experience]]&lt;5,"2-5 Years",HR_Data[[#This Row],[Experience]]&lt;10,"5-10 Years",TRUE(),"10+ Years")</f>
        <v>10+ Years</v>
      </c>
      <c r="M841" t="str">
        <f t="array" ref="M841">_xlfn.IFS(HR_Data[[#This Row],[Salary]]&lt;40000,"Low",HR_Data[[#This Row],[Salary]]&lt;70000,"Medium",HR_Data[[#This Row],[Salary]]&lt;100000,"High",TRUE(),"Very High")</f>
        <v>High</v>
      </c>
      <c r="N841" t="str">
        <f t="array" ref="N841">_xlfn.IFS(HR_Data[[#This Row],[Age]]&lt;25,"18-24",HR_Data[[#This Row],[Age]]&lt;35,"25-34",HR_Data[[#This Row],[Age]]&lt;45,"35-44",TRUE(),"45+")</f>
        <v>45+</v>
      </c>
      <c r="O841">
        <f>YEAR(HR_Data[[#This Row],[Joining Date]])</f>
        <v>2023</v>
      </c>
      <c r="P841" t="str">
        <f>TEXT(HR_Data[[#This Row],[Joining Date]],"mmmm")</f>
        <v>February</v>
      </c>
      <c r="Q841">
        <f t="array" ref="Q84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41">
        <f>HR_Data[[#This Row],[Salary]]*HR_Data[[#This Row],[Bonus %]]</f>
        <v>9205.1</v>
      </c>
      <c r="S841">
        <f>HR_Data[[#This Row],[Salary]]+HR_Data[[#This Row],[Bonus Amount]]</f>
        <v>101256.1</v>
      </c>
      <c r="T841" t="str">
        <f>IF(HR_Data[[#This Row],[Attrition]]="Yes","Inactive","Active")</f>
        <v>Active</v>
      </c>
      <c r="U841" t="str">
        <f t="array" ref="U841">_xlfn.IFS(HR_Data[[#This Row],[Salary]]&gt;=100000,"A",HR_Data[[#This Row],[Salary]]&gt;=70000,"B",HR_Data[[#This Row],[Salary]]&gt;=50000,"C",TRUE(),"D")</f>
        <v>B</v>
      </c>
      <c r="V841" t="str">
        <f t="array" ref="V841">_xlfn.IFS(HR_Data[[#This Row],[Experience]]&gt;=15,"Expert",HR_Data[[#This Row],[Experience]]&gt;=8,"Senior",HR_Data[[#This Row],[Experience]]&gt;=3,"Mid-Level",TRUE(),"Junior")</f>
        <v>Expert</v>
      </c>
    </row>
    <row r="842" spans="1:22" ht="14.25" customHeight="1" x14ac:dyDescent="0.3">
      <c r="A842" t="s">
        <v>1854</v>
      </c>
      <c r="B842" t="s">
        <v>868</v>
      </c>
      <c r="C842" t="s">
        <v>60</v>
      </c>
      <c r="D842" t="s">
        <v>25</v>
      </c>
      <c r="E842">
        <v>59</v>
      </c>
      <c r="F842">
        <v>122966</v>
      </c>
      <c r="G842">
        <v>29</v>
      </c>
      <c r="H842" t="s">
        <v>1855</v>
      </c>
      <c r="I842" t="s">
        <v>35</v>
      </c>
      <c r="J842" t="s">
        <v>63</v>
      </c>
      <c r="K842" t="s">
        <v>29</v>
      </c>
      <c r="L842" t="str">
        <f t="array" ref="L842">_xlfn.IFS(HR_Data[[#This Row],[Experience]]&lt;2,"0-2 Years",HR_Data[[#This Row],[Experience]]&lt;5,"2-5 Years",HR_Data[[#This Row],[Experience]]&lt;10,"5-10 Years",TRUE(),"10+ Years")</f>
        <v>10+ Years</v>
      </c>
      <c r="M842" t="str">
        <f t="array" ref="M842">_xlfn.IFS(HR_Data[[#This Row],[Salary]]&lt;40000,"Low",HR_Data[[#This Row],[Salary]]&lt;70000,"Medium",HR_Data[[#This Row],[Salary]]&lt;100000,"High",TRUE(),"Very High")</f>
        <v>Very High</v>
      </c>
      <c r="N842" t="str">
        <f t="array" ref="N842">_xlfn.IFS(HR_Data[[#This Row],[Age]]&lt;25,"18-24",HR_Data[[#This Row],[Age]]&lt;35,"25-34",HR_Data[[#This Row],[Age]]&lt;45,"35-44",TRUE(),"45+")</f>
        <v>45+</v>
      </c>
      <c r="O842">
        <f>YEAR(HR_Data[[#This Row],[Joining Date]])</f>
        <v>2018</v>
      </c>
      <c r="P842" t="str">
        <f>TEXT(HR_Data[[#This Row],[Joining Date]],"mmmm")</f>
        <v>February</v>
      </c>
      <c r="Q842">
        <f t="array" ref="Q842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842">
        <f>HR_Data[[#This Row],[Salary]]*HR_Data[[#This Row],[Bonus %]]</f>
        <v>24593.200000000001</v>
      </c>
      <c r="S842">
        <f>HR_Data[[#This Row],[Salary]]+HR_Data[[#This Row],[Bonus Amount]]</f>
        <v>147559.20000000001</v>
      </c>
      <c r="T842" t="str">
        <f>IF(HR_Data[[#This Row],[Attrition]]="Yes","Inactive","Active")</f>
        <v>Active</v>
      </c>
      <c r="U842" t="str">
        <f t="array" ref="U842">_xlfn.IFS(HR_Data[[#This Row],[Salary]]&gt;=100000,"A",HR_Data[[#This Row],[Salary]]&gt;=70000,"B",HR_Data[[#This Row],[Salary]]&gt;=50000,"C",TRUE(),"D")</f>
        <v>A</v>
      </c>
      <c r="V842" t="str">
        <f t="array" ref="V842">_xlfn.IFS(HR_Data[[#This Row],[Experience]]&gt;=15,"Expert",HR_Data[[#This Row],[Experience]]&gt;=8,"Senior",HR_Data[[#This Row],[Experience]]&gt;=3,"Mid-Level",TRUE(),"Junior")</f>
        <v>Expert</v>
      </c>
    </row>
    <row r="843" spans="1:22" ht="14.25" customHeight="1" x14ac:dyDescent="0.3">
      <c r="A843" t="s">
        <v>1856</v>
      </c>
      <c r="B843" t="s">
        <v>158</v>
      </c>
      <c r="C843" t="s">
        <v>55</v>
      </c>
      <c r="D843" t="s">
        <v>33</v>
      </c>
      <c r="E843">
        <v>57</v>
      </c>
      <c r="F843">
        <v>126537</v>
      </c>
      <c r="G843">
        <v>30</v>
      </c>
      <c r="H843" t="s">
        <v>1857</v>
      </c>
      <c r="I843" t="s">
        <v>67</v>
      </c>
      <c r="J843" t="s">
        <v>63</v>
      </c>
      <c r="K843" t="s">
        <v>29</v>
      </c>
      <c r="L843" t="str">
        <f t="array" ref="L843">_xlfn.IFS(HR_Data[[#This Row],[Experience]]&lt;2,"0-2 Years",HR_Data[[#This Row],[Experience]]&lt;5,"2-5 Years",HR_Data[[#This Row],[Experience]]&lt;10,"5-10 Years",TRUE(),"10+ Years")</f>
        <v>10+ Years</v>
      </c>
      <c r="M843" t="str">
        <f t="array" ref="M843">_xlfn.IFS(HR_Data[[#This Row],[Salary]]&lt;40000,"Low",HR_Data[[#This Row],[Salary]]&lt;70000,"Medium",HR_Data[[#This Row],[Salary]]&lt;100000,"High",TRUE(),"Very High")</f>
        <v>Very High</v>
      </c>
      <c r="N843" t="str">
        <f t="array" ref="N843">_xlfn.IFS(HR_Data[[#This Row],[Age]]&lt;25,"18-24",HR_Data[[#This Row],[Age]]&lt;35,"25-34",HR_Data[[#This Row],[Age]]&lt;45,"35-44",TRUE(),"45+")</f>
        <v>45+</v>
      </c>
      <c r="O843">
        <f>YEAR(HR_Data[[#This Row],[Joining Date]])</f>
        <v>2019</v>
      </c>
      <c r="P843" t="str">
        <f>TEXT(HR_Data[[#This Row],[Joining Date]],"mmmm")</f>
        <v>March</v>
      </c>
      <c r="Q843">
        <f t="array" ref="Q843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843">
        <f>HR_Data[[#This Row],[Salary]]*HR_Data[[#This Row],[Bonus %]]</f>
        <v>25307.4</v>
      </c>
      <c r="S843">
        <f>HR_Data[[#This Row],[Salary]]+HR_Data[[#This Row],[Bonus Amount]]</f>
        <v>151844.4</v>
      </c>
      <c r="T843" t="str">
        <f>IF(HR_Data[[#This Row],[Attrition]]="Yes","Inactive","Active")</f>
        <v>Active</v>
      </c>
      <c r="U843" t="str">
        <f t="array" ref="U843">_xlfn.IFS(HR_Data[[#This Row],[Salary]]&gt;=100000,"A",HR_Data[[#This Row],[Salary]]&gt;=70000,"B",HR_Data[[#This Row],[Salary]]&gt;=50000,"C",TRUE(),"D")</f>
        <v>A</v>
      </c>
      <c r="V843" t="str">
        <f t="array" ref="V843">_xlfn.IFS(HR_Data[[#This Row],[Experience]]&gt;=15,"Expert",HR_Data[[#This Row],[Experience]]&gt;=8,"Senior",HR_Data[[#This Row],[Experience]]&gt;=3,"Mid-Level",TRUE(),"Junior")</f>
        <v>Expert</v>
      </c>
    </row>
    <row r="844" spans="1:22" ht="14.25" customHeight="1" x14ac:dyDescent="0.3">
      <c r="A844" t="s">
        <v>1858</v>
      </c>
      <c r="B844" t="s">
        <v>433</v>
      </c>
      <c r="C844" t="s">
        <v>32</v>
      </c>
      <c r="D844" t="s">
        <v>25</v>
      </c>
      <c r="E844">
        <v>50</v>
      </c>
      <c r="F844">
        <v>126482</v>
      </c>
      <c r="G844">
        <v>28</v>
      </c>
      <c r="H844" t="s">
        <v>1859</v>
      </c>
      <c r="I844" t="s">
        <v>42</v>
      </c>
      <c r="J844" t="s">
        <v>36</v>
      </c>
      <c r="K844" t="s">
        <v>29</v>
      </c>
      <c r="L844" t="str">
        <f t="array" ref="L844">_xlfn.IFS(HR_Data[[#This Row],[Experience]]&lt;2,"0-2 Years",HR_Data[[#This Row],[Experience]]&lt;5,"2-5 Years",HR_Data[[#This Row],[Experience]]&lt;10,"5-10 Years",TRUE(),"10+ Years")</f>
        <v>10+ Years</v>
      </c>
      <c r="M844" t="str">
        <f t="array" ref="M844">_xlfn.IFS(HR_Data[[#This Row],[Salary]]&lt;40000,"Low",HR_Data[[#This Row],[Salary]]&lt;70000,"Medium",HR_Data[[#This Row],[Salary]]&lt;100000,"High",TRUE(),"Very High")</f>
        <v>Very High</v>
      </c>
      <c r="N844" t="str">
        <f t="array" ref="N844">_xlfn.IFS(HR_Data[[#This Row],[Age]]&lt;25,"18-24",HR_Data[[#This Row],[Age]]&lt;35,"25-34",HR_Data[[#This Row],[Age]]&lt;45,"35-44",TRUE(),"45+")</f>
        <v>45+</v>
      </c>
      <c r="O844">
        <f>YEAR(HR_Data[[#This Row],[Joining Date]])</f>
        <v>2025</v>
      </c>
      <c r="P844" t="str">
        <f>TEXT(HR_Data[[#This Row],[Joining Date]],"mmmm")</f>
        <v>November</v>
      </c>
      <c r="Q844">
        <f t="array" ref="Q844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44">
        <f>HR_Data[[#This Row],[Salary]]*HR_Data[[#This Row],[Bonus %]]</f>
        <v>12648.2</v>
      </c>
      <c r="S844">
        <f>HR_Data[[#This Row],[Salary]]+HR_Data[[#This Row],[Bonus Amount]]</f>
        <v>139130.20000000001</v>
      </c>
      <c r="T844" t="str">
        <f>IF(HR_Data[[#This Row],[Attrition]]="Yes","Inactive","Active")</f>
        <v>Active</v>
      </c>
      <c r="U844" t="str">
        <f t="array" ref="U844">_xlfn.IFS(HR_Data[[#This Row],[Salary]]&gt;=100000,"A",HR_Data[[#This Row],[Salary]]&gt;=70000,"B",HR_Data[[#This Row],[Salary]]&gt;=50000,"C",TRUE(),"D")</f>
        <v>A</v>
      </c>
      <c r="V844" t="str">
        <f t="array" ref="V844">_xlfn.IFS(HR_Data[[#This Row],[Experience]]&gt;=15,"Expert",HR_Data[[#This Row],[Experience]]&gt;=8,"Senior",HR_Data[[#This Row],[Experience]]&gt;=3,"Mid-Level",TRUE(),"Junior")</f>
        <v>Expert</v>
      </c>
    </row>
    <row r="845" spans="1:22" ht="14.25" customHeight="1" x14ac:dyDescent="0.3">
      <c r="A845" t="s">
        <v>1860</v>
      </c>
      <c r="B845" t="s">
        <v>363</v>
      </c>
      <c r="C845" t="s">
        <v>112</v>
      </c>
      <c r="D845" t="s">
        <v>33</v>
      </c>
      <c r="E845">
        <v>47</v>
      </c>
      <c r="F845">
        <v>113695</v>
      </c>
      <c r="G845">
        <v>24</v>
      </c>
      <c r="H845" t="s">
        <v>1861</v>
      </c>
      <c r="I845" t="s">
        <v>35</v>
      </c>
      <c r="J845" t="s">
        <v>36</v>
      </c>
      <c r="K845" t="s">
        <v>29</v>
      </c>
      <c r="L845" t="str">
        <f t="array" ref="L845">_xlfn.IFS(HR_Data[[#This Row],[Experience]]&lt;2,"0-2 Years",HR_Data[[#This Row],[Experience]]&lt;5,"2-5 Years",HR_Data[[#This Row],[Experience]]&lt;10,"5-10 Years",TRUE(),"10+ Years")</f>
        <v>10+ Years</v>
      </c>
      <c r="M845" t="str">
        <f t="array" ref="M845">_xlfn.IFS(HR_Data[[#This Row],[Salary]]&lt;40000,"Low",HR_Data[[#This Row],[Salary]]&lt;70000,"Medium",HR_Data[[#This Row],[Salary]]&lt;100000,"High",TRUE(),"Very High")</f>
        <v>Very High</v>
      </c>
      <c r="N845" t="str">
        <f t="array" ref="N845">_xlfn.IFS(HR_Data[[#This Row],[Age]]&lt;25,"18-24",HR_Data[[#This Row],[Age]]&lt;35,"25-34",HR_Data[[#This Row],[Age]]&lt;45,"35-44",TRUE(),"45+")</f>
        <v>45+</v>
      </c>
      <c r="O845">
        <f>YEAR(HR_Data[[#This Row],[Joining Date]])</f>
        <v>2019</v>
      </c>
      <c r="P845" t="str">
        <f>TEXT(HR_Data[[#This Row],[Joining Date]],"mmmm")</f>
        <v>May</v>
      </c>
      <c r="Q845">
        <f t="array" ref="Q84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45">
        <f>HR_Data[[#This Row],[Salary]]*HR_Data[[#This Row],[Bonus %]]</f>
        <v>11369.5</v>
      </c>
      <c r="S845">
        <f>HR_Data[[#This Row],[Salary]]+HR_Data[[#This Row],[Bonus Amount]]</f>
        <v>125064.5</v>
      </c>
      <c r="T845" t="str">
        <f>IF(HR_Data[[#This Row],[Attrition]]="Yes","Inactive","Active")</f>
        <v>Active</v>
      </c>
      <c r="U845" t="str">
        <f t="array" ref="U845">_xlfn.IFS(HR_Data[[#This Row],[Salary]]&gt;=100000,"A",HR_Data[[#This Row],[Salary]]&gt;=70000,"B",HR_Data[[#This Row],[Salary]]&gt;=50000,"C",TRUE(),"D")</f>
        <v>A</v>
      </c>
      <c r="V845" t="str">
        <f t="array" ref="V845">_xlfn.IFS(HR_Data[[#This Row],[Experience]]&gt;=15,"Expert",HR_Data[[#This Row],[Experience]]&gt;=8,"Senior",HR_Data[[#This Row],[Experience]]&gt;=3,"Mid-Level",TRUE(),"Junior")</f>
        <v>Expert</v>
      </c>
    </row>
    <row r="846" spans="1:22" ht="14.25" customHeight="1" x14ac:dyDescent="0.3">
      <c r="A846" t="s">
        <v>1862</v>
      </c>
      <c r="B846" t="s">
        <v>279</v>
      </c>
      <c r="C846" t="s">
        <v>75</v>
      </c>
      <c r="D846" t="s">
        <v>33</v>
      </c>
      <c r="E846">
        <v>28</v>
      </c>
      <c r="F846">
        <v>50981</v>
      </c>
      <c r="G846">
        <v>5</v>
      </c>
      <c r="H846" t="s">
        <v>1863</v>
      </c>
      <c r="I846" t="s">
        <v>57</v>
      </c>
      <c r="J846" t="s">
        <v>28</v>
      </c>
      <c r="K846" t="s">
        <v>29</v>
      </c>
      <c r="L846" t="str">
        <f t="array" ref="L846">_xlfn.IFS(HR_Data[[#This Row],[Experience]]&lt;2,"0-2 Years",HR_Data[[#This Row],[Experience]]&lt;5,"2-5 Years",HR_Data[[#This Row],[Experience]]&lt;10,"5-10 Years",TRUE(),"10+ Years")</f>
        <v>5-10 Years</v>
      </c>
      <c r="M846" t="str">
        <f t="array" ref="M846">_xlfn.IFS(HR_Data[[#This Row],[Salary]]&lt;40000,"Low",HR_Data[[#This Row],[Salary]]&lt;70000,"Medium",HR_Data[[#This Row],[Salary]]&lt;100000,"High",TRUE(),"Very High")</f>
        <v>Medium</v>
      </c>
      <c r="N846" t="str">
        <f t="array" ref="N846">_xlfn.IFS(HR_Data[[#This Row],[Age]]&lt;25,"18-24",HR_Data[[#This Row],[Age]]&lt;35,"25-34",HR_Data[[#This Row],[Age]]&lt;45,"35-44",TRUE(),"45+")</f>
        <v>25-34</v>
      </c>
      <c r="O846">
        <f>YEAR(HR_Data[[#This Row],[Joining Date]])</f>
        <v>2025</v>
      </c>
      <c r="P846" t="str">
        <f>TEXT(HR_Data[[#This Row],[Joining Date]],"mmmm")</f>
        <v>June</v>
      </c>
      <c r="Q846">
        <f t="array" ref="Q846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46">
        <f>HR_Data[[#This Row],[Salary]]*HR_Data[[#This Row],[Bonus %]]</f>
        <v>7647.15</v>
      </c>
      <c r="S846">
        <f>HR_Data[[#This Row],[Salary]]+HR_Data[[#This Row],[Bonus Amount]]</f>
        <v>58628.15</v>
      </c>
      <c r="T846" t="str">
        <f>IF(HR_Data[[#This Row],[Attrition]]="Yes","Inactive","Active")</f>
        <v>Active</v>
      </c>
      <c r="U846" t="str">
        <f t="array" ref="U846">_xlfn.IFS(HR_Data[[#This Row],[Salary]]&gt;=100000,"A",HR_Data[[#This Row],[Salary]]&gt;=70000,"B",HR_Data[[#This Row],[Salary]]&gt;=50000,"C",TRUE(),"D")</f>
        <v>C</v>
      </c>
      <c r="V846" t="str">
        <f t="array" ref="V846">_xlfn.IFS(HR_Data[[#This Row],[Experience]]&gt;=15,"Expert",HR_Data[[#This Row],[Experience]]&gt;=8,"Senior",HR_Data[[#This Row],[Experience]]&gt;=3,"Mid-Level",TRUE(),"Junior")</f>
        <v>Mid-Level</v>
      </c>
    </row>
    <row r="847" spans="1:22" ht="14.25" customHeight="1" x14ac:dyDescent="0.3">
      <c r="A847" t="s">
        <v>1864</v>
      </c>
      <c r="B847" t="s">
        <v>566</v>
      </c>
      <c r="C847" t="s">
        <v>32</v>
      </c>
      <c r="D847" t="s">
        <v>25</v>
      </c>
      <c r="E847">
        <v>34</v>
      </c>
      <c r="F847">
        <v>61530</v>
      </c>
      <c r="G847">
        <v>13</v>
      </c>
      <c r="H847" t="s">
        <v>1865</v>
      </c>
      <c r="I847" t="s">
        <v>57</v>
      </c>
      <c r="J847" t="s">
        <v>36</v>
      </c>
      <c r="K847" t="s">
        <v>29</v>
      </c>
      <c r="L847" t="str">
        <f t="array" ref="L847">_xlfn.IFS(HR_Data[[#This Row],[Experience]]&lt;2,"0-2 Years",HR_Data[[#This Row],[Experience]]&lt;5,"2-5 Years",HR_Data[[#This Row],[Experience]]&lt;10,"5-10 Years",TRUE(),"10+ Years")</f>
        <v>10+ Years</v>
      </c>
      <c r="M847" t="str">
        <f t="array" ref="M847">_xlfn.IFS(HR_Data[[#This Row],[Salary]]&lt;40000,"Low",HR_Data[[#This Row],[Salary]]&lt;70000,"Medium",HR_Data[[#This Row],[Salary]]&lt;100000,"High",TRUE(),"Very High")</f>
        <v>Medium</v>
      </c>
      <c r="N847" t="str">
        <f t="array" ref="N847">_xlfn.IFS(HR_Data[[#This Row],[Age]]&lt;25,"18-24",HR_Data[[#This Row],[Age]]&lt;35,"25-34",HR_Data[[#This Row],[Age]]&lt;45,"35-44",TRUE(),"45+")</f>
        <v>25-34</v>
      </c>
      <c r="O847">
        <f>YEAR(HR_Data[[#This Row],[Joining Date]])</f>
        <v>2017</v>
      </c>
      <c r="P847" t="str">
        <f>TEXT(HR_Data[[#This Row],[Joining Date]],"mmmm")</f>
        <v>May</v>
      </c>
      <c r="Q847">
        <f t="array" ref="Q847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47">
        <f>HR_Data[[#This Row],[Salary]]*HR_Data[[#This Row],[Bonus %]]</f>
        <v>6153</v>
      </c>
      <c r="S847">
        <f>HR_Data[[#This Row],[Salary]]+HR_Data[[#This Row],[Bonus Amount]]</f>
        <v>67683</v>
      </c>
      <c r="T847" t="str">
        <f>IF(HR_Data[[#This Row],[Attrition]]="Yes","Inactive","Active")</f>
        <v>Active</v>
      </c>
      <c r="U847" t="str">
        <f t="array" ref="U847">_xlfn.IFS(HR_Data[[#This Row],[Salary]]&gt;=100000,"A",HR_Data[[#This Row],[Salary]]&gt;=70000,"B",HR_Data[[#This Row],[Salary]]&gt;=50000,"C",TRUE(),"D")</f>
        <v>C</v>
      </c>
      <c r="V847" t="str">
        <f t="array" ref="V847">_xlfn.IFS(HR_Data[[#This Row],[Experience]]&gt;=15,"Expert",HR_Data[[#This Row],[Experience]]&gt;=8,"Senior",HR_Data[[#This Row],[Experience]]&gt;=3,"Mid-Level",TRUE(),"Junior")</f>
        <v>Senior</v>
      </c>
    </row>
    <row r="848" spans="1:22" ht="14.25" customHeight="1" x14ac:dyDescent="0.3">
      <c r="A848" t="s">
        <v>1866</v>
      </c>
      <c r="B848" t="s">
        <v>245</v>
      </c>
      <c r="C848" t="s">
        <v>55</v>
      </c>
      <c r="D848" t="s">
        <v>33</v>
      </c>
      <c r="E848">
        <v>45</v>
      </c>
      <c r="F848">
        <v>83807</v>
      </c>
      <c r="G848">
        <v>16</v>
      </c>
      <c r="H848" t="s">
        <v>1867</v>
      </c>
      <c r="I848" t="s">
        <v>72</v>
      </c>
      <c r="J848" t="s">
        <v>36</v>
      </c>
      <c r="K848" t="s">
        <v>29</v>
      </c>
      <c r="L848" t="str">
        <f t="array" ref="L848">_xlfn.IFS(HR_Data[[#This Row],[Experience]]&lt;2,"0-2 Years",HR_Data[[#This Row],[Experience]]&lt;5,"2-5 Years",HR_Data[[#This Row],[Experience]]&lt;10,"5-10 Years",TRUE(),"10+ Years")</f>
        <v>10+ Years</v>
      </c>
      <c r="M848" t="str">
        <f t="array" ref="M848">_xlfn.IFS(HR_Data[[#This Row],[Salary]]&lt;40000,"Low",HR_Data[[#This Row],[Salary]]&lt;70000,"Medium",HR_Data[[#This Row],[Salary]]&lt;100000,"High",TRUE(),"Very High")</f>
        <v>High</v>
      </c>
      <c r="N848" t="str">
        <f t="array" ref="N848">_xlfn.IFS(HR_Data[[#This Row],[Age]]&lt;25,"18-24",HR_Data[[#This Row],[Age]]&lt;35,"25-34",HR_Data[[#This Row],[Age]]&lt;45,"35-44",TRUE(),"45+")</f>
        <v>45+</v>
      </c>
      <c r="O848">
        <f>YEAR(HR_Data[[#This Row],[Joining Date]])</f>
        <v>2017</v>
      </c>
      <c r="P848" t="str">
        <f>TEXT(HR_Data[[#This Row],[Joining Date]],"mmmm")</f>
        <v>October</v>
      </c>
      <c r="Q848">
        <f t="array" ref="Q84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48">
        <f>HR_Data[[#This Row],[Salary]]*HR_Data[[#This Row],[Bonus %]]</f>
        <v>8380.7000000000007</v>
      </c>
      <c r="S848">
        <f>HR_Data[[#This Row],[Salary]]+HR_Data[[#This Row],[Bonus Amount]]</f>
        <v>92187.7</v>
      </c>
      <c r="T848" t="str">
        <f>IF(HR_Data[[#This Row],[Attrition]]="Yes","Inactive","Active")</f>
        <v>Active</v>
      </c>
      <c r="U848" t="str">
        <f t="array" ref="U848">_xlfn.IFS(HR_Data[[#This Row],[Salary]]&gt;=100000,"A",HR_Data[[#This Row],[Salary]]&gt;=70000,"B",HR_Data[[#This Row],[Salary]]&gt;=50000,"C",TRUE(),"D")</f>
        <v>B</v>
      </c>
      <c r="V848" t="str">
        <f t="array" ref="V848">_xlfn.IFS(HR_Data[[#This Row],[Experience]]&gt;=15,"Expert",HR_Data[[#This Row],[Experience]]&gt;=8,"Senior",HR_Data[[#This Row],[Experience]]&gt;=3,"Mid-Level",TRUE(),"Junior")</f>
        <v>Expert</v>
      </c>
    </row>
    <row r="849" spans="1:22" ht="14.25" customHeight="1" x14ac:dyDescent="0.3">
      <c r="A849" t="s">
        <v>1868</v>
      </c>
      <c r="B849" t="s">
        <v>270</v>
      </c>
      <c r="C849" t="s">
        <v>32</v>
      </c>
      <c r="D849" t="s">
        <v>33</v>
      </c>
      <c r="E849">
        <v>33</v>
      </c>
      <c r="F849">
        <v>41046</v>
      </c>
      <c r="G849">
        <v>4</v>
      </c>
      <c r="H849" t="s">
        <v>1869</v>
      </c>
      <c r="I849" t="s">
        <v>57</v>
      </c>
      <c r="J849" t="s">
        <v>46</v>
      </c>
      <c r="K849" t="s">
        <v>29</v>
      </c>
      <c r="L849" t="str">
        <f t="array" ref="L849">_xlfn.IFS(HR_Data[[#This Row],[Experience]]&lt;2,"0-2 Years",HR_Data[[#This Row],[Experience]]&lt;5,"2-5 Years",HR_Data[[#This Row],[Experience]]&lt;10,"5-10 Years",TRUE(),"10+ Years")</f>
        <v>2-5 Years</v>
      </c>
      <c r="M849" t="str">
        <f t="array" ref="M849">_xlfn.IFS(HR_Data[[#This Row],[Salary]]&lt;40000,"Low",HR_Data[[#This Row],[Salary]]&lt;70000,"Medium",HR_Data[[#This Row],[Salary]]&lt;100000,"High",TRUE(),"Very High")</f>
        <v>Medium</v>
      </c>
      <c r="N849" t="str">
        <f t="array" ref="N849">_xlfn.IFS(HR_Data[[#This Row],[Age]]&lt;25,"18-24",HR_Data[[#This Row],[Age]]&lt;35,"25-34",HR_Data[[#This Row],[Age]]&lt;45,"35-44",TRUE(),"45+")</f>
        <v>25-34</v>
      </c>
      <c r="O849">
        <f>YEAR(HR_Data[[#This Row],[Joining Date]])</f>
        <v>2023</v>
      </c>
      <c r="P849" t="str">
        <f>TEXT(HR_Data[[#This Row],[Joining Date]],"mmmm")</f>
        <v>June</v>
      </c>
      <c r="Q849">
        <f t="array" ref="Q849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849">
        <f>HR_Data[[#This Row],[Salary]]*HR_Data[[#This Row],[Bonus %]]</f>
        <v>2052.3000000000002</v>
      </c>
      <c r="S849">
        <f>HR_Data[[#This Row],[Salary]]+HR_Data[[#This Row],[Bonus Amount]]</f>
        <v>43098.3</v>
      </c>
      <c r="T849" t="str">
        <f>IF(HR_Data[[#This Row],[Attrition]]="Yes","Inactive","Active")</f>
        <v>Active</v>
      </c>
      <c r="U849" t="str">
        <f t="array" ref="U849">_xlfn.IFS(HR_Data[[#This Row],[Salary]]&gt;=100000,"A",HR_Data[[#This Row],[Salary]]&gt;=70000,"B",HR_Data[[#This Row],[Salary]]&gt;=50000,"C",TRUE(),"D")</f>
        <v>D</v>
      </c>
      <c r="V849" t="str">
        <f t="array" ref="V849">_xlfn.IFS(HR_Data[[#This Row],[Experience]]&gt;=15,"Expert",HR_Data[[#This Row],[Experience]]&gt;=8,"Senior",HR_Data[[#This Row],[Experience]]&gt;=3,"Mid-Level",TRUE(),"Junior")</f>
        <v>Mid-Level</v>
      </c>
    </row>
    <row r="850" spans="1:22" ht="14.25" customHeight="1" x14ac:dyDescent="0.3">
      <c r="A850" t="s">
        <v>1870</v>
      </c>
      <c r="B850" t="s">
        <v>210</v>
      </c>
      <c r="C850" t="s">
        <v>40</v>
      </c>
      <c r="D850" t="s">
        <v>25</v>
      </c>
      <c r="E850">
        <v>36</v>
      </c>
      <c r="F850">
        <v>77734</v>
      </c>
      <c r="G850">
        <v>16</v>
      </c>
      <c r="H850" t="s">
        <v>1871</v>
      </c>
      <c r="I850" t="s">
        <v>132</v>
      </c>
      <c r="J850" t="s">
        <v>63</v>
      </c>
      <c r="K850" t="s">
        <v>29</v>
      </c>
      <c r="L850" t="str">
        <f t="array" ref="L850">_xlfn.IFS(HR_Data[[#This Row],[Experience]]&lt;2,"0-2 Years",HR_Data[[#This Row],[Experience]]&lt;5,"2-5 Years",HR_Data[[#This Row],[Experience]]&lt;10,"5-10 Years",TRUE(),"10+ Years")</f>
        <v>10+ Years</v>
      </c>
      <c r="M850" t="str">
        <f t="array" ref="M850">_xlfn.IFS(HR_Data[[#This Row],[Salary]]&lt;40000,"Low",HR_Data[[#This Row],[Salary]]&lt;70000,"Medium",HR_Data[[#This Row],[Salary]]&lt;100000,"High",TRUE(),"Very High")</f>
        <v>High</v>
      </c>
      <c r="N850" t="str">
        <f t="array" ref="N850">_xlfn.IFS(HR_Data[[#This Row],[Age]]&lt;25,"18-24",HR_Data[[#This Row],[Age]]&lt;35,"25-34",HR_Data[[#This Row],[Age]]&lt;45,"35-44",TRUE(),"45+")</f>
        <v>35-44</v>
      </c>
      <c r="O850">
        <f>YEAR(HR_Data[[#This Row],[Joining Date]])</f>
        <v>2016</v>
      </c>
      <c r="P850" t="str">
        <f>TEXT(HR_Data[[#This Row],[Joining Date]],"mmmm")</f>
        <v>December</v>
      </c>
      <c r="Q850">
        <f t="array" ref="Q850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850">
        <f>HR_Data[[#This Row],[Salary]]*HR_Data[[#This Row],[Bonus %]]</f>
        <v>15546.800000000001</v>
      </c>
      <c r="S850">
        <f>HR_Data[[#This Row],[Salary]]+HR_Data[[#This Row],[Bonus Amount]]</f>
        <v>93280.8</v>
      </c>
      <c r="T850" t="str">
        <f>IF(HR_Data[[#This Row],[Attrition]]="Yes","Inactive","Active")</f>
        <v>Active</v>
      </c>
      <c r="U850" t="str">
        <f t="array" ref="U850">_xlfn.IFS(HR_Data[[#This Row],[Salary]]&gt;=100000,"A",HR_Data[[#This Row],[Salary]]&gt;=70000,"B",HR_Data[[#This Row],[Salary]]&gt;=50000,"C",TRUE(),"D")</f>
        <v>B</v>
      </c>
      <c r="V850" t="str">
        <f t="array" ref="V850">_xlfn.IFS(HR_Data[[#This Row],[Experience]]&gt;=15,"Expert",HR_Data[[#This Row],[Experience]]&gt;=8,"Senior",HR_Data[[#This Row],[Experience]]&gt;=3,"Mid-Level",TRUE(),"Junior")</f>
        <v>Expert</v>
      </c>
    </row>
    <row r="851" spans="1:22" ht="14.25" customHeight="1" x14ac:dyDescent="0.3">
      <c r="A851" t="s">
        <v>1872</v>
      </c>
      <c r="B851" t="s">
        <v>111</v>
      </c>
      <c r="C851" t="s">
        <v>32</v>
      </c>
      <c r="D851" t="s">
        <v>25</v>
      </c>
      <c r="E851">
        <v>45</v>
      </c>
      <c r="F851">
        <v>99904</v>
      </c>
      <c r="G851">
        <v>20</v>
      </c>
      <c r="H851" t="s">
        <v>1873</v>
      </c>
      <c r="I851" t="s">
        <v>67</v>
      </c>
      <c r="J851" t="s">
        <v>28</v>
      </c>
      <c r="K851" t="s">
        <v>29</v>
      </c>
      <c r="L851" t="str">
        <f t="array" ref="L851">_xlfn.IFS(HR_Data[[#This Row],[Experience]]&lt;2,"0-2 Years",HR_Data[[#This Row],[Experience]]&lt;5,"2-5 Years",HR_Data[[#This Row],[Experience]]&lt;10,"5-10 Years",TRUE(),"10+ Years")</f>
        <v>10+ Years</v>
      </c>
      <c r="M851" t="str">
        <f t="array" ref="M851">_xlfn.IFS(HR_Data[[#This Row],[Salary]]&lt;40000,"Low",HR_Data[[#This Row],[Salary]]&lt;70000,"Medium",HR_Data[[#This Row],[Salary]]&lt;100000,"High",TRUE(),"Very High")</f>
        <v>High</v>
      </c>
      <c r="N851" t="str">
        <f t="array" ref="N851">_xlfn.IFS(HR_Data[[#This Row],[Age]]&lt;25,"18-24",HR_Data[[#This Row],[Age]]&lt;35,"25-34",HR_Data[[#This Row],[Age]]&lt;45,"35-44",TRUE(),"45+")</f>
        <v>45+</v>
      </c>
      <c r="O851">
        <f>YEAR(HR_Data[[#This Row],[Joining Date]])</f>
        <v>2015</v>
      </c>
      <c r="P851" t="str">
        <f>TEXT(HR_Data[[#This Row],[Joining Date]],"mmmm")</f>
        <v>January</v>
      </c>
      <c r="Q851">
        <f t="array" ref="Q851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51">
        <f>HR_Data[[#This Row],[Salary]]*HR_Data[[#This Row],[Bonus %]]</f>
        <v>14985.599999999999</v>
      </c>
      <c r="S851">
        <f>HR_Data[[#This Row],[Salary]]+HR_Data[[#This Row],[Bonus Amount]]</f>
        <v>114889.60000000001</v>
      </c>
      <c r="T851" t="str">
        <f>IF(HR_Data[[#This Row],[Attrition]]="Yes","Inactive","Active")</f>
        <v>Active</v>
      </c>
      <c r="U851" t="str">
        <f t="array" ref="U851">_xlfn.IFS(HR_Data[[#This Row],[Salary]]&gt;=100000,"A",HR_Data[[#This Row],[Salary]]&gt;=70000,"B",HR_Data[[#This Row],[Salary]]&gt;=50000,"C",TRUE(),"D")</f>
        <v>B</v>
      </c>
      <c r="V851" t="str">
        <f t="array" ref="V851">_xlfn.IFS(HR_Data[[#This Row],[Experience]]&gt;=15,"Expert",HR_Data[[#This Row],[Experience]]&gt;=8,"Senior",HR_Data[[#This Row],[Experience]]&gt;=3,"Mid-Level",TRUE(),"Junior")</f>
        <v>Expert</v>
      </c>
    </row>
    <row r="852" spans="1:22" ht="14.25" customHeight="1" x14ac:dyDescent="0.3">
      <c r="A852" t="s">
        <v>1874</v>
      </c>
      <c r="B852" t="s">
        <v>1426</v>
      </c>
      <c r="C852" t="s">
        <v>70</v>
      </c>
      <c r="D852" t="s">
        <v>25</v>
      </c>
      <c r="E852">
        <v>35</v>
      </c>
      <c r="F852">
        <v>62313</v>
      </c>
      <c r="G852">
        <v>8</v>
      </c>
      <c r="H852" t="s">
        <v>1431</v>
      </c>
      <c r="I852" t="s">
        <v>57</v>
      </c>
      <c r="J852" t="s">
        <v>63</v>
      </c>
      <c r="K852" t="s">
        <v>37</v>
      </c>
      <c r="L852" t="str">
        <f t="array" ref="L852">_xlfn.IFS(HR_Data[[#This Row],[Experience]]&lt;2,"0-2 Years",HR_Data[[#This Row],[Experience]]&lt;5,"2-5 Years",HR_Data[[#This Row],[Experience]]&lt;10,"5-10 Years",TRUE(),"10+ Years")</f>
        <v>5-10 Years</v>
      </c>
      <c r="M852" t="str">
        <f t="array" ref="M852">_xlfn.IFS(HR_Data[[#This Row],[Salary]]&lt;40000,"Low",HR_Data[[#This Row],[Salary]]&lt;70000,"Medium",HR_Data[[#This Row],[Salary]]&lt;100000,"High",TRUE(),"Very High")</f>
        <v>Medium</v>
      </c>
      <c r="N852" t="str">
        <f t="array" ref="N852">_xlfn.IFS(HR_Data[[#This Row],[Age]]&lt;25,"18-24",HR_Data[[#This Row],[Age]]&lt;35,"25-34",HR_Data[[#This Row],[Age]]&lt;45,"35-44",TRUE(),"45+")</f>
        <v>35-44</v>
      </c>
      <c r="O852">
        <f>YEAR(HR_Data[[#This Row],[Joining Date]])</f>
        <v>2019</v>
      </c>
      <c r="P852" t="str">
        <f>TEXT(HR_Data[[#This Row],[Joining Date]],"mmmm")</f>
        <v>December</v>
      </c>
      <c r="Q852">
        <f t="array" ref="Q852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852">
        <f>HR_Data[[#This Row],[Salary]]*HR_Data[[#This Row],[Bonus %]]</f>
        <v>12462.6</v>
      </c>
      <c r="S852">
        <f>HR_Data[[#This Row],[Salary]]+HR_Data[[#This Row],[Bonus Amount]]</f>
        <v>74775.600000000006</v>
      </c>
      <c r="T852" t="str">
        <f>IF(HR_Data[[#This Row],[Attrition]]="Yes","Inactive","Active")</f>
        <v>Inactive</v>
      </c>
      <c r="U852" t="str">
        <f t="array" ref="U852">_xlfn.IFS(HR_Data[[#This Row],[Salary]]&gt;=100000,"A",HR_Data[[#This Row],[Salary]]&gt;=70000,"B",HR_Data[[#This Row],[Salary]]&gt;=50000,"C",TRUE(),"D")</f>
        <v>C</v>
      </c>
      <c r="V852" t="str">
        <f t="array" ref="V852">_xlfn.IFS(HR_Data[[#This Row],[Experience]]&gt;=15,"Expert",HR_Data[[#This Row],[Experience]]&gt;=8,"Senior",HR_Data[[#This Row],[Experience]]&gt;=3,"Mid-Level",TRUE(),"Junior")</f>
        <v>Senior</v>
      </c>
    </row>
    <row r="853" spans="1:22" ht="14.25" customHeight="1" x14ac:dyDescent="0.3">
      <c r="A853" t="s">
        <v>1875</v>
      </c>
      <c r="B853" t="s">
        <v>864</v>
      </c>
      <c r="C853" t="s">
        <v>55</v>
      </c>
      <c r="D853" t="s">
        <v>25</v>
      </c>
      <c r="E853">
        <v>60</v>
      </c>
      <c r="F853">
        <v>131135</v>
      </c>
      <c r="G853">
        <v>31</v>
      </c>
      <c r="H853" t="s">
        <v>1876</v>
      </c>
      <c r="I853" t="s">
        <v>45</v>
      </c>
      <c r="J853" t="s">
        <v>36</v>
      </c>
      <c r="K853" t="s">
        <v>29</v>
      </c>
      <c r="L853" t="str">
        <f t="array" ref="L853">_xlfn.IFS(HR_Data[[#This Row],[Experience]]&lt;2,"0-2 Years",HR_Data[[#This Row],[Experience]]&lt;5,"2-5 Years",HR_Data[[#This Row],[Experience]]&lt;10,"5-10 Years",TRUE(),"10+ Years")</f>
        <v>10+ Years</v>
      </c>
      <c r="M853" t="str">
        <f t="array" ref="M853">_xlfn.IFS(HR_Data[[#This Row],[Salary]]&lt;40000,"Low",HR_Data[[#This Row],[Salary]]&lt;70000,"Medium",HR_Data[[#This Row],[Salary]]&lt;100000,"High",TRUE(),"Very High")</f>
        <v>Very High</v>
      </c>
      <c r="N853" t="str">
        <f t="array" ref="N853">_xlfn.IFS(HR_Data[[#This Row],[Age]]&lt;25,"18-24",HR_Data[[#This Row],[Age]]&lt;35,"25-34",HR_Data[[#This Row],[Age]]&lt;45,"35-44",TRUE(),"45+")</f>
        <v>45+</v>
      </c>
      <c r="O853">
        <f>YEAR(HR_Data[[#This Row],[Joining Date]])</f>
        <v>2018</v>
      </c>
      <c r="P853" t="str">
        <f>TEXT(HR_Data[[#This Row],[Joining Date]],"mmmm")</f>
        <v>April</v>
      </c>
      <c r="Q853">
        <f t="array" ref="Q853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53">
        <f>HR_Data[[#This Row],[Salary]]*HR_Data[[#This Row],[Bonus %]]</f>
        <v>13113.5</v>
      </c>
      <c r="S853">
        <f>HR_Data[[#This Row],[Salary]]+HR_Data[[#This Row],[Bonus Amount]]</f>
        <v>144248.5</v>
      </c>
      <c r="T853" t="str">
        <f>IF(HR_Data[[#This Row],[Attrition]]="Yes","Inactive","Active")</f>
        <v>Active</v>
      </c>
      <c r="U853" t="str">
        <f t="array" ref="U853">_xlfn.IFS(HR_Data[[#This Row],[Salary]]&gt;=100000,"A",HR_Data[[#This Row],[Salary]]&gt;=70000,"B",HR_Data[[#This Row],[Salary]]&gt;=50000,"C",TRUE(),"D")</f>
        <v>A</v>
      </c>
      <c r="V853" t="str">
        <f t="array" ref="V853">_xlfn.IFS(HR_Data[[#This Row],[Experience]]&gt;=15,"Expert",HR_Data[[#This Row],[Experience]]&gt;=8,"Senior",HR_Data[[#This Row],[Experience]]&gt;=3,"Mid-Level",TRUE(),"Junior")</f>
        <v>Expert</v>
      </c>
    </row>
    <row r="854" spans="1:22" ht="14.25" customHeight="1" x14ac:dyDescent="0.3">
      <c r="A854" t="s">
        <v>1877</v>
      </c>
      <c r="B854" t="s">
        <v>166</v>
      </c>
      <c r="C854" t="s">
        <v>112</v>
      </c>
      <c r="D854" t="s">
        <v>25</v>
      </c>
      <c r="E854">
        <v>30</v>
      </c>
      <c r="F854">
        <v>58207</v>
      </c>
      <c r="G854">
        <v>7</v>
      </c>
      <c r="H854" t="s">
        <v>1878</v>
      </c>
      <c r="I854" t="s">
        <v>132</v>
      </c>
      <c r="J854" t="s">
        <v>36</v>
      </c>
      <c r="K854" t="s">
        <v>29</v>
      </c>
      <c r="L854" t="str">
        <f t="array" ref="L854">_xlfn.IFS(HR_Data[[#This Row],[Experience]]&lt;2,"0-2 Years",HR_Data[[#This Row],[Experience]]&lt;5,"2-5 Years",HR_Data[[#This Row],[Experience]]&lt;10,"5-10 Years",TRUE(),"10+ Years")</f>
        <v>5-10 Years</v>
      </c>
      <c r="M854" t="str">
        <f t="array" ref="M854">_xlfn.IFS(HR_Data[[#This Row],[Salary]]&lt;40000,"Low",HR_Data[[#This Row],[Salary]]&lt;70000,"Medium",HR_Data[[#This Row],[Salary]]&lt;100000,"High",TRUE(),"Very High")</f>
        <v>Medium</v>
      </c>
      <c r="N854" t="str">
        <f t="array" ref="N854">_xlfn.IFS(HR_Data[[#This Row],[Age]]&lt;25,"18-24",HR_Data[[#This Row],[Age]]&lt;35,"25-34",HR_Data[[#This Row],[Age]]&lt;45,"35-44",TRUE(),"45+")</f>
        <v>25-34</v>
      </c>
      <c r="O854">
        <f>YEAR(HR_Data[[#This Row],[Joining Date]])</f>
        <v>2025</v>
      </c>
      <c r="P854" t="str">
        <f>TEXT(HR_Data[[#This Row],[Joining Date]],"mmmm")</f>
        <v>September</v>
      </c>
      <c r="Q854">
        <f t="array" ref="Q854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54">
        <f>HR_Data[[#This Row],[Salary]]*HR_Data[[#This Row],[Bonus %]]</f>
        <v>5820.7000000000007</v>
      </c>
      <c r="S854">
        <f>HR_Data[[#This Row],[Salary]]+HR_Data[[#This Row],[Bonus Amount]]</f>
        <v>64027.7</v>
      </c>
      <c r="T854" t="str">
        <f>IF(HR_Data[[#This Row],[Attrition]]="Yes","Inactive","Active")</f>
        <v>Active</v>
      </c>
      <c r="U854" t="str">
        <f t="array" ref="U854">_xlfn.IFS(HR_Data[[#This Row],[Salary]]&gt;=100000,"A",HR_Data[[#This Row],[Salary]]&gt;=70000,"B",HR_Data[[#This Row],[Salary]]&gt;=50000,"C",TRUE(),"D")</f>
        <v>C</v>
      </c>
      <c r="V854" t="str">
        <f t="array" ref="V854">_xlfn.IFS(HR_Data[[#This Row],[Experience]]&gt;=15,"Expert",HR_Data[[#This Row],[Experience]]&gt;=8,"Senior",HR_Data[[#This Row],[Experience]]&gt;=3,"Mid-Level",TRUE(),"Junior")</f>
        <v>Mid-Level</v>
      </c>
    </row>
    <row r="855" spans="1:22" ht="14.25" customHeight="1" x14ac:dyDescent="0.3">
      <c r="A855" t="s">
        <v>1879</v>
      </c>
      <c r="B855" t="s">
        <v>1540</v>
      </c>
      <c r="C855" t="s">
        <v>134</v>
      </c>
      <c r="D855" t="s">
        <v>33</v>
      </c>
      <c r="E855">
        <v>43</v>
      </c>
      <c r="F855">
        <v>65975</v>
      </c>
      <c r="G855">
        <v>13</v>
      </c>
      <c r="H855" t="s">
        <v>1880</v>
      </c>
      <c r="I855" t="s">
        <v>27</v>
      </c>
      <c r="J855" t="s">
        <v>46</v>
      </c>
      <c r="K855" t="s">
        <v>29</v>
      </c>
      <c r="L855" t="str">
        <f t="array" ref="L855">_xlfn.IFS(HR_Data[[#This Row],[Experience]]&lt;2,"0-2 Years",HR_Data[[#This Row],[Experience]]&lt;5,"2-5 Years",HR_Data[[#This Row],[Experience]]&lt;10,"5-10 Years",TRUE(),"10+ Years")</f>
        <v>10+ Years</v>
      </c>
      <c r="M855" t="str">
        <f t="array" ref="M855">_xlfn.IFS(HR_Data[[#This Row],[Salary]]&lt;40000,"Low",HR_Data[[#This Row],[Salary]]&lt;70000,"Medium",HR_Data[[#This Row],[Salary]]&lt;100000,"High",TRUE(),"Very High")</f>
        <v>Medium</v>
      </c>
      <c r="N855" t="str">
        <f t="array" ref="N855">_xlfn.IFS(HR_Data[[#This Row],[Age]]&lt;25,"18-24",HR_Data[[#This Row],[Age]]&lt;35,"25-34",HR_Data[[#This Row],[Age]]&lt;45,"35-44",TRUE(),"45+")</f>
        <v>35-44</v>
      </c>
      <c r="O855">
        <f>YEAR(HR_Data[[#This Row],[Joining Date]])</f>
        <v>2016</v>
      </c>
      <c r="P855" t="str">
        <f>TEXT(HR_Data[[#This Row],[Joining Date]],"mmmm")</f>
        <v>March</v>
      </c>
      <c r="Q855">
        <f t="array" ref="Q855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855">
        <f>HR_Data[[#This Row],[Salary]]*HR_Data[[#This Row],[Bonus %]]</f>
        <v>3298.75</v>
      </c>
      <c r="S855">
        <f>HR_Data[[#This Row],[Salary]]+HR_Data[[#This Row],[Bonus Amount]]</f>
        <v>69273.75</v>
      </c>
      <c r="T855" t="str">
        <f>IF(HR_Data[[#This Row],[Attrition]]="Yes","Inactive","Active")</f>
        <v>Active</v>
      </c>
      <c r="U855" t="str">
        <f t="array" ref="U855">_xlfn.IFS(HR_Data[[#This Row],[Salary]]&gt;=100000,"A",HR_Data[[#This Row],[Salary]]&gt;=70000,"B",HR_Data[[#This Row],[Salary]]&gt;=50000,"C",TRUE(),"D")</f>
        <v>C</v>
      </c>
      <c r="V855" t="str">
        <f t="array" ref="V855">_xlfn.IFS(HR_Data[[#This Row],[Experience]]&gt;=15,"Expert",HR_Data[[#This Row],[Experience]]&gt;=8,"Senior",HR_Data[[#This Row],[Experience]]&gt;=3,"Mid-Level",TRUE(),"Junior")</f>
        <v>Senior</v>
      </c>
    </row>
    <row r="856" spans="1:22" ht="14.25" customHeight="1" x14ac:dyDescent="0.3">
      <c r="A856" t="s">
        <v>1881</v>
      </c>
      <c r="B856" t="s">
        <v>409</v>
      </c>
      <c r="C856" t="s">
        <v>40</v>
      </c>
      <c r="D856" t="s">
        <v>25</v>
      </c>
      <c r="E856">
        <v>60</v>
      </c>
      <c r="F856">
        <v>140056</v>
      </c>
      <c r="G856">
        <v>35</v>
      </c>
      <c r="H856" t="s">
        <v>1882</v>
      </c>
      <c r="I856" t="s">
        <v>80</v>
      </c>
      <c r="J856" t="s">
        <v>36</v>
      </c>
      <c r="K856" t="s">
        <v>29</v>
      </c>
      <c r="L856" t="str">
        <f t="array" ref="L856">_xlfn.IFS(HR_Data[[#This Row],[Experience]]&lt;2,"0-2 Years",HR_Data[[#This Row],[Experience]]&lt;5,"2-5 Years",HR_Data[[#This Row],[Experience]]&lt;10,"5-10 Years",TRUE(),"10+ Years")</f>
        <v>10+ Years</v>
      </c>
      <c r="M856" t="str">
        <f t="array" ref="M856">_xlfn.IFS(HR_Data[[#This Row],[Salary]]&lt;40000,"Low",HR_Data[[#This Row],[Salary]]&lt;70000,"Medium",HR_Data[[#This Row],[Salary]]&lt;100000,"High",TRUE(),"Very High")</f>
        <v>Very High</v>
      </c>
      <c r="N856" t="str">
        <f t="array" ref="N856">_xlfn.IFS(HR_Data[[#This Row],[Age]]&lt;25,"18-24",HR_Data[[#This Row],[Age]]&lt;35,"25-34",HR_Data[[#This Row],[Age]]&lt;45,"35-44",TRUE(),"45+")</f>
        <v>45+</v>
      </c>
      <c r="O856">
        <f>YEAR(HR_Data[[#This Row],[Joining Date]])</f>
        <v>2024</v>
      </c>
      <c r="P856" t="str">
        <f>TEXT(HR_Data[[#This Row],[Joining Date]],"mmmm")</f>
        <v>June</v>
      </c>
      <c r="Q856">
        <f t="array" ref="Q85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56">
        <f>HR_Data[[#This Row],[Salary]]*HR_Data[[#This Row],[Bonus %]]</f>
        <v>14005.6</v>
      </c>
      <c r="S856">
        <f>HR_Data[[#This Row],[Salary]]+HR_Data[[#This Row],[Bonus Amount]]</f>
        <v>154061.6</v>
      </c>
      <c r="T856" t="str">
        <f>IF(HR_Data[[#This Row],[Attrition]]="Yes","Inactive","Active")</f>
        <v>Active</v>
      </c>
      <c r="U856" t="str">
        <f t="array" ref="U856">_xlfn.IFS(HR_Data[[#This Row],[Salary]]&gt;=100000,"A",HR_Data[[#This Row],[Salary]]&gt;=70000,"B",HR_Data[[#This Row],[Salary]]&gt;=50000,"C",TRUE(),"D")</f>
        <v>A</v>
      </c>
      <c r="V856" t="str">
        <f t="array" ref="V856">_xlfn.IFS(HR_Data[[#This Row],[Experience]]&gt;=15,"Expert",HR_Data[[#This Row],[Experience]]&gt;=8,"Senior",HR_Data[[#This Row],[Experience]]&gt;=3,"Mid-Level",TRUE(),"Junior")</f>
        <v>Expert</v>
      </c>
    </row>
    <row r="857" spans="1:22" ht="14.25" customHeight="1" x14ac:dyDescent="0.3">
      <c r="A857" t="s">
        <v>1883</v>
      </c>
      <c r="B857" t="s">
        <v>193</v>
      </c>
      <c r="C857" t="s">
        <v>134</v>
      </c>
      <c r="D857" t="s">
        <v>25</v>
      </c>
      <c r="E857">
        <v>42</v>
      </c>
      <c r="F857">
        <v>73357</v>
      </c>
      <c r="G857">
        <v>12</v>
      </c>
      <c r="H857" t="s">
        <v>1074</v>
      </c>
      <c r="I857" t="s">
        <v>132</v>
      </c>
      <c r="J857" t="s">
        <v>63</v>
      </c>
      <c r="K857" t="s">
        <v>29</v>
      </c>
      <c r="L857" t="str">
        <f t="array" ref="L857">_xlfn.IFS(HR_Data[[#This Row],[Experience]]&lt;2,"0-2 Years",HR_Data[[#This Row],[Experience]]&lt;5,"2-5 Years",HR_Data[[#This Row],[Experience]]&lt;10,"5-10 Years",TRUE(),"10+ Years")</f>
        <v>10+ Years</v>
      </c>
      <c r="M857" t="str">
        <f t="array" ref="M857">_xlfn.IFS(HR_Data[[#This Row],[Salary]]&lt;40000,"Low",HR_Data[[#This Row],[Salary]]&lt;70000,"Medium",HR_Data[[#This Row],[Salary]]&lt;100000,"High",TRUE(),"Very High")</f>
        <v>High</v>
      </c>
      <c r="N857" t="str">
        <f t="array" ref="N857">_xlfn.IFS(HR_Data[[#This Row],[Age]]&lt;25,"18-24",HR_Data[[#This Row],[Age]]&lt;35,"25-34",HR_Data[[#This Row],[Age]]&lt;45,"35-44",TRUE(),"45+")</f>
        <v>35-44</v>
      </c>
      <c r="O857">
        <f>YEAR(HR_Data[[#This Row],[Joining Date]])</f>
        <v>2023</v>
      </c>
      <c r="P857" t="str">
        <f>TEXT(HR_Data[[#This Row],[Joining Date]],"mmmm")</f>
        <v>October</v>
      </c>
      <c r="Q857">
        <f t="array" ref="Q857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857">
        <f>HR_Data[[#This Row],[Salary]]*HR_Data[[#This Row],[Bonus %]]</f>
        <v>14671.400000000001</v>
      </c>
      <c r="S857">
        <f>HR_Data[[#This Row],[Salary]]+HR_Data[[#This Row],[Bonus Amount]]</f>
        <v>88028.4</v>
      </c>
      <c r="T857" t="str">
        <f>IF(HR_Data[[#This Row],[Attrition]]="Yes","Inactive","Active")</f>
        <v>Active</v>
      </c>
      <c r="U857" t="str">
        <f t="array" ref="U857">_xlfn.IFS(HR_Data[[#This Row],[Salary]]&gt;=100000,"A",HR_Data[[#This Row],[Salary]]&gt;=70000,"B",HR_Data[[#This Row],[Salary]]&gt;=50000,"C",TRUE(),"D")</f>
        <v>B</v>
      </c>
      <c r="V857" t="str">
        <f t="array" ref="V857">_xlfn.IFS(HR_Data[[#This Row],[Experience]]&gt;=15,"Expert",HR_Data[[#This Row],[Experience]]&gt;=8,"Senior",HR_Data[[#This Row],[Experience]]&gt;=3,"Mid-Level",TRUE(),"Junior")</f>
        <v>Senior</v>
      </c>
    </row>
    <row r="858" spans="1:22" ht="14.25" customHeight="1" x14ac:dyDescent="0.3">
      <c r="A858" t="s">
        <v>1884</v>
      </c>
      <c r="B858" t="s">
        <v>454</v>
      </c>
      <c r="C858" t="s">
        <v>55</v>
      </c>
      <c r="D858" t="s">
        <v>33</v>
      </c>
      <c r="E858">
        <v>34</v>
      </c>
      <c r="F858">
        <v>58408</v>
      </c>
      <c r="G858">
        <v>8</v>
      </c>
      <c r="H858" t="s">
        <v>1885</v>
      </c>
      <c r="I858" t="s">
        <v>132</v>
      </c>
      <c r="J858" t="s">
        <v>46</v>
      </c>
      <c r="K858" t="s">
        <v>29</v>
      </c>
      <c r="L858" t="str">
        <f t="array" ref="L858">_xlfn.IFS(HR_Data[[#This Row],[Experience]]&lt;2,"0-2 Years",HR_Data[[#This Row],[Experience]]&lt;5,"2-5 Years",HR_Data[[#This Row],[Experience]]&lt;10,"5-10 Years",TRUE(),"10+ Years")</f>
        <v>5-10 Years</v>
      </c>
      <c r="M858" t="str">
        <f t="array" ref="M858">_xlfn.IFS(HR_Data[[#This Row],[Salary]]&lt;40000,"Low",HR_Data[[#This Row],[Salary]]&lt;70000,"Medium",HR_Data[[#This Row],[Salary]]&lt;100000,"High",TRUE(),"Very High")</f>
        <v>Medium</v>
      </c>
      <c r="N858" t="str">
        <f t="array" ref="N858">_xlfn.IFS(HR_Data[[#This Row],[Age]]&lt;25,"18-24",HR_Data[[#This Row],[Age]]&lt;35,"25-34",HR_Data[[#This Row],[Age]]&lt;45,"35-44",TRUE(),"45+")</f>
        <v>25-34</v>
      </c>
      <c r="O858">
        <f>YEAR(HR_Data[[#This Row],[Joining Date]])</f>
        <v>2021</v>
      </c>
      <c r="P858" t="str">
        <f>TEXT(HR_Data[[#This Row],[Joining Date]],"mmmm")</f>
        <v>July</v>
      </c>
      <c r="Q858">
        <f t="array" ref="Q858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858">
        <f>HR_Data[[#This Row],[Salary]]*HR_Data[[#This Row],[Bonus %]]</f>
        <v>2920.4</v>
      </c>
      <c r="S858">
        <f>HR_Data[[#This Row],[Salary]]+HR_Data[[#This Row],[Bonus Amount]]</f>
        <v>61328.4</v>
      </c>
      <c r="T858" t="str">
        <f>IF(HR_Data[[#This Row],[Attrition]]="Yes","Inactive","Active")</f>
        <v>Active</v>
      </c>
      <c r="U858" t="str">
        <f t="array" ref="U858">_xlfn.IFS(HR_Data[[#This Row],[Salary]]&gt;=100000,"A",HR_Data[[#This Row],[Salary]]&gt;=70000,"B",HR_Data[[#This Row],[Salary]]&gt;=50000,"C",TRUE(),"D")</f>
        <v>C</v>
      </c>
      <c r="V858" t="str">
        <f t="array" ref="V858">_xlfn.IFS(HR_Data[[#This Row],[Experience]]&gt;=15,"Expert",HR_Data[[#This Row],[Experience]]&gt;=8,"Senior",HR_Data[[#This Row],[Experience]]&gt;=3,"Mid-Level",TRUE(),"Junior")</f>
        <v>Senior</v>
      </c>
    </row>
    <row r="859" spans="1:22" ht="14.25" customHeight="1" x14ac:dyDescent="0.3">
      <c r="A859" t="s">
        <v>1886</v>
      </c>
      <c r="B859" t="s">
        <v>551</v>
      </c>
      <c r="C859" t="s">
        <v>40</v>
      </c>
      <c r="D859" t="s">
        <v>25</v>
      </c>
      <c r="E859">
        <v>49</v>
      </c>
      <c r="F859">
        <v>99312</v>
      </c>
      <c r="G859">
        <v>24</v>
      </c>
      <c r="H859" t="s">
        <v>1887</v>
      </c>
      <c r="I859" t="s">
        <v>72</v>
      </c>
      <c r="J859" t="s">
        <v>63</v>
      </c>
      <c r="K859" t="s">
        <v>29</v>
      </c>
      <c r="L859" t="str">
        <f t="array" ref="L859">_xlfn.IFS(HR_Data[[#This Row],[Experience]]&lt;2,"0-2 Years",HR_Data[[#This Row],[Experience]]&lt;5,"2-5 Years",HR_Data[[#This Row],[Experience]]&lt;10,"5-10 Years",TRUE(),"10+ Years")</f>
        <v>10+ Years</v>
      </c>
      <c r="M859" t="str">
        <f t="array" ref="M859">_xlfn.IFS(HR_Data[[#This Row],[Salary]]&lt;40000,"Low",HR_Data[[#This Row],[Salary]]&lt;70000,"Medium",HR_Data[[#This Row],[Salary]]&lt;100000,"High",TRUE(),"Very High")</f>
        <v>High</v>
      </c>
      <c r="N859" t="str">
        <f t="array" ref="N859">_xlfn.IFS(HR_Data[[#This Row],[Age]]&lt;25,"18-24",HR_Data[[#This Row],[Age]]&lt;35,"25-34",HR_Data[[#This Row],[Age]]&lt;45,"35-44",TRUE(),"45+")</f>
        <v>45+</v>
      </c>
      <c r="O859">
        <f>YEAR(HR_Data[[#This Row],[Joining Date]])</f>
        <v>2016</v>
      </c>
      <c r="P859" t="str">
        <f>TEXT(HR_Data[[#This Row],[Joining Date]],"mmmm")</f>
        <v>April</v>
      </c>
      <c r="Q859">
        <f t="array" ref="Q859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859">
        <f>HR_Data[[#This Row],[Salary]]*HR_Data[[#This Row],[Bonus %]]</f>
        <v>19862.400000000001</v>
      </c>
      <c r="S859">
        <f>HR_Data[[#This Row],[Salary]]+HR_Data[[#This Row],[Bonus Amount]]</f>
        <v>119174.39999999999</v>
      </c>
      <c r="T859" t="str">
        <f>IF(HR_Data[[#This Row],[Attrition]]="Yes","Inactive","Active")</f>
        <v>Active</v>
      </c>
      <c r="U859" t="str">
        <f t="array" ref="U859">_xlfn.IFS(HR_Data[[#This Row],[Salary]]&gt;=100000,"A",HR_Data[[#This Row],[Salary]]&gt;=70000,"B",HR_Data[[#This Row],[Salary]]&gt;=50000,"C",TRUE(),"D")</f>
        <v>B</v>
      </c>
      <c r="V859" t="str">
        <f t="array" ref="V859">_xlfn.IFS(HR_Data[[#This Row],[Experience]]&gt;=15,"Expert",HR_Data[[#This Row],[Experience]]&gt;=8,"Senior",HR_Data[[#This Row],[Experience]]&gt;=3,"Mid-Level",TRUE(),"Junior")</f>
        <v>Expert</v>
      </c>
    </row>
    <row r="860" spans="1:22" ht="14.25" customHeight="1" x14ac:dyDescent="0.3">
      <c r="A860" t="s">
        <v>1888</v>
      </c>
      <c r="B860" t="s">
        <v>322</v>
      </c>
      <c r="C860" t="s">
        <v>24</v>
      </c>
      <c r="D860" t="s">
        <v>33</v>
      </c>
      <c r="E860">
        <v>48</v>
      </c>
      <c r="F860">
        <v>116638</v>
      </c>
      <c r="G860">
        <v>27</v>
      </c>
      <c r="H860" t="s">
        <v>1889</v>
      </c>
      <c r="I860" t="s">
        <v>62</v>
      </c>
      <c r="J860" t="s">
        <v>63</v>
      </c>
      <c r="K860" t="s">
        <v>29</v>
      </c>
      <c r="L860" t="str">
        <f t="array" ref="L860">_xlfn.IFS(HR_Data[[#This Row],[Experience]]&lt;2,"0-2 Years",HR_Data[[#This Row],[Experience]]&lt;5,"2-5 Years",HR_Data[[#This Row],[Experience]]&lt;10,"5-10 Years",TRUE(),"10+ Years")</f>
        <v>10+ Years</v>
      </c>
      <c r="M860" t="str">
        <f t="array" ref="M860">_xlfn.IFS(HR_Data[[#This Row],[Salary]]&lt;40000,"Low",HR_Data[[#This Row],[Salary]]&lt;70000,"Medium",HR_Data[[#This Row],[Salary]]&lt;100000,"High",TRUE(),"Very High")</f>
        <v>Very High</v>
      </c>
      <c r="N860" t="str">
        <f t="array" ref="N860">_xlfn.IFS(HR_Data[[#This Row],[Age]]&lt;25,"18-24",HR_Data[[#This Row],[Age]]&lt;35,"25-34",HR_Data[[#This Row],[Age]]&lt;45,"35-44",TRUE(),"45+")</f>
        <v>45+</v>
      </c>
      <c r="O860">
        <f>YEAR(HR_Data[[#This Row],[Joining Date]])</f>
        <v>2020</v>
      </c>
      <c r="P860" t="str">
        <f>TEXT(HR_Data[[#This Row],[Joining Date]],"mmmm")</f>
        <v>June</v>
      </c>
      <c r="Q860">
        <f t="array" ref="Q860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860">
        <f>HR_Data[[#This Row],[Salary]]*HR_Data[[#This Row],[Bonus %]]</f>
        <v>23327.600000000002</v>
      </c>
      <c r="S860">
        <f>HR_Data[[#This Row],[Salary]]+HR_Data[[#This Row],[Bonus Amount]]</f>
        <v>139965.6</v>
      </c>
      <c r="T860" t="str">
        <f>IF(HR_Data[[#This Row],[Attrition]]="Yes","Inactive","Active")</f>
        <v>Active</v>
      </c>
      <c r="U860" t="str">
        <f t="array" ref="U860">_xlfn.IFS(HR_Data[[#This Row],[Salary]]&gt;=100000,"A",HR_Data[[#This Row],[Salary]]&gt;=70000,"B",HR_Data[[#This Row],[Salary]]&gt;=50000,"C",TRUE(),"D")</f>
        <v>A</v>
      </c>
      <c r="V860" t="str">
        <f t="array" ref="V860">_xlfn.IFS(HR_Data[[#This Row],[Experience]]&gt;=15,"Expert",HR_Data[[#This Row],[Experience]]&gt;=8,"Senior",HR_Data[[#This Row],[Experience]]&gt;=3,"Mid-Level",TRUE(),"Junior")</f>
        <v>Expert</v>
      </c>
    </row>
    <row r="861" spans="1:22" ht="14.25" customHeight="1" x14ac:dyDescent="0.3">
      <c r="A861" t="s">
        <v>1890</v>
      </c>
      <c r="B861" t="s">
        <v>74</v>
      </c>
      <c r="C861" t="s">
        <v>40</v>
      </c>
      <c r="D861" t="s">
        <v>33</v>
      </c>
      <c r="E861">
        <v>31</v>
      </c>
      <c r="F861">
        <v>45520</v>
      </c>
      <c r="G861">
        <v>5</v>
      </c>
      <c r="H861" t="s">
        <v>1891</v>
      </c>
      <c r="I861" t="s">
        <v>42</v>
      </c>
      <c r="J861" t="s">
        <v>36</v>
      </c>
      <c r="K861" t="s">
        <v>29</v>
      </c>
      <c r="L861" t="str">
        <f t="array" ref="L861">_xlfn.IFS(HR_Data[[#This Row],[Experience]]&lt;2,"0-2 Years",HR_Data[[#This Row],[Experience]]&lt;5,"2-5 Years",HR_Data[[#This Row],[Experience]]&lt;10,"5-10 Years",TRUE(),"10+ Years")</f>
        <v>5-10 Years</v>
      </c>
      <c r="M861" t="str">
        <f t="array" ref="M861">_xlfn.IFS(HR_Data[[#This Row],[Salary]]&lt;40000,"Low",HR_Data[[#This Row],[Salary]]&lt;70000,"Medium",HR_Data[[#This Row],[Salary]]&lt;100000,"High",TRUE(),"Very High")</f>
        <v>Medium</v>
      </c>
      <c r="N861" t="str">
        <f t="array" ref="N861">_xlfn.IFS(HR_Data[[#This Row],[Age]]&lt;25,"18-24",HR_Data[[#This Row],[Age]]&lt;35,"25-34",HR_Data[[#This Row],[Age]]&lt;45,"35-44",TRUE(),"45+")</f>
        <v>25-34</v>
      </c>
      <c r="O861">
        <f>YEAR(HR_Data[[#This Row],[Joining Date]])</f>
        <v>2021</v>
      </c>
      <c r="P861" t="str">
        <f>TEXT(HR_Data[[#This Row],[Joining Date]],"mmmm")</f>
        <v>March</v>
      </c>
      <c r="Q861">
        <f t="array" ref="Q86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61">
        <f>HR_Data[[#This Row],[Salary]]*HR_Data[[#This Row],[Bonus %]]</f>
        <v>4552</v>
      </c>
      <c r="S861">
        <f>HR_Data[[#This Row],[Salary]]+HR_Data[[#This Row],[Bonus Amount]]</f>
        <v>50072</v>
      </c>
      <c r="T861" t="str">
        <f>IF(HR_Data[[#This Row],[Attrition]]="Yes","Inactive","Active")</f>
        <v>Active</v>
      </c>
      <c r="U861" t="str">
        <f t="array" ref="U861">_xlfn.IFS(HR_Data[[#This Row],[Salary]]&gt;=100000,"A",HR_Data[[#This Row],[Salary]]&gt;=70000,"B",HR_Data[[#This Row],[Salary]]&gt;=50000,"C",TRUE(),"D")</f>
        <v>D</v>
      </c>
      <c r="V861" t="str">
        <f t="array" ref="V861">_xlfn.IFS(HR_Data[[#This Row],[Experience]]&gt;=15,"Expert",HR_Data[[#This Row],[Experience]]&gt;=8,"Senior",HR_Data[[#This Row],[Experience]]&gt;=3,"Mid-Level",TRUE(),"Junior")</f>
        <v>Mid-Level</v>
      </c>
    </row>
    <row r="862" spans="1:22" ht="14.25" customHeight="1" x14ac:dyDescent="0.3">
      <c r="A862" t="s">
        <v>1892</v>
      </c>
      <c r="B862" t="s">
        <v>118</v>
      </c>
      <c r="C862" t="s">
        <v>134</v>
      </c>
      <c r="D862" t="s">
        <v>33</v>
      </c>
      <c r="E862">
        <v>60</v>
      </c>
      <c r="F862">
        <v>132903</v>
      </c>
      <c r="G862">
        <v>31</v>
      </c>
      <c r="H862" t="s">
        <v>532</v>
      </c>
      <c r="I862" t="s">
        <v>72</v>
      </c>
      <c r="J862" t="s">
        <v>63</v>
      </c>
      <c r="K862" t="s">
        <v>29</v>
      </c>
      <c r="L862" t="str">
        <f t="array" ref="L862">_xlfn.IFS(HR_Data[[#This Row],[Experience]]&lt;2,"0-2 Years",HR_Data[[#This Row],[Experience]]&lt;5,"2-5 Years",HR_Data[[#This Row],[Experience]]&lt;10,"5-10 Years",TRUE(),"10+ Years")</f>
        <v>10+ Years</v>
      </c>
      <c r="M862" t="str">
        <f t="array" ref="M862">_xlfn.IFS(HR_Data[[#This Row],[Salary]]&lt;40000,"Low",HR_Data[[#This Row],[Salary]]&lt;70000,"Medium",HR_Data[[#This Row],[Salary]]&lt;100000,"High",TRUE(),"Very High")</f>
        <v>Very High</v>
      </c>
      <c r="N862" t="str">
        <f t="array" ref="N862">_xlfn.IFS(HR_Data[[#This Row],[Age]]&lt;25,"18-24",HR_Data[[#This Row],[Age]]&lt;35,"25-34",HR_Data[[#This Row],[Age]]&lt;45,"35-44",TRUE(),"45+")</f>
        <v>45+</v>
      </c>
      <c r="O862">
        <f>YEAR(HR_Data[[#This Row],[Joining Date]])</f>
        <v>2020</v>
      </c>
      <c r="P862" t="str">
        <f>TEXT(HR_Data[[#This Row],[Joining Date]],"mmmm")</f>
        <v>January</v>
      </c>
      <c r="Q862">
        <f t="array" ref="Q862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862">
        <f>HR_Data[[#This Row],[Salary]]*HR_Data[[#This Row],[Bonus %]]</f>
        <v>26580.600000000002</v>
      </c>
      <c r="S862">
        <f>HR_Data[[#This Row],[Salary]]+HR_Data[[#This Row],[Bonus Amount]]</f>
        <v>159483.6</v>
      </c>
      <c r="T862" t="str">
        <f>IF(HR_Data[[#This Row],[Attrition]]="Yes","Inactive","Active")</f>
        <v>Active</v>
      </c>
      <c r="U862" t="str">
        <f t="array" ref="U862">_xlfn.IFS(HR_Data[[#This Row],[Salary]]&gt;=100000,"A",HR_Data[[#This Row],[Salary]]&gt;=70000,"B",HR_Data[[#This Row],[Salary]]&gt;=50000,"C",TRUE(),"D")</f>
        <v>A</v>
      </c>
      <c r="V862" t="str">
        <f t="array" ref="V862">_xlfn.IFS(HR_Data[[#This Row],[Experience]]&gt;=15,"Expert",HR_Data[[#This Row],[Experience]]&gt;=8,"Senior",HR_Data[[#This Row],[Experience]]&gt;=3,"Mid-Level",TRUE(),"Junior")</f>
        <v>Expert</v>
      </c>
    </row>
    <row r="863" spans="1:22" ht="14.25" customHeight="1" x14ac:dyDescent="0.3">
      <c r="A863" t="s">
        <v>1893</v>
      </c>
      <c r="B863" t="s">
        <v>39</v>
      </c>
      <c r="C863" t="s">
        <v>75</v>
      </c>
      <c r="D863" t="s">
        <v>33</v>
      </c>
      <c r="E863">
        <v>36</v>
      </c>
      <c r="F863">
        <v>68065</v>
      </c>
      <c r="G863">
        <v>11</v>
      </c>
      <c r="H863" t="s">
        <v>1894</v>
      </c>
      <c r="I863" t="s">
        <v>62</v>
      </c>
      <c r="J863" t="s">
        <v>28</v>
      </c>
      <c r="K863" t="s">
        <v>29</v>
      </c>
      <c r="L863" t="str">
        <f t="array" ref="L863">_xlfn.IFS(HR_Data[[#This Row],[Experience]]&lt;2,"0-2 Years",HR_Data[[#This Row],[Experience]]&lt;5,"2-5 Years",HR_Data[[#This Row],[Experience]]&lt;10,"5-10 Years",TRUE(),"10+ Years")</f>
        <v>10+ Years</v>
      </c>
      <c r="M863" t="str">
        <f t="array" ref="M863">_xlfn.IFS(HR_Data[[#This Row],[Salary]]&lt;40000,"Low",HR_Data[[#This Row],[Salary]]&lt;70000,"Medium",HR_Data[[#This Row],[Salary]]&lt;100000,"High",TRUE(),"Very High")</f>
        <v>Medium</v>
      </c>
      <c r="N863" t="str">
        <f t="array" ref="N863">_xlfn.IFS(HR_Data[[#This Row],[Age]]&lt;25,"18-24",HR_Data[[#This Row],[Age]]&lt;35,"25-34",HR_Data[[#This Row],[Age]]&lt;45,"35-44",TRUE(),"45+")</f>
        <v>35-44</v>
      </c>
      <c r="O863">
        <f>YEAR(HR_Data[[#This Row],[Joining Date]])</f>
        <v>2024</v>
      </c>
      <c r="P863" t="str">
        <f>TEXT(HR_Data[[#This Row],[Joining Date]],"mmmm")</f>
        <v>September</v>
      </c>
      <c r="Q863">
        <f t="array" ref="Q86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63">
        <f>HR_Data[[#This Row],[Salary]]*HR_Data[[#This Row],[Bonus %]]</f>
        <v>10209.75</v>
      </c>
      <c r="S863">
        <f>HR_Data[[#This Row],[Salary]]+HR_Data[[#This Row],[Bonus Amount]]</f>
        <v>78274.75</v>
      </c>
      <c r="T863" t="str">
        <f>IF(HR_Data[[#This Row],[Attrition]]="Yes","Inactive","Active")</f>
        <v>Active</v>
      </c>
      <c r="U863" t="str">
        <f t="array" ref="U863">_xlfn.IFS(HR_Data[[#This Row],[Salary]]&gt;=100000,"A",HR_Data[[#This Row],[Salary]]&gt;=70000,"B",HR_Data[[#This Row],[Salary]]&gt;=50000,"C",TRUE(),"D")</f>
        <v>C</v>
      </c>
      <c r="V863" t="str">
        <f t="array" ref="V863">_xlfn.IFS(HR_Data[[#This Row],[Experience]]&gt;=15,"Expert",HR_Data[[#This Row],[Experience]]&gt;=8,"Senior",HR_Data[[#This Row],[Experience]]&gt;=3,"Mid-Level",TRUE(),"Junior")</f>
        <v>Senior</v>
      </c>
    </row>
    <row r="864" spans="1:22" ht="14.25" customHeight="1" x14ac:dyDescent="0.3">
      <c r="A864" t="s">
        <v>1895</v>
      </c>
      <c r="B864" t="s">
        <v>23</v>
      </c>
      <c r="C864" t="s">
        <v>60</v>
      </c>
      <c r="D864" t="s">
        <v>33</v>
      </c>
      <c r="E864">
        <v>26</v>
      </c>
      <c r="F864">
        <v>38420</v>
      </c>
      <c r="G864">
        <v>1</v>
      </c>
      <c r="H864" t="s">
        <v>1896</v>
      </c>
      <c r="I864" t="s">
        <v>132</v>
      </c>
      <c r="J864" t="s">
        <v>63</v>
      </c>
      <c r="K864" t="s">
        <v>29</v>
      </c>
      <c r="L864" t="str">
        <f t="array" ref="L864">_xlfn.IFS(HR_Data[[#This Row],[Experience]]&lt;2,"0-2 Years",HR_Data[[#This Row],[Experience]]&lt;5,"2-5 Years",HR_Data[[#This Row],[Experience]]&lt;10,"5-10 Years",TRUE(),"10+ Years")</f>
        <v>0-2 Years</v>
      </c>
      <c r="M864" t="str">
        <f t="array" ref="M864">_xlfn.IFS(HR_Data[[#This Row],[Salary]]&lt;40000,"Low",HR_Data[[#This Row],[Salary]]&lt;70000,"Medium",HR_Data[[#This Row],[Salary]]&lt;100000,"High",TRUE(),"Very High")</f>
        <v>Low</v>
      </c>
      <c r="N864" t="str">
        <f t="array" ref="N864">_xlfn.IFS(HR_Data[[#This Row],[Age]]&lt;25,"18-24",HR_Data[[#This Row],[Age]]&lt;35,"25-34",HR_Data[[#This Row],[Age]]&lt;45,"35-44",TRUE(),"45+")</f>
        <v>25-34</v>
      </c>
      <c r="O864">
        <f>YEAR(HR_Data[[#This Row],[Joining Date]])</f>
        <v>2025</v>
      </c>
      <c r="P864" t="str">
        <f>TEXT(HR_Data[[#This Row],[Joining Date]],"mmmm")</f>
        <v>December</v>
      </c>
      <c r="Q864">
        <f t="array" ref="Q864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864">
        <f>HR_Data[[#This Row],[Salary]]*HR_Data[[#This Row],[Bonus %]]</f>
        <v>7684</v>
      </c>
      <c r="S864">
        <f>HR_Data[[#This Row],[Salary]]+HR_Data[[#This Row],[Bonus Amount]]</f>
        <v>46104</v>
      </c>
      <c r="T864" t="str">
        <f>IF(HR_Data[[#This Row],[Attrition]]="Yes","Inactive","Active")</f>
        <v>Active</v>
      </c>
      <c r="U864" t="str">
        <f t="array" ref="U864">_xlfn.IFS(HR_Data[[#This Row],[Salary]]&gt;=100000,"A",HR_Data[[#This Row],[Salary]]&gt;=70000,"B",HR_Data[[#This Row],[Salary]]&gt;=50000,"C",TRUE(),"D")</f>
        <v>D</v>
      </c>
      <c r="V864" t="str">
        <f t="array" ref="V864">_xlfn.IFS(HR_Data[[#This Row],[Experience]]&gt;=15,"Expert",HR_Data[[#This Row],[Experience]]&gt;=8,"Senior",HR_Data[[#This Row],[Experience]]&gt;=3,"Mid-Level",TRUE(),"Junior")</f>
        <v>Junior</v>
      </c>
    </row>
    <row r="865" spans="1:22" ht="14.25" customHeight="1" x14ac:dyDescent="0.3">
      <c r="A865" t="s">
        <v>1897</v>
      </c>
      <c r="B865" t="s">
        <v>483</v>
      </c>
      <c r="C865" t="s">
        <v>60</v>
      </c>
      <c r="D865" t="s">
        <v>33</v>
      </c>
      <c r="E865">
        <v>30</v>
      </c>
      <c r="F865">
        <v>70377</v>
      </c>
      <c r="G865">
        <v>11</v>
      </c>
      <c r="H865" t="s">
        <v>1898</v>
      </c>
      <c r="I865" t="s">
        <v>42</v>
      </c>
      <c r="J865" t="s">
        <v>46</v>
      </c>
      <c r="K865" t="s">
        <v>29</v>
      </c>
      <c r="L865" t="str">
        <f t="array" ref="L865">_xlfn.IFS(HR_Data[[#This Row],[Experience]]&lt;2,"0-2 Years",HR_Data[[#This Row],[Experience]]&lt;5,"2-5 Years",HR_Data[[#This Row],[Experience]]&lt;10,"5-10 Years",TRUE(),"10+ Years")</f>
        <v>10+ Years</v>
      </c>
      <c r="M865" t="str">
        <f t="array" ref="M865">_xlfn.IFS(HR_Data[[#This Row],[Salary]]&lt;40000,"Low",HR_Data[[#This Row],[Salary]]&lt;70000,"Medium",HR_Data[[#This Row],[Salary]]&lt;100000,"High",TRUE(),"Very High")</f>
        <v>High</v>
      </c>
      <c r="N865" t="str">
        <f t="array" ref="N865">_xlfn.IFS(HR_Data[[#This Row],[Age]]&lt;25,"18-24",HR_Data[[#This Row],[Age]]&lt;35,"25-34",HR_Data[[#This Row],[Age]]&lt;45,"35-44",TRUE(),"45+")</f>
        <v>25-34</v>
      </c>
      <c r="O865">
        <f>YEAR(HR_Data[[#This Row],[Joining Date]])</f>
        <v>2025</v>
      </c>
      <c r="P865" t="str">
        <f>TEXT(HR_Data[[#This Row],[Joining Date]],"mmmm")</f>
        <v>January</v>
      </c>
      <c r="Q865">
        <f t="array" ref="Q865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865">
        <f>HR_Data[[#This Row],[Salary]]*HR_Data[[#This Row],[Bonus %]]</f>
        <v>3518.8500000000004</v>
      </c>
      <c r="S865">
        <f>HR_Data[[#This Row],[Salary]]+HR_Data[[#This Row],[Bonus Amount]]</f>
        <v>73895.850000000006</v>
      </c>
      <c r="T865" t="str">
        <f>IF(HR_Data[[#This Row],[Attrition]]="Yes","Inactive","Active")</f>
        <v>Active</v>
      </c>
      <c r="U865" t="str">
        <f t="array" ref="U865">_xlfn.IFS(HR_Data[[#This Row],[Salary]]&gt;=100000,"A",HR_Data[[#This Row],[Salary]]&gt;=70000,"B",HR_Data[[#This Row],[Salary]]&gt;=50000,"C",TRUE(),"D")</f>
        <v>B</v>
      </c>
      <c r="V865" t="str">
        <f t="array" ref="V865">_xlfn.IFS(HR_Data[[#This Row],[Experience]]&gt;=15,"Expert",HR_Data[[#This Row],[Experience]]&gt;=8,"Senior",HR_Data[[#This Row],[Experience]]&gt;=3,"Mid-Level",TRUE(),"Junior")</f>
        <v>Senior</v>
      </c>
    </row>
    <row r="866" spans="1:22" ht="14.25" customHeight="1" x14ac:dyDescent="0.3">
      <c r="A866" t="s">
        <v>1899</v>
      </c>
      <c r="B866" t="s">
        <v>349</v>
      </c>
      <c r="C866" t="s">
        <v>70</v>
      </c>
      <c r="D866" t="s">
        <v>25</v>
      </c>
      <c r="E866">
        <v>58</v>
      </c>
      <c r="F866">
        <v>130147</v>
      </c>
      <c r="G866">
        <v>35</v>
      </c>
      <c r="H866" t="s">
        <v>1900</v>
      </c>
      <c r="I866" t="s">
        <v>27</v>
      </c>
      <c r="J866" t="s">
        <v>90</v>
      </c>
      <c r="K866" t="s">
        <v>29</v>
      </c>
      <c r="L866" t="str">
        <f t="array" ref="L866">_xlfn.IFS(HR_Data[[#This Row],[Experience]]&lt;2,"0-2 Years",HR_Data[[#This Row],[Experience]]&lt;5,"2-5 Years",HR_Data[[#This Row],[Experience]]&lt;10,"5-10 Years",TRUE(),"10+ Years")</f>
        <v>10+ Years</v>
      </c>
      <c r="M866" t="str">
        <f t="array" ref="M866">_xlfn.IFS(HR_Data[[#This Row],[Salary]]&lt;40000,"Low",HR_Data[[#This Row],[Salary]]&lt;70000,"Medium",HR_Data[[#This Row],[Salary]]&lt;100000,"High",TRUE(),"Very High")</f>
        <v>Very High</v>
      </c>
      <c r="N866" t="str">
        <f t="array" ref="N866">_xlfn.IFS(HR_Data[[#This Row],[Age]]&lt;25,"18-24",HR_Data[[#This Row],[Age]]&lt;35,"25-34",HR_Data[[#This Row],[Age]]&lt;45,"35-44",TRUE(),"45+")</f>
        <v>45+</v>
      </c>
      <c r="O866">
        <f>YEAR(HR_Data[[#This Row],[Joining Date]])</f>
        <v>2016</v>
      </c>
      <c r="P866" t="str">
        <f>TEXT(HR_Data[[#This Row],[Joining Date]],"mmmm")</f>
        <v>November</v>
      </c>
      <c r="Q866">
        <f t="array" ref="Q866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866">
        <f>HR_Data[[#This Row],[Salary]]*HR_Data[[#This Row],[Bonus %]]</f>
        <v>0</v>
      </c>
      <c r="S866">
        <f>HR_Data[[#This Row],[Salary]]+HR_Data[[#This Row],[Bonus Amount]]</f>
        <v>130147</v>
      </c>
      <c r="T866" t="str">
        <f>IF(HR_Data[[#This Row],[Attrition]]="Yes","Inactive","Active")</f>
        <v>Active</v>
      </c>
      <c r="U866" t="str">
        <f t="array" ref="U866">_xlfn.IFS(HR_Data[[#This Row],[Salary]]&gt;=100000,"A",HR_Data[[#This Row],[Salary]]&gt;=70000,"B",HR_Data[[#This Row],[Salary]]&gt;=50000,"C",TRUE(),"D")</f>
        <v>A</v>
      </c>
      <c r="V866" t="str">
        <f t="array" ref="V866">_xlfn.IFS(HR_Data[[#This Row],[Experience]]&gt;=15,"Expert",HR_Data[[#This Row],[Experience]]&gt;=8,"Senior",HR_Data[[#This Row],[Experience]]&gt;=3,"Mid-Level",TRUE(),"Junior")</f>
        <v>Expert</v>
      </c>
    </row>
    <row r="867" spans="1:22" ht="14.25" customHeight="1" x14ac:dyDescent="0.3">
      <c r="A867" t="s">
        <v>1901</v>
      </c>
      <c r="B867" t="s">
        <v>118</v>
      </c>
      <c r="C867" t="s">
        <v>55</v>
      </c>
      <c r="D867" t="s">
        <v>25</v>
      </c>
      <c r="E867">
        <v>38</v>
      </c>
      <c r="F867">
        <v>66512</v>
      </c>
      <c r="G867">
        <v>15</v>
      </c>
      <c r="H867" t="s">
        <v>1902</v>
      </c>
      <c r="I867" t="s">
        <v>72</v>
      </c>
      <c r="J867" t="s">
        <v>36</v>
      </c>
      <c r="K867" t="s">
        <v>29</v>
      </c>
      <c r="L867" t="str">
        <f t="array" ref="L867">_xlfn.IFS(HR_Data[[#This Row],[Experience]]&lt;2,"0-2 Years",HR_Data[[#This Row],[Experience]]&lt;5,"2-5 Years",HR_Data[[#This Row],[Experience]]&lt;10,"5-10 Years",TRUE(),"10+ Years")</f>
        <v>10+ Years</v>
      </c>
      <c r="M867" t="str">
        <f t="array" ref="M867">_xlfn.IFS(HR_Data[[#This Row],[Salary]]&lt;40000,"Low",HR_Data[[#This Row],[Salary]]&lt;70000,"Medium",HR_Data[[#This Row],[Salary]]&lt;100000,"High",TRUE(),"Very High")</f>
        <v>Medium</v>
      </c>
      <c r="N867" t="str">
        <f t="array" ref="N867">_xlfn.IFS(HR_Data[[#This Row],[Age]]&lt;25,"18-24",HR_Data[[#This Row],[Age]]&lt;35,"25-34",HR_Data[[#This Row],[Age]]&lt;45,"35-44",TRUE(),"45+")</f>
        <v>35-44</v>
      </c>
      <c r="O867">
        <f>YEAR(HR_Data[[#This Row],[Joining Date]])</f>
        <v>2021</v>
      </c>
      <c r="P867" t="str">
        <f>TEXT(HR_Data[[#This Row],[Joining Date]],"mmmm")</f>
        <v>July</v>
      </c>
      <c r="Q867">
        <f t="array" ref="Q867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67">
        <f>HR_Data[[#This Row],[Salary]]*HR_Data[[#This Row],[Bonus %]]</f>
        <v>6651.2000000000007</v>
      </c>
      <c r="S867">
        <f>HR_Data[[#This Row],[Salary]]+HR_Data[[#This Row],[Bonus Amount]]</f>
        <v>73163.199999999997</v>
      </c>
      <c r="T867" t="str">
        <f>IF(HR_Data[[#This Row],[Attrition]]="Yes","Inactive","Active")</f>
        <v>Active</v>
      </c>
      <c r="U867" t="str">
        <f t="array" ref="U867">_xlfn.IFS(HR_Data[[#This Row],[Salary]]&gt;=100000,"A",HR_Data[[#This Row],[Salary]]&gt;=70000,"B",HR_Data[[#This Row],[Salary]]&gt;=50000,"C",TRUE(),"D")</f>
        <v>C</v>
      </c>
      <c r="V867" t="str">
        <f t="array" ref="V867">_xlfn.IFS(HR_Data[[#This Row],[Experience]]&gt;=15,"Expert",HR_Data[[#This Row],[Experience]]&gt;=8,"Senior",HR_Data[[#This Row],[Experience]]&gt;=3,"Mid-Level",TRUE(),"Junior")</f>
        <v>Expert</v>
      </c>
    </row>
    <row r="868" spans="1:22" ht="14.25" customHeight="1" x14ac:dyDescent="0.3">
      <c r="A868" t="s">
        <v>1903</v>
      </c>
      <c r="B868" t="s">
        <v>727</v>
      </c>
      <c r="C868" t="s">
        <v>70</v>
      </c>
      <c r="D868" t="s">
        <v>25</v>
      </c>
      <c r="E868">
        <v>60</v>
      </c>
      <c r="F868">
        <v>132676</v>
      </c>
      <c r="G868">
        <v>34</v>
      </c>
      <c r="H868" t="s">
        <v>1904</v>
      </c>
      <c r="I868" t="s">
        <v>57</v>
      </c>
      <c r="J868" t="s">
        <v>36</v>
      </c>
      <c r="K868" t="s">
        <v>37</v>
      </c>
      <c r="L868" t="str">
        <f t="array" ref="L868">_xlfn.IFS(HR_Data[[#This Row],[Experience]]&lt;2,"0-2 Years",HR_Data[[#This Row],[Experience]]&lt;5,"2-5 Years",HR_Data[[#This Row],[Experience]]&lt;10,"5-10 Years",TRUE(),"10+ Years")</f>
        <v>10+ Years</v>
      </c>
      <c r="M868" t="str">
        <f t="array" ref="M868">_xlfn.IFS(HR_Data[[#This Row],[Salary]]&lt;40000,"Low",HR_Data[[#This Row],[Salary]]&lt;70000,"Medium",HR_Data[[#This Row],[Salary]]&lt;100000,"High",TRUE(),"Very High")</f>
        <v>Very High</v>
      </c>
      <c r="N868" t="str">
        <f t="array" ref="N868">_xlfn.IFS(HR_Data[[#This Row],[Age]]&lt;25,"18-24",HR_Data[[#This Row],[Age]]&lt;35,"25-34",HR_Data[[#This Row],[Age]]&lt;45,"35-44",TRUE(),"45+")</f>
        <v>45+</v>
      </c>
      <c r="O868">
        <f>YEAR(HR_Data[[#This Row],[Joining Date]])</f>
        <v>2017</v>
      </c>
      <c r="P868" t="str">
        <f>TEXT(HR_Data[[#This Row],[Joining Date]],"mmmm")</f>
        <v>March</v>
      </c>
      <c r="Q868">
        <f t="array" ref="Q86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68">
        <f>HR_Data[[#This Row],[Salary]]*HR_Data[[#This Row],[Bonus %]]</f>
        <v>13267.6</v>
      </c>
      <c r="S868">
        <f>HR_Data[[#This Row],[Salary]]+HR_Data[[#This Row],[Bonus Amount]]</f>
        <v>145943.6</v>
      </c>
      <c r="T868" t="str">
        <f>IF(HR_Data[[#This Row],[Attrition]]="Yes","Inactive","Active")</f>
        <v>Inactive</v>
      </c>
      <c r="U868" t="str">
        <f t="array" ref="U868">_xlfn.IFS(HR_Data[[#This Row],[Salary]]&gt;=100000,"A",HR_Data[[#This Row],[Salary]]&gt;=70000,"B",HR_Data[[#This Row],[Salary]]&gt;=50000,"C",TRUE(),"D")</f>
        <v>A</v>
      </c>
      <c r="V868" t="str">
        <f t="array" ref="V868">_xlfn.IFS(HR_Data[[#This Row],[Experience]]&gt;=15,"Expert",HR_Data[[#This Row],[Experience]]&gt;=8,"Senior",HR_Data[[#This Row],[Experience]]&gt;=3,"Mid-Level",TRUE(),"Junior")</f>
        <v>Expert</v>
      </c>
    </row>
    <row r="869" spans="1:22" ht="14.25" customHeight="1" x14ac:dyDescent="0.3">
      <c r="A869" t="s">
        <v>1905</v>
      </c>
      <c r="B869" t="s">
        <v>647</v>
      </c>
      <c r="C869" t="s">
        <v>40</v>
      </c>
      <c r="D869" t="s">
        <v>25</v>
      </c>
      <c r="E869">
        <v>36</v>
      </c>
      <c r="F869">
        <v>60690</v>
      </c>
      <c r="G869">
        <v>8</v>
      </c>
      <c r="H869" t="s">
        <v>1906</v>
      </c>
      <c r="I869" t="s">
        <v>80</v>
      </c>
      <c r="J869" t="s">
        <v>36</v>
      </c>
      <c r="K869" t="s">
        <v>29</v>
      </c>
      <c r="L869" t="str">
        <f t="array" ref="L869">_xlfn.IFS(HR_Data[[#This Row],[Experience]]&lt;2,"0-2 Years",HR_Data[[#This Row],[Experience]]&lt;5,"2-5 Years",HR_Data[[#This Row],[Experience]]&lt;10,"5-10 Years",TRUE(),"10+ Years")</f>
        <v>5-10 Years</v>
      </c>
      <c r="M869" t="str">
        <f t="array" ref="M869">_xlfn.IFS(HR_Data[[#This Row],[Salary]]&lt;40000,"Low",HR_Data[[#This Row],[Salary]]&lt;70000,"Medium",HR_Data[[#This Row],[Salary]]&lt;100000,"High",TRUE(),"Very High")</f>
        <v>Medium</v>
      </c>
      <c r="N869" t="str">
        <f t="array" ref="N869">_xlfn.IFS(HR_Data[[#This Row],[Age]]&lt;25,"18-24",HR_Data[[#This Row],[Age]]&lt;35,"25-34",HR_Data[[#This Row],[Age]]&lt;45,"35-44",TRUE(),"45+")</f>
        <v>35-44</v>
      </c>
      <c r="O869">
        <f>YEAR(HR_Data[[#This Row],[Joining Date]])</f>
        <v>2019</v>
      </c>
      <c r="P869" t="str">
        <f>TEXT(HR_Data[[#This Row],[Joining Date]],"mmmm")</f>
        <v>November</v>
      </c>
      <c r="Q869">
        <f t="array" ref="Q86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69">
        <f>HR_Data[[#This Row],[Salary]]*HR_Data[[#This Row],[Bonus %]]</f>
        <v>6069</v>
      </c>
      <c r="S869">
        <f>HR_Data[[#This Row],[Salary]]+HR_Data[[#This Row],[Bonus Amount]]</f>
        <v>66759</v>
      </c>
      <c r="T869" t="str">
        <f>IF(HR_Data[[#This Row],[Attrition]]="Yes","Inactive","Active")</f>
        <v>Active</v>
      </c>
      <c r="U869" t="str">
        <f t="array" ref="U869">_xlfn.IFS(HR_Data[[#This Row],[Salary]]&gt;=100000,"A",HR_Data[[#This Row],[Salary]]&gt;=70000,"B",HR_Data[[#This Row],[Salary]]&gt;=50000,"C",TRUE(),"D")</f>
        <v>C</v>
      </c>
      <c r="V869" t="str">
        <f t="array" ref="V869">_xlfn.IFS(HR_Data[[#This Row],[Experience]]&gt;=15,"Expert",HR_Data[[#This Row],[Experience]]&gt;=8,"Senior",HR_Data[[#This Row],[Experience]]&gt;=3,"Mid-Level",TRUE(),"Junior")</f>
        <v>Senior</v>
      </c>
    </row>
    <row r="870" spans="1:22" ht="14.25" customHeight="1" x14ac:dyDescent="0.3">
      <c r="A870" t="s">
        <v>1907</v>
      </c>
      <c r="B870" t="s">
        <v>319</v>
      </c>
      <c r="C870" t="s">
        <v>75</v>
      </c>
      <c r="D870" t="s">
        <v>33</v>
      </c>
      <c r="E870">
        <v>53</v>
      </c>
      <c r="F870">
        <v>99151</v>
      </c>
      <c r="G870">
        <v>24</v>
      </c>
      <c r="H870" t="s">
        <v>1908</v>
      </c>
      <c r="I870" t="s">
        <v>42</v>
      </c>
      <c r="J870" t="s">
        <v>36</v>
      </c>
      <c r="K870" t="s">
        <v>29</v>
      </c>
      <c r="L870" t="str">
        <f t="array" ref="L870">_xlfn.IFS(HR_Data[[#This Row],[Experience]]&lt;2,"0-2 Years",HR_Data[[#This Row],[Experience]]&lt;5,"2-5 Years",HR_Data[[#This Row],[Experience]]&lt;10,"5-10 Years",TRUE(),"10+ Years")</f>
        <v>10+ Years</v>
      </c>
      <c r="M870" t="str">
        <f t="array" ref="M870">_xlfn.IFS(HR_Data[[#This Row],[Salary]]&lt;40000,"Low",HR_Data[[#This Row],[Salary]]&lt;70000,"Medium",HR_Data[[#This Row],[Salary]]&lt;100000,"High",TRUE(),"Very High")</f>
        <v>High</v>
      </c>
      <c r="N870" t="str">
        <f t="array" ref="N870">_xlfn.IFS(HR_Data[[#This Row],[Age]]&lt;25,"18-24",HR_Data[[#This Row],[Age]]&lt;35,"25-34",HR_Data[[#This Row],[Age]]&lt;45,"35-44",TRUE(),"45+")</f>
        <v>45+</v>
      </c>
      <c r="O870">
        <f>YEAR(HR_Data[[#This Row],[Joining Date]])</f>
        <v>2023</v>
      </c>
      <c r="P870" t="str">
        <f>TEXT(HR_Data[[#This Row],[Joining Date]],"mmmm")</f>
        <v>December</v>
      </c>
      <c r="Q870">
        <f t="array" ref="Q87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70">
        <f>HR_Data[[#This Row],[Salary]]*HR_Data[[#This Row],[Bonus %]]</f>
        <v>9915.1</v>
      </c>
      <c r="S870">
        <f>HR_Data[[#This Row],[Salary]]+HR_Data[[#This Row],[Bonus Amount]]</f>
        <v>109066.1</v>
      </c>
      <c r="T870" t="str">
        <f>IF(HR_Data[[#This Row],[Attrition]]="Yes","Inactive","Active")</f>
        <v>Active</v>
      </c>
      <c r="U870" t="str">
        <f t="array" ref="U870">_xlfn.IFS(HR_Data[[#This Row],[Salary]]&gt;=100000,"A",HR_Data[[#This Row],[Salary]]&gt;=70000,"B",HR_Data[[#This Row],[Salary]]&gt;=50000,"C",TRUE(),"D")</f>
        <v>B</v>
      </c>
      <c r="V870" t="str">
        <f t="array" ref="V870">_xlfn.IFS(HR_Data[[#This Row],[Experience]]&gt;=15,"Expert",HR_Data[[#This Row],[Experience]]&gt;=8,"Senior",HR_Data[[#This Row],[Experience]]&gt;=3,"Mid-Level",TRUE(),"Junior")</f>
        <v>Expert</v>
      </c>
    </row>
    <row r="871" spans="1:22" ht="14.25" customHeight="1" x14ac:dyDescent="0.3">
      <c r="A871" t="s">
        <v>1909</v>
      </c>
      <c r="B871" t="s">
        <v>88</v>
      </c>
      <c r="C871" t="s">
        <v>70</v>
      </c>
      <c r="D871" t="s">
        <v>25</v>
      </c>
      <c r="E871">
        <v>46</v>
      </c>
      <c r="F871">
        <v>77712</v>
      </c>
      <c r="G871">
        <v>17</v>
      </c>
      <c r="H871" t="s">
        <v>1910</v>
      </c>
      <c r="I871" t="s">
        <v>132</v>
      </c>
      <c r="J871" t="s">
        <v>36</v>
      </c>
      <c r="K871" t="s">
        <v>29</v>
      </c>
      <c r="L871" t="str">
        <f t="array" ref="L871">_xlfn.IFS(HR_Data[[#This Row],[Experience]]&lt;2,"0-2 Years",HR_Data[[#This Row],[Experience]]&lt;5,"2-5 Years",HR_Data[[#This Row],[Experience]]&lt;10,"5-10 Years",TRUE(),"10+ Years")</f>
        <v>10+ Years</v>
      </c>
      <c r="M871" t="str">
        <f t="array" ref="M871">_xlfn.IFS(HR_Data[[#This Row],[Salary]]&lt;40000,"Low",HR_Data[[#This Row],[Salary]]&lt;70000,"Medium",HR_Data[[#This Row],[Salary]]&lt;100000,"High",TRUE(),"Very High")</f>
        <v>High</v>
      </c>
      <c r="N871" t="str">
        <f t="array" ref="N871">_xlfn.IFS(HR_Data[[#This Row],[Age]]&lt;25,"18-24",HR_Data[[#This Row],[Age]]&lt;35,"25-34",HR_Data[[#This Row],[Age]]&lt;45,"35-44",TRUE(),"45+")</f>
        <v>45+</v>
      </c>
      <c r="O871">
        <f>YEAR(HR_Data[[#This Row],[Joining Date]])</f>
        <v>2023</v>
      </c>
      <c r="P871" t="str">
        <f>TEXT(HR_Data[[#This Row],[Joining Date]],"mmmm")</f>
        <v>May</v>
      </c>
      <c r="Q871">
        <f t="array" ref="Q87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71">
        <f>HR_Data[[#This Row],[Salary]]*HR_Data[[#This Row],[Bonus %]]</f>
        <v>7771.2000000000007</v>
      </c>
      <c r="S871">
        <f>HR_Data[[#This Row],[Salary]]+HR_Data[[#This Row],[Bonus Amount]]</f>
        <v>85483.199999999997</v>
      </c>
      <c r="T871" t="str">
        <f>IF(HR_Data[[#This Row],[Attrition]]="Yes","Inactive","Active")</f>
        <v>Active</v>
      </c>
      <c r="U871" t="str">
        <f t="array" ref="U871">_xlfn.IFS(HR_Data[[#This Row],[Salary]]&gt;=100000,"A",HR_Data[[#This Row],[Salary]]&gt;=70000,"B",HR_Data[[#This Row],[Salary]]&gt;=50000,"C",TRUE(),"D")</f>
        <v>B</v>
      </c>
      <c r="V871" t="str">
        <f t="array" ref="V871">_xlfn.IFS(HR_Data[[#This Row],[Experience]]&gt;=15,"Expert",HR_Data[[#This Row],[Experience]]&gt;=8,"Senior",HR_Data[[#This Row],[Experience]]&gt;=3,"Mid-Level",TRUE(),"Junior")</f>
        <v>Expert</v>
      </c>
    </row>
    <row r="872" spans="1:22" ht="14.25" customHeight="1" x14ac:dyDescent="0.3">
      <c r="A872" t="s">
        <v>1911</v>
      </c>
      <c r="B872" t="s">
        <v>51</v>
      </c>
      <c r="C872" t="s">
        <v>75</v>
      </c>
      <c r="D872" t="s">
        <v>33</v>
      </c>
      <c r="E872">
        <v>45</v>
      </c>
      <c r="F872">
        <v>93417</v>
      </c>
      <c r="G872">
        <v>20</v>
      </c>
      <c r="H872" t="s">
        <v>1912</v>
      </c>
      <c r="I872" t="s">
        <v>45</v>
      </c>
      <c r="J872" t="s">
        <v>90</v>
      </c>
      <c r="K872" t="s">
        <v>29</v>
      </c>
      <c r="L872" t="str">
        <f t="array" ref="L872">_xlfn.IFS(HR_Data[[#This Row],[Experience]]&lt;2,"0-2 Years",HR_Data[[#This Row],[Experience]]&lt;5,"2-5 Years",HR_Data[[#This Row],[Experience]]&lt;10,"5-10 Years",TRUE(),"10+ Years")</f>
        <v>10+ Years</v>
      </c>
      <c r="M872" t="str">
        <f t="array" ref="M872">_xlfn.IFS(HR_Data[[#This Row],[Salary]]&lt;40000,"Low",HR_Data[[#This Row],[Salary]]&lt;70000,"Medium",HR_Data[[#This Row],[Salary]]&lt;100000,"High",TRUE(),"Very High")</f>
        <v>High</v>
      </c>
      <c r="N872" t="str">
        <f t="array" ref="N872">_xlfn.IFS(HR_Data[[#This Row],[Age]]&lt;25,"18-24",HR_Data[[#This Row],[Age]]&lt;35,"25-34",HR_Data[[#This Row],[Age]]&lt;45,"35-44",TRUE(),"45+")</f>
        <v>45+</v>
      </c>
      <c r="O872">
        <f>YEAR(HR_Data[[#This Row],[Joining Date]])</f>
        <v>2015</v>
      </c>
      <c r="P872" t="str">
        <f>TEXT(HR_Data[[#This Row],[Joining Date]],"mmmm")</f>
        <v>August</v>
      </c>
      <c r="Q872">
        <f t="array" ref="Q872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872">
        <f>HR_Data[[#This Row],[Salary]]*HR_Data[[#This Row],[Bonus %]]</f>
        <v>0</v>
      </c>
      <c r="S872">
        <f>HR_Data[[#This Row],[Salary]]+HR_Data[[#This Row],[Bonus Amount]]</f>
        <v>93417</v>
      </c>
      <c r="T872" t="str">
        <f>IF(HR_Data[[#This Row],[Attrition]]="Yes","Inactive","Active")</f>
        <v>Active</v>
      </c>
      <c r="U872" t="str">
        <f t="array" ref="U872">_xlfn.IFS(HR_Data[[#This Row],[Salary]]&gt;=100000,"A",HR_Data[[#This Row],[Salary]]&gt;=70000,"B",HR_Data[[#This Row],[Salary]]&gt;=50000,"C",TRUE(),"D")</f>
        <v>B</v>
      </c>
      <c r="V872" t="str">
        <f t="array" ref="V872">_xlfn.IFS(HR_Data[[#This Row],[Experience]]&gt;=15,"Expert",HR_Data[[#This Row],[Experience]]&gt;=8,"Senior",HR_Data[[#This Row],[Experience]]&gt;=3,"Mid-Level",TRUE(),"Junior")</f>
        <v>Expert</v>
      </c>
    </row>
    <row r="873" spans="1:22" ht="14.25" customHeight="1" x14ac:dyDescent="0.3">
      <c r="A873" t="s">
        <v>1913</v>
      </c>
      <c r="B873" t="s">
        <v>1118</v>
      </c>
      <c r="C873" t="s">
        <v>60</v>
      </c>
      <c r="D873" t="s">
        <v>25</v>
      </c>
      <c r="E873">
        <v>46</v>
      </c>
      <c r="F873">
        <v>110992</v>
      </c>
      <c r="G873">
        <v>26</v>
      </c>
      <c r="H873" t="s">
        <v>1914</v>
      </c>
      <c r="I873" t="s">
        <v>27</v>
      </c>
      <c r="J873" t="s">
        <v>28</v>
      </c>
      <c r="K873" t="s">
        <v>29</v>
      </c>
      <c r="L873" t="str">
        <f t="array" ref="L873">_xlfn.IFS(HR_Data[[#This Row],[Experience]]&lt;2,"0-2 Years",HR_Data[[#This Row],[Experience]]&lt;5,"2-5 Years",HR_Data[[#This Row],[Experience]]&lt;10,"5-10 Years",TRUE(),"10+ Years")</f>
        <v>10+ Years</v>
      </c>
      <c r="M873" t="str">
        <f t="array" ref="M873">_xlfn.IFS(HR_Data[[#This Row],[Salary]]&lt;40000,"Low",HR_Data[[#This Row],[Salary]]&lt;70000,"Medium",HR_Data[[#This Row],[Salary]]&lt;100000,"High",TRUE(),"Very High")</f>
        <v>Very High</v>
      </c>
      <c r="N873" t="str">
        <f t="array" ref="N873">_xlfn.IFS(HR_Data[[#This Row],[Age]]&lt;25,"18-24",HR_Data[[#This Row],[Age]]&lt;35,"25-34",HR_Data[[#This Row],[Age]]&lt;45,"35-44",TRUE(),"45+")</f>
        <v>45+</v>
      </c>
      <c r="O873">
        <f>YEAR(HR_Data[[#This Row],[Joining Date]])</f>
        <v>2016</v>
      </c>
      <c r="P873" t="str">
        <f>TEXT(HR_Data[[#This Row],[Joining Date]],"mmmm")</f>
        <v>December</v>
      </c>
      <c r="Q873">
        <f t="array" ref="Q87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73">
        <f>HR_Data[[#This Row],[Salary]]*HR_Data[[#This Row],[Bonus %]]</f>
        <v>16648.8</v>
      </c>
      <c r="S873">
        <f>HR_Data[[#This Row],[Salary]]+HR_Data[[#This Row],[Bonus Amount]]</f>
        <v>127640.8</v>
      </c>
      <c r="T873" t="str">
        <f>IF(HR_Data[[#This Row],[Attrition]]="Yes","Inactive","Active")</f>
        <v>Active</v>
      </c>
      <c r="U873" t="str">
        <f t="array" ref="U873">_xlfn.IFS(HR_Data[[#This Row],[Salary]]&gt;=100000,"A",HR_Data[[#This Row],[Salary]]&gt;=70000,"B",HR_Data[[#This Row],[Salary]]&gt;=50000,"C",TRUE(),"D")</f>
        <v>A</v>
      </c>
      <c r="V873" t="str">
        <f t="array" ref="V873">_xlfn.IFS(HR_Data[[#This Row],[Experience]]&gt;=15,"Expert",HR_Data[[#This Row],[Experience]]&gt;=8,"Senior",HR_Data[[#This Row],[Experience]]&gt;=3,"Mid-Level",TRUE(),"Junior")</f>
        <v>Expert</v>
      </c>
    </row>
    <row r="874" spans="1:22" ht="14.25" customHeight="1" x14ac:dyDescent="0.3">
      <c r="A874" t="s">
        <v>1915</v>
      </c>
      <c r="B874" t="s">
        <v>69</v>
      </c>
      <c r="C874" t="s">
        <v>75</v>
      </c>
      <c r="D874" t="s">
        <v>25</v>
      </c>
      <c r="E874">
        <v>31</v>
      </c>
      <c r="F874">
        <v>43481</v>
      </c>
      <c r="G874">
        <v>6</v>
      </c>
      <c r="H874" t="s">
        <v>920</v>
      </c>
      <c r="I874" t="s">
        <v>72</v>
      </c>
      <c r="J874" t="s">
        <v>90</v>
      </c>
      <c r="K874" t="s">
        <v>29</v>
      </c>
      <c r="L874" t="str">
        <f t="array" ref="L874">_xlfn.IFS(HR_Data[[#This Row],[Experience]]&lt;2,"0-2 Years",HR_Data[[#This Row],[Experience]]&lt;5,"2-5 Years",HR_Data[[#This Row],[Experience]]&lt;10,"5-10 Years",TRUE(),"10+ Years")</f>
        <v>5-10 Years</v>
      </c>
      <c r="M874" t="str">
        <f t="array" ref="M874">_xlfn.IFS(HR_Data[[#This Row],[Salary]]&lt;40000,"Low",HR_Data[[#This Row],[Salary]]&lt;70000,"Medium",HR_Data[[#This Row],[Salary]]&lt;100000,"High",TRUE(),"Very High")</f>
        <v>Medium</v>
      </c>
      <c r="N874" t="str">
        <f t="array" ref="N874">_xlfn.IFS(HR_Data[[#This Row],[Age]]&lt;25,"18-24",HR_Data[[#This Row],[Age]]&lt;35,"25-34",HR_Data[[#This Row],[Age]]&lt;45,"35-44",TRUE(),"45+")</f>
        <v>25-34</v>
      </c>
      <c r="O874">
        <f>YEAR(HR_Data[[#This Row],[Joining Date]])</f>
        <v>2023</v>
      </c>
      <c r="P874" t="str">
        <f>TEXT(HR_Data[[#This Row],[Joining Date]],"mmmm")</f>
        <v>June</v>
      </c>
      <c r="Q874">
        <f t="array" ref="Q874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874">
        <f>HR_Data[[#This Row],[Salary]]*HR_Data[[#This Row],[Bonus %]]</f>
        <v>0</v>
      </c>
      <c r="S874">
        <f>HR_Data[[#This Row],[Salary]]+HR_Data[[#This Row],[Bonus Amount]]</f>
        <v>43481</v>
      </c>
      <c r="T874" t="str">
        <f>IF(HR_Data[[#This Row],[Attrition]]="Yes","Inactive","Active")</f>
        <v>Active</v>
      </c>
      <c r="U874" t="str">
        <f t="array" ref="U874">_xlfn.IFS(HR_Data[[#This Row],[Salary]]&gt;=100000,"A",HR_Data[[#This Row],[Salary]]&gt;=70000,"B",HR_Data[[#This Row],[Salary]]&gt;=50000,"C",TRUE(),"D")</f>
        <v>D</v>
      </c>
      <c r="V874" t="str">
        <f t="array" ref="V874">_xlfn.IFS(HR_Data[[#This Row],[Experience]]&gt;=15,"Expert",HR_Data[[#This Row],[Experience]]&gt;=8,"Senior",HR_Data[[#This Row],[Experience]]&gt;=3,"Mid-Level",TRUE(),"Junior")</f>
        <v>Mid-Level</v>
      </c>
    </row>
    <row r="875" spans="1:22" ht="14.25" customHeight="1" x14ac:dyDescent="0.3">
      <c r="A875" t="s">
        <v>1916</v>
      </c>
      <c r="B875" t="s">
        <v>513</v>
      </c>
      <c r="C875" t="s">
        <v>24</v>
      </c>
      <c r="D875" t="s">
        <v>33</v>
      </c>
      <c r="E875">
        <v>51</v>
      </c>
      <c r="F875">
        <v>133532</v>
      </c>
      <c r="G875">
        <v>31</v>
      </c>
      <c r="H875" t="s">
        <v>1917</v>
      </c>
      <c r="I875" t="s">
        <v>27</v>
      </c>
      <c r="J875" t="s">
        <v>36</v>
      </c>
      <c r="K875" t="s">
        <v>29</v>
      </c>
      <c r="L875" t="str">
        <f t="array" ref="L875">_xlfn.IFS(HR_Data[[#This Row],[Experience]]&lt;2,"0-2 Years",HR_Data[[#This Row],[Experience]]&lt;5,"2-5 Years",HR_Data[[#This Row],[Experience]]&lt;10,"5-10 Years",TRUE(),"10+ Years")</f>
        <v>10+ Years</v>
      </c>
      <c r="M875" t="str">
        <f t="array" ref="M875">_xlfn.IFS(HR_Data[[#This Row],[Salary]]&lt;40000,"Low",HR_Data[[#This Row],[Salary]]&lt;70000,"Medium",HR_Data[[#This Row],[Salary]]&lt;100000,"High",TRUE(),"Very High")</f>
        <v>Very High</v>
      </c>
      <c r="N875" t="str">
        <f t="array" ref="N875">_xlfn.IFS(HR_Data[[#This Row],[Age]]&lt;25,"18-24",HR_Data[[#This Row],[Age]]&lt;35,"25-34",HR_Data[[#This Row],[Age]]&lt;45,"35-44",TRUE(),"45+")</f>
        <v>45+</v>
      </c>
      <c r="O875">
        <f>YEAR(HR_Data[[#This Row],[Joining Date]])</f>
        <v>2022</v>
      </c>
      <c r="P875" t="str">
        <f>TEXT(HR_Data[[#This Row],[Joining Date]],"mmmm")</f>
        <v>October</v>
      </c>
      <c r="Q875">
        <f t="array" ref="Q87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75">
        <f>HR_Data[[#This Row],[Salary]]*HR_Data[[#This Row],[Bonus %]]</f>
        <v>13353.2</v>
      </c>
      <c r="S875">
        <f>HR_Data[[#This Row],[Salary]]+HR_Data[[#This Row],[Bonus Amount]]</f>
        <v>146885.20000000001</v>
      </c>
      <c r="T875" t="str">
        <f>IF(HR_Data[[#This Row],[Attrition]]="Yes","Inactive","Active")</f>
        <v>Active</v>
      </c>
      <c r="U875" t="str">
        <f t="array" ref="U875">_xlfn.IFS(HR_Data[[#This Row],[Salary]]&gt;=100000,"A",HR_Data[[#This Row],[Salary]]&gt;=70000,"B",HR_Data[[#This Row],[Salary]]&gt;=50000,"C",TRUE(),"D")</f>
        <v>A</v>
      </c>
      <c r="V875" t="str">
        <f t="array" ref="V875">_xlfn.IFS(HR_Data[[#This Row],[Experience]]&gt;=15,"Expert",HR_Data[[#This Row],[Experience]]&gt;=8,"Senior",HR_Data[[#This Row],[Experience]]&gt;=3,"Mid-Level",TRUE(),"Junior")</f>
        <v>Expert</v>
      </c>
    </row>
    <row r="876" spans="1:22" ht="14.25" customHeight="1" x14ac:dyDescent="0.3">
      <c r="A876" t="s">
        <v>1918</v>
      </c>
      <c r="B876" t="s">
        <v>1919</v>
      </c>
      <c r="C876" t="s">
        <v>24</v>
      </c>
      <c r="D876" t="s">
        <v>25</v>
      </c>
      <c r="E876">
        <v>34</v>
      </c>
      <c r="F876">
        <v>61765</v>
      </c>
      <c r="G876">
        <v>10</v>
      </c>
      <c r="H876" t="s">
        <v>1920</v>
      </c>
      <c r="I876" t="s">
        <v>35</v>
      </c>
      <c r="J876" t="s">
        <v>28</v>
      </c>
      <c r="K876" t="s">
        <v>29</v>
      </c>
      <c r="L876" t="str">
        <f t="array" ref="L876">_xlfn.IFS(HR_Data[[#This Row],[Experience]]&lt;2,"0-2 Years",HR_Data[[#This Row],[Experience]]&lt;5,"2-5 Years",HR_Data[[#This Row],[Experience]]&lt;10,"5-10 Years",TRUE(),"10+ Years")</f>
        <v>10+ Years</v>
      </c>
      <c r="M876" t="str">
        <f t="array" ref="M876">_xlfn.IFS(HR_Data[[#This Row],[Salary]]&lt;40000,"Low",HR_Data[[#This Row],[Salary]]&lt;70000,"Medium",HR_Data[[#This Row],[Salary]]&lt;100000,"High",TRUE(),"Very High")</f>
        <v>Medium</v>
      </c>
      <c r="N876" t="str">
        <f t="array" ref="N876">_xlfn.IFS(HR_Data[[#This Row],[Age]]&lt;25,"18-24",HR_Data[[#This Row],[Age]]&lt;35,"25-34",HR_Data[[#This Row],[Age]]&lt;45,"35-44",TRUE(),"45+")</f>
        <v>25-34</v>
      </c>
      <c r="O876">
        <f>YEAR(HR_Data[[#This Row],[Joining Date]])</f>
        <v>2019</v>
      </c>
      <c r="P876" t="str">
        <f>TEXT(HR_Data[[#This Row],[Joining Date]],"mmmm")</f>
        <v>January</v>
      </c>
      <c r="Q876">
        <f t="array" ref="Q876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76">
        <f>HR_Data[[#This Row],[Salary]]*HR_Data[[#This Row],[Bonus %]]</f>
        <v>9264.75</v>
      </c>
      <c r="S876">
        <f>HR_Data[[#This Row],[Salary]]+HR_Data[[#This Row],[Bonus Amount]]</f>
        <v>71029.75</v>
      </c>
      <c r="T876" t="str">
        <f>IF(HR_Data[[#This Row],[Attrition]]="Yes","Inactive","Active")</f>
        <v>Active</v>
      </c>
      <c r="U876" t="str">
        <f t="array" ref="U876">_xlfn.IFS(HR_Data[[#This Row],[Salary]]&gt;=100000,"A",HR_Data[[#This Row],[Salary]]&gt;=70000,"B",HR_Data[[#This Row],[Salary]]&gt;=50000,"C",TRUE(),"D")</f>
        <v>C</v>
      </c>
      <c r="V876" t="str">
        <f t="array" ref="V876">_xlfn.IFS(HR_Data[[#This Row],[Experience]]&gt;=15,"Expert",HR_Data[[#This Row],[Experience]]&gt;=8,"Senior",HR_Data[[#This Row],[Experience]]&gt;=3,"Mid-Level",TRUE(),"Junior")</f>
        <v>Senior</v>
      </c>
    </row>
    <row r="877" spans="1:22" ht="14.25" customHeight="1" x14ac:dyDescent="0.3">
      <c r="A877" t="s">
        <v>1921</v>
      </c>
      <c r="B877" t="s">
        <v>307</v>
      </c>
      <c r="C877" t="s">
        <v>112</v>
      </c>
      <c r="D877" t="s">
        <v>25</v>
      </c>
      <c r="E877">
        <v>31</v>
      </c>
      <c r="F877">
        <v>42911</v>
      </c>
      <c r="G877">
        <v>8</v>
      </c>
      <c r="H877" t="s">
        <v>1922</v>
      </c>
      <c r="I877" t="s">
        <v>57</v>
      </c>
      <c r="J877" t="s">
        <v>36</v>
      </c>
      <c r="K877" t="s">
        <v>29</v>
      </c>
      <c r="L877" t="str">
        <f t="array" ref="L877">_xlfn.IFS(HR_Data[[#This Row],[Experience]]&lt;2,"0-2 Years",HR_Data[[#This Row],[Experience]]&lt;5,"2-5 Years",HR_Data[[#This Row],[Experience]]&lt;10,"5-10 Years",TRUE(),"10+ Years")</f>
        <v>5-10 Years</v>
      </c>
      <c r="M877" t="str">
        <f t="array" ref="M877">_xlfn.IFS(HR_Data[[#This Row],[Salary]]&lt;40000,"Low",HR_Data[[#This Row],[Salary]]&lt;70000,"Medium",HR_Data[[#This Row],[Salary]]&lt;100000,"High",TRUE(),"Very High")</f>
        <v>Medium</v>
      </c>
      <c r="N877" t="str">
        <f t="array" ref="N877">_xlfn.IFS(HR_Data[[#This Row],[Age]]&lt;25,"18-24",HR_Data[[#This Row],[Age]]&lt;35,"25-34",HR_Data[[#This Row],[Age]]&lt;45,"35-44",TRUE(),"45+")</f>
        <v>25-34</v>
      </c>
      <c r="O877">
        <f>YEAR(HR_Data[[#This Row],[Joining Date]])</f>
        <v>2018</v>
      </c>
      <c r="P877" t="str">
        <f>TEXT(HR_Data[[#This Row],[Joining Date]],"mmmm")</f>
        <v>June</v>
      </c>
      <c r="Q877">
        <f t="array" ref="Q877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77">
        <f>HR_Data[[#This Row],[Salary]]*HR_Data[[#This Row],[Bonus %]]</f>
        <v>4291.1000000000004</v>
      </c>
      <c r="S877">
        <f>HR_Data[[#This Row],[Salary]]+HR_Data[[#This Row],[Bonus Amount]]</f>
        <v>47202.1</v>
      </c>
      <c r="T877" t="str">
        <f>IF(HR_Data[[#This Row],[Attrition]]="Yes","Inactive","Active")</f>
        <v>Active</v>
      </c>
      <c r="U877" t="str">
        <f t="array" ref="U877">_xlfn.IFS(HR_Data[[#This Row],[Salary]]&gt;=100000,"A",HR_Data[[#This Row],[Salary]]&gt;=70000,"B",HR_Data[[#This Row],[Salary]]&gt;=50000,"C",TRUE(),"D")</f>
        <v>D</v>
      </c>
      <c r="V877" t="str">
        <f t="array" ref="V877">_xlfn.IFS(HR_Data[[#This Row],[Experience]]&gt;=15,"Expert",HR_Data[[#This Row],[Experience]]&gt;=8,"Senior",HR_Data[[#This Row],[Experience]]&gt;=3,"Mid-Level",TRUE(),"Junior")</f>
        <v>Senior</v>
      </c>
    </row>
    <row r="878" spans="1:22" ht="14.25" customHeight="1" x14ac:dyDescent="0.3">
      <c r="A878" t="s">
        <v>1923</v>
      </c>
      <c r="B878" t="s">
        <v>92</v>
      </c>
      <c r="C878" t="s">
        <v>134</v>
      </c>
      <c r="D878" t="s">
        <v>25</v>
      </c>
      <c r="E878">
        <v>56</v>
      </c>
      <c r="F878">
        <v>115200</v>
      </c>
      <c r="G878">
        <v>26</v>
      </c>
      <c r="H878" t="s">
        <v>1924</v>
      </c>
      <c r="I878" t="s">
        <v>62</v>
      </c>
      <c r="J878" t="s">
        <v>36</v>
      </c>
      <c r="K878" t="s">
        <v>29</v>
      </c>
      <c r="L878" t="str">
        <f t="array" ref="L878">_xlfn.IFS(HR_Data[[#This Row],[Experience]]&lt;2,"0-2 Years",HR_Data[[#This Row],[Experience]]&lt;5,"2-5 Years",HR_Data[[#This Row],[Experience]]&lt;10,"5-10 Years",TRUE(),"10+ Years")</f>
        <v>10+ Years</v>
      </c>
      <c r="M878" t="str">
        <f t="array" ref="M878">_xlfn.IFS(HR_Data[[#This Row],[Salary]]&lt;40000,"Low",HR_Data[[#This Row],[Salary]]&lt;70000,"Medium",HR_Data[[#This Row],[Salary]]&lt;100000,"High",TRUE(),"Very High")</f>
        <v>Very High</v>
      </c>
      <c r="N878" t="str">
        <f t="array" ref="N878">_xlfn.IFS(HR_Data[[#This Row],[Age]]&lt;25,"18-24",HR_Data[[#This Row],[Age]]&lt;35,"25-34",HR_Data[[#This Row],[Age]]&lt;45,"35-44",TRUE(),"45+")</f>
        <v>45+</v>
      </c>
      <c r="O878">
        <f>YEAR(HR_Data[[#This Row],[Joining Date]])</f>
        <v>2019</v>
      </c>
      <c r="P878" t="str">
        <f>TEXT(HR_Data[[#This Row],[Joining Date]],"mmmm")</f>
        <v>February</v>
      </c>
      <c r="Q878">
        <f t="array" ref="Q87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78">
        <f>HR_Data[[#This Row],[Salary]]*HR_Data[[#This Row],[Bonus %]]</f>
        <v>11520</v>
      </c>
      <c r="S878">
        <f>HR_Data[[#This Row],[Salary]]+HR_Data[[#This Row],[Bonus Amount]]</f>
        <v>126720</v>
      </c>
      <c r="T878" t="str">
        <f>IF(HR_Data[[#This Row],[Attrition]]="Yes","Inactive","Active")</f>
        <v>Active</v>
      </c>
      <c r="U878" t="str">
        <f t="array" ref="U878">_xlfn.IFS(HR_Data[[#This Row],[Salary]]&gt;=100000,"A",HR_Data[[#This Row],[Salary]]&gt;=70000,"B",HR_Data[[#This Row],[Salary]]&gt;=50000,"C",TRUE(),"D")</f>
        <v>A</v>
      </c>
      <c r="V878" t="str">
        <f t="array" ref="V878">_xlfn.IFS(HR_Data[[#This Row],[Experience]]&gt;=15,"Expert",HR_Data[[#This Row],[Experience]]&gt;=8,"Senior",HR_Data[[#This Row],[Experience]]&gt;=3,"Mid-Level",TRUE(),"Junior")</f>
        <v>Expert</v>
      </c>
    </row>
    <row r="879" spans="1:22" ht="14.25" customHeight="1" x14ac:dyDescent="0.3">
      <c r="A879" t="s">
        <v>1925</v>
      </c>
      <c r="B879" t="s">
        <v>166</v>
      </c>
      <c r="C879" t="s">
        <v>55</v>
      </c>
      <c r="D879" t="s">
        <v>33</v>
      </c>
      <c r="E879">
        <v>60</v>
      </c>
      <c r="F879">
        <v>130096</v>
      </c>
      <c r="G879">
        <v>33</v>
      </c>
      <c r="H879" t="s">
        <v>1926</v>
      </c>
      <c r="I879" t="s">
        <v>42</v>
      </c>
      <c r="J879" t="s">
        <v>36</v>
      </c>
      <c r="K879" t="s">
        <v>37</v>
      </c>
      <c r="L879" t="str">
        <f t="array" ref="L879">_xlfn.IFS(HR_Data[[#This Row],[Experience]]&lt;2,"0-2 Years",HR_Data[[#This Row],[Experience]]&lt;5,"2-5 Years",HR_Data[[#This Row],[Experience]]&lt;10,"5-10 Years",TRUE(),"10+ Years")</f>
        <v>10+ Years</v>
      </c>
      <c r="M879" t="str">
        <f t="array" ref="M879">_xlfn.IFS(HR_Data[[#This Row],[Salary]]&lt;40000,"Low",HR_Data[[#This Row],[Salary]]&lt;70000,"Medium",HR_Data[[#This Row],[Salary]]&lt;100000,"High",TRUE(),"Very High")</f>
        <v>Very High</v>
      </c>
      <c r="N879" t="str">
        <f t="array" ref="N879">_xlfn.IFS(HR_Data[[#This Row],[Age]]&lt;25,"18-24",HR_Data[[#This Row],[Age]]&lt;35,"25-34",HR_Data[[#This Row],[Age]]&lt;45,"35-44",TRUE(),"45+")</f>
        <v>45+</v>
      </c>
      <c r="O879">
        <f>YEAR(HR_Data[[#This Row],[Joining Date]])</f>
        <v>2021</v>
      </c>
      <c r="P879" t="str">
        <f>TEXT(HR_Data[[#This Row],[Joining Date]],"mmmm")</f>
        <v>November</v>
      </c>
      <c r="Q879">
        <f t="array" ref="Q87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79">
        <f>HR_Data[[#This Row],[Salary]]*HR_Data[[#This Row],[Bonus %]]</f>
        <v>13009.6</v>
      </c>
      <c r="S879">
        <f>HR_Data[[#This Row],[Salary]]+HR_Data[[#This Row],[Bonus Amount]]</f>
        <v>143105.60000000001</v>
      </c>
      <c r="T879" t="str">
        <f>IF(HR_Data[[#This Row],[Attrition]]="Yes","Inactive","Active")</f>
        <v>Inactive</v>
      </c>
      <c r="U879" t="str">
        <f t="array" ref="U879">_xlfn.IFS(HR_Data[[#This Row],[Salary]]&gt;=100000,"A",HR_Data[[#This Row],[Salary]]&gt;=70000,"B",HR_Data[[#This Row],[Salary]]&gt;=50000,"C",TRUE(),"D")</f>
        <v>A</v>
      </c>
      <c r="V879" t="str">
        <f t="array" ref="V879">_xlfn.IFS(HR_Data[[#This Row],[Experience]]&gt;=15,"Expert",HR_Data[[#This Row],[Experience]]&gt;=8,"Senior",HR_Data[[#This Row],[Experience]]&gt;=3,"Mid-Level",TRUE(),"Junior")</f>
        <v>Expert</v>
      </c>
    </row>
    <row r="880" spans="1:22" ht="14.25" customHeight="1" x14ac:dyDescent="0.3">
      <c r="A880" t="s">
        <v>1927</v>
      </c>
      <c r="B880" t="s">
        <v>734</v>
      </c>
      <c r="C880" t="s">
        <v>93</v>
      </c>
      <c r="D880" t="s">
        <v>33</v>
      </c>
      <c r="E880">
        <v>34</v>
      </c>
      <c r="F880">
        <v>37665</v>
      </c>
      <c r="G880">
        <v>4</v>
      </c>
      <c r="H880" t="s">
        <v>1928</v>
      </c>
      <c r="I880" t="s">
        <v>62</v>
      </c>
      <c r="J880" t="s">
        <v>28</v>
      </c>
      <c r="K880" t="s">
        <v>37</v>
      </c>
      <c r="L880" t="str">
        <f t="array" ref="L880">_xlfn.IFS(HR_Data[[#This Row],[Experience]]&lt;2,"0-2 Years",HR_Data[[#This Row],[Experience]]&lt;5,"2-5 Years",HR_Data[[#This Row],[Experience]]&lt;10,"5-10 Years",TRUE(),"10+ Years")</f>
        <v>2-5 Years</v>
      </c>
      <c r="M880" t="str">
        <f t="array" ref="M880">_xlfn.IFS(HR_Data[[#This Row],[Salary]]&lt;40000,"Low",HR_Data[[#This Row],[Salary]]&lt;70000,"Medium",HR_Data[[#This Row],[Salary]]&lt;100000,"High",TRUE(),"Very High")</f>
        <v>Low</v>
      </c>
      <c r="N880" t="str">
        <f t="array" ref="N880">_xlfn.IFS(HR_Data[[#This Row],[Age]]&lt;25,"18-24",HR_Data[[#This Row],[Age]]&lt;35,"25-34",HR_Data[[#This Row],[Age]]&lt;45,"35-44",TRUE(),"45+")</f>
        <v>25-34</v>
      </c>
      <c r="O880">
        <f>YEAR(HR_Data[[#This Row],[Joining Date]])</f>
        <v>2017</v>
      </c>
      <c r="P880" t="str">
        <f>TEXT(HR_Data[[#This Row],[Joining Date]],"mmmm")</f>
        <v>February</v>
      </c>
      <c r="Q880">
        <f t="array" ref="Q880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80">
        <f>HR_Data[[#This Row],[Salary]]*HR_Data[[#This Row],[Bonus %]]</f>
        <v>5649.75</v>
      </c>
      <c r="S880">
        <f>HR_Data[[#This Row],[Salary]]+HR_Data[[#This Row],[Bonus Amount]]</f>
        <v>43314.75</v>
      </c>
      <c r="T880" t="str">
        <f>IF(HR_Data[[#This Row],[Attrition]]="Yes","Inactive","Active")</f>
        <v>Inactive</v>
      </c>
      <c r="U880" t="str">
        <f t="array" ref="U880">_xlfn.IFS(HR_Data[[#This Row],[Salary]]&gt;=100000,"A",HR_Data[[#This Row],[Salary]]&gt;=70000,"B",HR_Data[[#This Row],[Salary]]&gt;=50000,"C",TRUE(),"D")</f>
        <v>D</v>
      </c>
      <c r="V880" t="str">
        <f t="array" ref="V880">_xlfn.IFS(HR_Data[[#This Row],[Experience]]&gt;=15,"Expert",HR_Data[[#This Row],[Experience]]&gt;=8,"Senior",HR_Data[[#This Row],[Experience]]&gt;=3,"Mid-Level",TRUE(),"Junior")</f>
        <v>Mid-Level</v>
      </c>
    </row>
    <row r="881" spans="1:22" ht="14.25" customHeight="1" x14ac:dyDescent="0.3">
      <c r="A881" t="s">
        <v>1929</v>
      </c>
      <c r="B881" t="s">
        <v>23</v>
      </c>
      <c r="C881" t="s">
        <v>32</v>
      </c>
      <c r="D881" t="s">
        <v>33</v>
      </c>
      <c r="E881">
        <v>60</v>
      </c>
      <c r="F881">
        <v>123870</v>
      </c>
      <c r="G881">
        <v>32</v>
      </c>
      <c r="H881" t="s">
        <v>784</v>
      </c>
      <c r="I881" t="s">
        <v>72</v>
      </c>
      <c r="J881" t="s">
        <v>36</v>
      </c>
      <c r="K881" t="s">
        <v>29</v>
      </c>
      <c r="L881" t="str">
        <f t="array" ref="L881">_xlfn.IFS(HR_Data[[#This Row],[Experience]]&lt;2,"0-2 Years",HR_Data[[#This Row],[Experience]]&lt;5,"2-5 Years",HR_Data[[#This Row],[Experience]]&lt;10,"5-10 Years",TRUE(),"10+ Years")</f>
        <v>10+ Years</v>
      </c>
      <c r="M881" t="str">
        <f t="array" ref="M881">_xlfn.IFS(HR_Data[[#This Row],[Salary]]&lt;40000,"Low",HR_Data[[#This Row],[Salary]]&lt;70000,"Medium",HR_Data[[#This Row],[Salary]]&lt;100000,"High",TRUE(),"Very High")</f>
        <v>Very High</v>
      </c>
      <c r="N881" t="str">
        <f t="array" ref="N881">_xlfn.IFS(HR_Data[[#This Row],[Age]]&lt;25,"18-24",HR_Data[[#This Row],[Age]]&lt;35,"25-34",HR_Data[[#This Row],[Age]]&lt;45,"35-44",TRUE(),"45+")</f>
        <v>45+</v>
      </c>
      <c r="O881">
        <f>YEAR(HR_Data[[#This Row],[Joining Date]])</f>
        <v>2025</v>
      </c>
      <c r="P881" t="str">
        <f>TEXT(HR_Data[[#This Row],[Joining Date]],"mmmm")</f>
        <v>October</v>
      </c>
      <c r="Q881">
        <f t="array" ref="Q88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81">
        <f>HR_Data[[#This Row],[Salary]]*HR_Data[[#This Row],[Bonus %]]</f>
        <v>12387</v>
      </c>
      <c r="S881">
        <f>HR_Data[[#This Row],[Salary]]+HR_Data[[#This Row],[Bonus Amount]]</f>
        <v>136257</v>
      </c>
      <c r="T881" t="str">
        <f>IF(HR_Data[[#This Row],[Attrition]]="Yes","Inactive","Active")</f>
        <v>Active</v>
      </c>
      <c r="U881" t="str">
        <f t="array" ref="U881">_xlfn.IFS(HR_Data[[#This Row],[Salary]]&gt;=100000,"A",HR_Data[[#This Row],[Salary]]&gt;=70000,"B",HR_Data[[#This Row],[Salary]]&gt;=50000,"C",TRUE(),"D")</f>
        <v>A</v>
      </c>
      <c r="V881" t="str">
        <f t="array" ref="V881">_xlfn.IFS(HR_Data[[#This Row],[Experience]]&gt;=15,"Expert",HR_Data[[#This Row],[Experience]]&gt;=8,"Senior",HR_Data[[#This Row],[Experience]]&gt;=3,"Mid-Level",TRUE(),"Junior")</f>
        <v>Expert</v>
      </c>
    </row>
    <row r="882" spans="1:22" ht="14.25" customHeight="1" x14ac:dyDescent="0.3">
      <c r="A882" t="s">
        <v>1930</v>
      </c>
      <c r="B882" t="s">
        <v>332</v>
      </c>
      <c r="C882" t="s">
        <v>24</v>
      </c>
      <c r="D882" t="s">
        <v>33</v>
      </c>
      <c r="E882">
        <v>42</v>
      </c>
      <c r="F882">
        <v>55638</v>
      </c>
      <c r="G882">
        <v>12</v>
      </c>
      <c r="H882" t="s">
        <v>1931</v>
      </c>
      <c r="I882" t="s">
        <v>72</v>
      </c>
      <c r="J882" t="s">
        <v>36</v>
      </c>
      <c r="K882" t="s">
        <v>29</v>
      </c>
      <c r="L882" t="str">
        <f t="array" ref="L882">_xlfn.IFS(HR_Data[[#This Row],[Experience]]&lt;2,"0-2 Years",HR_Data[[#This Row],[Experience]]&lt;5,"2-5 Years",HR_Data[[#This Row],[Experience]]&lt;10,"5-10 Years",TRUE(),"10+ Years")</f>
        <v>10+ Years</v>
      </c>
      <c r="M882" t="str">
        <f t="array" ref="M882">_xlfn.IFS(HR_Data[[#This Row],[Salary]]&lt;40000,"Low",HR_Data[[#This Row],[Salary]]&lt;70000,"Medium",HR_Data[[#This Row],[Salary]]&lt;100000,"High",TRUE(),"Very High")</f>
        <v>Medium</v>
      </c>
      <c r="N882" t="str">
        <f t="array" ref="N882">_xlfn.IFS(HR_Data[[#This Row],[Age]]&lt;25,"18-24",HR_Data[[#This Row],[Age]]&lt;35,"25-34",HR_Data[[#This Row],[Age]]&lt;45,"35-44",TRUE(),"45+")</f>
        <v>35-44</v>
      </c>
      <c r="O882">
        <f>YEAR(HR_Data[[#This Row],[Joining Date]])</f>
        <v>2024</v>
      </c>
      <c r="P882" t="str">
        <f>TEXT(HR_Data[[#This Row],[Joining Date]],"mmmm")</f>
        <v>July</v>
      </c>
      <c r="Q882">
        <f t="array" ref="Q88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82">
        <f>HR_Data[[#This Row],[Salary]]*HR_Data[[#This Row],[Bonus %]]</f>
        <v>5563.8</v>
      </c>
      <c r="S882">
        <f>HR_Data[[#This Row],[Salary]]+HR_Data[[#This Row],[Bonus Amount]]</f>
        <v>61201.8</v>
      </c>
      <c r="T882" t="str">
        <f>IF(HR_Data[[#This Row],[Attrition]]="Yes","Inactive","Active")</f>
        <v>Active</v>
      </c>
      <c r="U882" t="str">
        <f t="array" ref="U882">_xlfn.IFS(HR_Data[[#This Row],[Salary]]&gt;=100000,"A",HR_Data[[#This Row],[Salary]]&gt;=70000,"B",HR_Data[[#This Row],[Salary]]&gt;=50000,"C",TRUE(),"D")</f>
        <v>C</v>
      </c>
      <c r="V882" t="str">
        <f t="array" ref="V882">_xlfn.IFS(HR_Data[[#This Row],[Experience]]&gt;=15,"Expert",HR_Data[[#This Row],[Experience]]&gt;=8,"Senior",HR_Data[[#This Row],[Experience]]&gt;=3,"Mid-Level",TRUE(),"Junior")</f>
        <v>Senior</v>
      </c>
    </row>
    <row r="883" spans="1:22" ht="14.25" customHeight="1" x14ac:dyDescent="0.3">
      <c r="A883" t="s">
        <v>1932</v>
      </c>
      <c r="B883" t="s">
        <v>143</v>
      </c>
      <c r="C883" t="s">
        <v>55</v>
      </c>
      <c r="D883" t="s">
        <v>33</v>
      </c>
      <c r="E883">
        <v>49</v>
      </c>
      <c r="F883">
        <v>123754</v>
      </c>
      <c r="G883">
        <v>28</v>
      </c>
      <c r="H883" t="s">
        <v>1933</v>
      </c>
      <c r="I883" t="s">
        <v>62</v>
      </c>
      <c r="J883" t="s">
        <v>28</v>
      </c>
      <c r="K883" t="s">
        <v>29</v>
      </c>
      <c r="L883" t="str">
        <f t="array" ref="L883">_xlfn.IFS(HR_Data[[#This Row],[Experience]]&lt;2,"0-2 Years",HR_Data[[#This Row],[Experience]]&lt;5,"2-5 Years",HR_Data[[#This Row],[Experience]]&lt;10,"5-10 Years",TRUE(),"10+ Years")</f>
        <v>10+ Years</v>
      </c>
      <c r="M883" t="str">
        <f t="array" ref="M883">_xlfn.IFS(HR_Data[[#This Row],[Salary]]&lt;40000,"Low",HR_Data[[#This Row],[Salary]]&lt;70000,"Medium",HR_Data[[#This Row],[Salary]]&lt;100000,"High",TRUE(),"Very High")</f>
        <v>Very High</v>
      </c>
      <c r="N883" t="str">
        <f t="array" ref="N883">_xlfn.IFS(HR_Data[[#This Row],[Age]]&lt;25,"18-24",HR_Data[[#This Row],[Age]]&lt;35,"25-34",HR_Data[[#This Row],[Age]]&lt;45,"35-44",TRUE(),"45+")</f>
        <v>45+</v>
      </c>
      <c r="O883">
        <f>YEAR(HR_Data[[#This Row],[Joining Date]])</f>
        <v>2020</v>
      </c>
      <c r="P883" t="str">
        <f>TEXT(HR_Data[[#This Row],[Joining Date]],"mmmm")</f>
        <v>January</v>
      </c>
      <c r="Q883">
        <f t="array" ref="Q88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83">
        <f>HR_Data[[#This Row],[Salary]]*HR_Data[[#This Row],[Bonus %]]</f>
        <v>18563.099999999999</v>
      </c>
      <c r="S883">
        <f>HR_Data[[#This Row],[Salary]]+HR_Data[[#This Row],[Bonus Amount]]</f>
        <v>142317.1</v>
      </c>
      <c r="T883" t="str">
        <f>IF(HR_Data[[#This Row],[Attrition]]="Yes","Inactive","Active")</f>
        <v>Active</v>
      </c>
      <c r="U883" t="str">
        <f t="array" ref="U883">_xlfn.IFS(HR_Data[[#This Row],[Salary]]&gt;=100000,"A",HR_Data[[#This Row],[Salary]]&gt;=70000,"B",HR_Data[[#This Row],[Salary]]&gt;=50000,"C",TRUE(),"D")</f>
        <v>A</v>
      </c>
      <c r="V883" t="str">
        <f t="array" ref="V883">_xlfn.IFS(HR_Data[[#This Row],[Experience]]&gt;=15,"Expert",HR_Data[[#This Row],[Experience]]&gt;=8,"Senior",HR_Data[[#This Row],[Experience]]&gt;=3,"Mid-Level",TRUE(),"Junior")</f>
        <v>Expert</v>
      </c>
    </row>
    <row r="884" spans="1:22" ht="14.25" customHeight="1" x14ac:dyDescent="0.3">
      <c r="A884" t="s">
        <v>1934</v>
      </c>
      <c r="B884" t="s">
        <v>332</v>
      </c>
      <c r="C884" t="s">
        <v>40</v>
      </c>
      <c r="D884" t="s">
        <v>25</v>
      </c>
      <c r="E884">
        <v>56</v>
      </c>
      <c r="F884">
        <v>121786</v>
      </c>
      <c r="G884">
        <v>31</v>
      </c>
      <c r="H884" t="s">
        <v>1450</v>
      </c>
      <c r="I884" t="s">
        <v>80</v>
      </c>
      <c r="J884" t="s">
        <v>90</v>
      </c>
      <c r="K884" t="s">
        <v>29</v>
      </c>
      <c r="L884" t="str">
        <f t="array" ref="L884">_xlfn.IFS(HR_Data[[#This Row],[Experience]]&lt;2,"0-2 Years",HR_Data[[#This Row],[Experience]]&lt;5,"2-5 Years",HR_Data[[#This Row],[Experience]]&lt;10,"5-10 Years",TRUE(),"10+ Years")</f>
        <v>10+ Years</v>
      </c>
      <c r="M884" t="str">
        <f t="array" ref="M884">_xlfn.IFS(HR_Data[[#This Row],[Salary]]&lt;40000,"Low",HR_Data[[#This Row],[Salary]]&lt;70000,"Medium",HR_Data[[#This Row],[Salary]]&lt;100000,"High",TRUE(),"Very High")</f>
        <v>Very High</v>
      </c>
      <c r="N884" t="str">
        <f t="array" ref="N884">_xlfn.IFS(HR_Data[[#This Row],[Age]]&lt;25,"18-24",HR_Data[[#This Row],[Age]]&lt;35,"25-34",HR_Data[[#This Row],[Age]]&lt;45,"35-44",TRUE(),"45+")</f>
        <v>45+</v>
      </c>
      <c r="O884">
        <f>YEAR(HR_Data[[#This Row],[Joining Date]])</f>
        <v>2023</v>
      </c>
      <c r="P884" t="str">
        <f>TEXT(HR_Data[[#This Row],[Joining Date]],"mmmm")</f>
        <v>May</v>
      </c>
      <c r="Q884">
        <f t="array" ref="Q884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884">
        <f>HR_Data[[#This Row],[Salary]]*HR_Data[[#This Row],[Bonus %]]</f>
        <v>0</v>
      </c>
      <c r="S884">
        <f>HR_Data[[#This Row],[Salary]]+HR_Data[[#This Row],[Bonus Amount]]</f>
        <v>121786</v>
      </c>
      <c r="T884" t="str">
        <f>IF(HR_Data[[#This Row],[Attrition]]="Yes","Inactive","Active")</f>
        <v>Active</v>
      </c>
      <c r="U884" t="str">
        <f t="array" ref="U884">_xlfn.IFS(HR_Data[[#This Row],[Salary]]&gt;=100000,"A",HR_Data[[#This Row],[Salary]]&gt;=70000,"B",HR_Data[[#This Row],[Salary]]&gt;=50000,"C",TRUE(),"D")</f>
        <v>A</v>
      </c>
      <c r="V884" t="str">
        <f t="array" ref="V884">_xlfn.IFS(HR_Data[[#This Row],[Experience]]&gt;=15,"Expert",HR_Data[[#This Row],[Experience]]&gt;=8,"Senior",HR_Data[[#This Row],[Experience]]&gt;=3,"Mid-Level",TRUE(),"Junior")</f>
        <v>Expert</v>
      </c>
    </row>
    <row r="885" spans="1:22" ht="14.25" customHeight="1" x14ac:dyDescent="0.3">
      <c r="A885" t="s">
        <v>1935</v>
      </c>
      <c r="B885" t="s">
        <v>600</v>
      </c>
      <c r="C885" t="s">
        <v>134</v>
      </c>
      <c r="D885" t="s">
        <v>33</v>
      </c>
      <c r="E885">
        <v>53</v>
      </c>
      <c r="F885">
        <v>121675</v>
      </c>
      <c r="G885">
        <v>30</v>
      </c>
      <c r="H885" t="s">
        <v>1936</v>
      </c>
      <c r="I885" t="s">
        <v>35</v>
      </c>
      <c r="J885" t="s">
        <v>63</v>
      </c>
      <c r="K885" t="s">
        <v>29</v>
      </c>
      <c r="L885" t="str">
        <f t="array" ref="L885">_xlfn.IFS(HR_Data[[#This Row],[Experience]]&lt;2,"0-2 Years",HR_Data[[#This Row],[Experience]]&lt;5,"2-5 Years",HR_Data[[#This Row],[Experience]]&lt;10,"5-10 Years",TRUE(),"10+ Years")</f>
        <v>10+ Years</v>
      </c>
      <c r="M885" t="str">
        <f t="array" ref="M885">_xlfn.IFS(HR_Data[[#This Row],[Salary]]&lt;40000,"Low",HR_Data[[#This Row],[Salary]]&lt;70000,"Medium",HR_Data[[#This Row],[Salary]]&lt;100000,"High",TRUE(),"Very High")</f>
        <v>Very High</v>
      </c>
      <c r="N885" t="str">
        <f t="array" ref="N885">_xlfn.IFS(HR_Data[[#This Row],[Age]]&lt;25,"18-24",HR_Data[[#This Row],[Age]]&lt;35,"25-34",HR_Data[[#This Row],[Age]]&lt;45,"35-44",TRUE(),"45+")</f>
        <v>45+</v>
      </c>
      <c r="O885">
        <f>YEAR(HR_Data[[#This Row],[Joining Date]])</f>
        <v>2019</v>
      </c>
      <c r="P885" t="str">
        <f>TEXT(HR_Data[[#This Row],[Joining Date]],"mmmm")</f>
        <v>October</v>
      </c>
      <c r="Q885">
        <f t="array" ref="Q885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885">
        <f>HR_Data[[#This Row],[Salary]]*HR_Data[[#This Row],[Bonus %]]</f>
        <v>24335</v>
      </c>
      <c r="S885">
        <f>HR_Data[[#This Row],[Salary]]+HR_Data[[#This Row],[Bonus Amount]]</f>
        <v>146010</v>
      </c>
      <c r="T885" t="str">
        <f>IF(HR_Data[[#This Row],[Attrition]]="Yes","Inactive","Active")</f>
        <v>Active</v>
      </c>
      <c r="U885" t="str">
        <f t="array" ref="U885">_xlfn.IFS(HR_Data[[#This Row],[Salary]]&gt;=100000,"A",HR_Data[[#This Row],[Salary]]&gt;=70000,"B",HR_Data[[#This Row],[Salary]]&gt;=50000,"C",TRUE(),"D")</f>
        <v>A</v>
      </c>
      <c r="V885" t="str">
        <f t="array" ref="V885">_xlfn.IFS(HR_Data[[#This Row],[Experience]]&gt;=15,"Expert",HR_Data[[#This Row],[Experience]]&gt;=8,"Senior",HR_Data[[#This Row],[Experience]]&gt;=3,"Mid-Level",TRUE(),"Junior")</f>
        <v>Expert</v>
      </c>
    </row>
    <row r="886" spans="1:22" ht="14.25" customHeight="1" x14ac:dyDescent="0.3">
      <c r="A886" t="s">
        <v>1937</v>
      </c>
      <c r="B886" t="s">
        <v>325</v>
      </c>
      <c r="C886" t="s">
        <v>112</v>
      </c>
      <c r="D886" t="s">
        <v>25</v>
      </c>
      <c r="E886">
        <v>50</v>
      </c>
      <c r="F886">
        <v>127857</v>
      </c>
      <c r="G886">
        <v>31</v>
      </c>
      <c r="H886" t="s">
        <v>1938</v>
      </c>
      <c r="I886" t="s">
        <v>132</v>
      </c>
      <c r="J886" t="s">
        <v>36</v>
      </c>
      <c r="K886" t="s">
        <v>29</v>
      </c>
      <c r="L886" t="str">
        <f t="array" ref="L886">_xlfn.IFS(HR_Data[[#This Row],[Experience]]&lt;2,"0-2 Years",HR_Data[[#This Row],[Experience]]&lt;5,"2-5 Years",HR_Data[[#This Row],[Experience]]&lt;10,"5-10 Years",TRUE(),"10+ Years")</f>
        <v>10+ Years</v>
      </c>
      <c r="M886" t="str">
        <f t="array" ref="M886">_xlfn.IFS(HR_Data[[#This Row],[Salary]]&lt;40000,"Low",HR_Data[[#This Row],[Salary]]&lt;70000,"Medium",HR_Data[[#This Row],[Salary]]&lt;100000,"High",TRUE(),"Very High")</f>
        <v>Very High</v>
      </c>
      <c r="N886" t="str">
        <f t="array" ref="N886">_xlfn.IFS(HR_Data[[#This Row],[Age]]&lt;25,"18-24",HR_Data[[#This Row],[Age]]&lt;35,"25-34",HR_Data[[#This Row],[Age]]&lt;45,"35-44",TRUE(),"45+")</f>
        <v>45+</v>
      </c>
      <c r="O886">
        <f>YEAR(HR_Data[[#This Row],[Joining Date]])</f>
        <v>2015</v>
      </c>
      <c r="P886" t="str">
        <f>TEXT(HR_Data[[#This Row],[Joining Date]],"mmmm")</f>
        <v>February</v>
      </c>
      <c r="Q886">
        <f t="array" ref="Q88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86">
        <f>HR_Data[[#This Row],[Salary]]*HR_Data[[#This Row],[Bonus %]]</f>
        <v>12785.7</v>
      </c>
      <c r="S886">
        <f>HR_Data[[#This Row],[Salary]]+HR_Data[[#This Row],[Bonus Amount]]</f>
        <v>140642.70000000001</v>
      </c>
      <c r="T886" t="str">
        <f>IF(HR_Data[[#This Row],[Attrition]]="Yes","Inactive","Active")</f>
        <v>Active</v>
      </c>
      <c r="U886" t="str">
        <f t="array" ref="U886">_xlfn.IFS(HR_Data[[#This Row],[Salary]]&gt;=100000,"A",HR_Data[[#This Row],[Salary]]&gt;=70000,"B",HR_Data[[#This Row],[Salary]]&gt;=50000,"C",TRUE(),"D")</f>
        <v>A</v>
      </c>
      <c r="V886" t="str">
        <f t="array" ref="V886">_xlfn.IFS(HR_Data[[#This Row],[Experience]]&gt;=15,"Expert",HR_Data[[#This Row],[Experience]]&gt;=8,"Senior",HR_Data[[#This Row],[Experience]]&gt;=3,"Mid-Level",TRUE(),"Junior")</f>
        <v>Expert</v>
      </c>
    </row>
    <row r="887" spans="1:22" ht="14.25" customHeight="1" x14ac:dyDescent="0.3">
      <c r="A887" t="s">
        <v>1939</v>
      </c>
      <c r="B887" t="s">
        <v>447</v>
      </c>
      <c r="C887" t="s">
        <v>70</v>
      </c>
      <c r="D887" t="s">
        <v>25</v>
      </c>
      <c r="E887">
        <v>49</v>
      </c>
      <c r="F887">
        <v>97290</v>
      </c>
      <c r="G887">
        <v>25</v>
      </c>
      <c r="H887" t="s">
        <v>1940</v>
      </c>
      <c r="I887" t="s">
        <v>42</v>
      </c>
      <c r="J887" t="s">
        <v>36</v>
      </c>
      <c r="K887" t="s">
        <v>29</v>
      </c>
      <c r="L887" t="str">
        <f t="array" ref="L887">_xlfn.IFS(HR_Data[[#This Row],[Experience]]&lt;2,"0-2 Years",HR_Data[[#This Row],[Experience]]&lt;5,"2-5 Years",HR_Data[[#This Row],[Experience]]&lt;10,"5-10 Years",TRUE(),"10+ Years")</f>
        <v>10+ Years</v>
      </c>
      <c r="M887" t="str">
        <f t="array" ref="M887">_xlfn.IFS(HR_Data[[#This Row],[Salary]]&lt;40000,"Low",HR_Data[[#This Row],[Salary]]&lt;70000,"Medium",HR_Data[[#This Row],[Salary]]&lt;100000,"High",TRUE(),"Very High")</f>
        <v>High</v>
      </c>
      <c r="N887" t="str">
        <f t="array" ref="N887">_xlfn.IFS(HR_Data[[#This Row],[Age]]&lt;25,"18-24",HR_Data[[#This Row],[Age]]&lt;35,"25-34",HR_Data[[#This Row],[Age]]&lt;45,"35-44",TRUE(),"45+")</f>
        <v>45+</v>
      </c>
      <c r="O887">
        <f>YEAR(HR_Data[[#This Row],[Joining Date]])</f>
        <v>2017</v>
      </c>
      <c r="P887" t="str">
        <f>TEXT(HR_Data[[#This Row],[Joining Date]],"mmmm")</f>
        <v>April</v>
      </c>
      <c r="Q887">
        <f t="array" ref="Q887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87">
        <f>HR_Data[[#This Row],[Salary]]*HR_Data[[#This Row],[Bonus %]]</f>
        <v>9729</v>
      </c>
      <c r="S887">
        <f>HR_Data[[#This Row],[Salary]]+HR_Data[[#This Row],[Bonus Amount]]</f>
        <v>107019</v>
      </c>
      <c r="T887" t="str">
        <f>IF(HR_Data[[#This Row],[Attrition]]="Yes","Inactive","Active")</f>
        <v>Active</v>
      </c>
      <c r="U887" t="str">
        <f t="array" ref="U887">_xlfn.IFS(HR_Data[[#This Row],[Salary]]&gt;=100000,"A",HR_Data[[#This Row],[Salary]]&gt;=70000,"B",HR_Data[[#This Row],[Salary]]&gt;=50000,"C",TRUE(),"D")</f>
        <v>B</v>
      </c>
      <c r="V887" t="str">
        <f t="array" ref="V887">_xlfn.IFS(HR_Data[[#This Row],[Experience]]&gt;=15,"Expert",HR_Data[[#This Row],[Experience]]&gt;=8,"Senior",HR_Data[[#This Row],[Experience]]&gt;=3,"Mid-Level",TRUE(),"Junior")</f>
        <v>Expert</v>
      </c>
    </row>
    <row r="888" spans="1:22" ht="14.25" customHeight="1" x14ac:dyDescent="0.3">
      <c r="A888" t="s">
        <v>1941</v>
      </c>
      <c r="B888" t="s">
        <v>370</v>
      </c>
      <c r="C888" t="s">
        <v>32</v>
      </c>
      <c r="D888" t="s">
        <v>33</v>
      </c>
      <c r="E888">
        <v>50</v>
      </c>
      <c r="F888">
        <v>121299</v>
      </c>
      <c r="G888">
        <v>31</v>
      </c>
      <c r="H888" t="s">
        <v>1942</v>
      </c>
      <c r="I888" t="s">
        <v>45</v>
      </c>
      <c r="J888" t="s">
        <v>28</v>
      </c>
      <c r="K888" t="s">
        <v>29</v>
      </c>
      <c r="L888" t="str">
        <f t="array" ref="L888">_xlfn.IFS(HR_Data[[#This Row],[Experience]]&lt;2,"0-2 Years",HR_Data[[#This Row],[Experience]]&lt;5,"2-5 Years",HR_Data[[#This Row],[Experience]]&lt;10,"5-10 Years",TRUE(),"10+ Years")</f>
        <v>10+ Years</v>
      </c>
      <c r="M888" t="str">
        <f t="array" ref="M888">_xlfn.IFS(HR_Data[[#This Row],[Salary]]&lt;40000,"Low",HR_Data[[#This Row],[Salary]]&lt;70000,"Medium",HR_Data[[#This Row],[Salary]]&lt;100000,"High",TRUE(),"Very High")</f>
        <v>Very High</v>
      </c>
      <c r="N888" t="str">
        <f t="array" ref="N888">_xlfn.IFS(HR_Data[[#This Row],[Age]]&lt;25,"18-24",HR_Data[[#This Row],[Age]]&lt;35,"25-34",HR_Data[[#This Row],[Age]]&lt;45,"35-44",TRUE(),"45+")</f>
        <v>45+</v>
      </c>
      <c r="O888">
        <f>YEAR(HR_Data[[#This Row],[Joining Date]])</f>
        <v>2020</v>
      </c>
      <c r="P888" t="str">
        <f>TEXT(HR_Data[[#This Row],[Joining Date]],"mmmm")</f>
        <v>August</v>
      </c>
      <c r="Q888">
        <f t="array" ref="Q888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88">
        <f>HR_Data[[#This Row],[Salary]]*HR_Data[[#This Row],[Bonus %]]</f>
        <v>18194.849999999999</v>
      </c>
      <c r="S888">
        <f>HR_Data[[#This Row],[Salary]]+HR_Data[[#This Row],[Bonus Amount]]</f>
        <v>139493.85</v>
      </c>
      <c r="T888" t="str">
        <f>IF(HR_Data[[#This Row],[Attrition]]="Yes","Inactive","Active")</f>
        <v>Active</v>
      </c>
      <c r="U888" t="str">
        <f t="array" ref="U888">_xlfn.IFS(HR_Data[[#This Row],[Salary]]&gt;=100000,"A",HR_Data[[#This Row],[Salary]]&gt;=70000,"B",HR_Data[[#This Row],[Salary]]&gt;=50000,"C",TRUE(),"D")</f>
        <v>A</v>
      </c>
      <c r="V888" t="str">
        <f t="array" ref="V888">_xlfn.IFS(HR_Data[[#This Row],[Experience]]&gt;=15,"Expert",HR_Data[[#This Row],[Experience]]&gt;=8,"Senior",HR_Data[[#This Row],[Experience]]&gt;=3,"Mid-Level",TRUE(),"Junior")</f>
        <v>Expert</v>
      </c>
    </row>
    <row r="889" spans="1:22" ht="14.25" customHeight="1" x14ac:dyDescent="0.3">
      <c r="A889" t="s">
        <v>1943</v>
      </c>
      <c r="B889" t="s">
        <v>1245</v>
      </c>
      <c r="C889" t="s">
        <v>55</v>
      </c>
      <c r="D889" t="s">
        <v>33</v>
      </c>
      <c r="E889">
        <v>37</v>
      </c>
      <c r="F889">
        <v>85771</v>
      </c>
      <c r="G889">
        <v>17</v>
      </c>
      <c r="H889" t="s">
        <v>1944</v>
      </c>
      <c r="I889" t="s">
        <v>42</v>
      </c>
      <c r="J889" t="s">
        <v>28</v>
      </c>
      <c r="K889" t="s">
        <v>29</v>
      </c>
      <c r="L889" t="str">
        <f t="array" ref="L889">_xlfn.IFS(HR_Data[[#This Row],[Experience]]&lt;2,"0-2 Years",HR_Data[[#This Row],[Experience]]&lt;5,"2-5 Years",HR_Data[[#This Row],[Experience]]&lt;10,"5-10 Years",TRUE(),"10+ Years")</f>
        <v>10+ Years</v>
      </c>
      <c r="M889" t="str">
        <f t="array" ref="M889">_xlfn.IFS(HR_Data[[#This Row],[Salary]]&lt;40000,"Low",HR_Data[[#This Row],[Salary]]&lt;70000,"Medium",HR_Data[[#This Row],[Salary]]&lt;100000,"High",TRUE(),"Very High")</f>
        <v>High</v>
      </c>
      <c r="N889" t="str">
        <f t="array" ref="N889">_xlfn.IFS(HR_Data[[#This Row],[Age]]&lt;25,"18-24",HR_Data[[#This Row],[Age]]&lt;35,"25-34",HR_Data[[#This Row],[Age]]&lt;45,"35-44",TRUE(),"45+")</f>
        <v>35-44</v>
      </c>
      <c r="O889">
        <f>YEAR(HR_Data[[#This Row],[Joining Date]])</f>
        <v>2024</v>
      </c>
      <c r="P889" t="str">
        <f>TEXT(HR_Data[[#This Row],[Joining Date]],"mmmm")</f>
        <v>November</v>
      </c>
      <c r="Q889">
        <f t="array" ref="Q88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89">
        <f>HR_Data[[#This Row],[Salary]]*HR_Data[[#This Row],[Bonus %]]</f>
        <v>12865.65</v>
      </c>
      <c r="S889">
        <f>HR_Data[[#This Row],[Salary]]+HR_Data[[#This Row],[Bonus Amount]]</f>
        <v>98636.65</v>
      </c>
      <c r="T889" t="str">
        <f>IF(HR_Data[[#This Row],[Attrition]]="Yes","Inactive","Active")</f>
        <v>Active</v>
      </c>
      <c r="U889" t="str">
        <f t="array" ref="U889">_xlfn.IFS(HR_Data[[#This Row],[Salary]]&gt;=100000,"A",HR_Data[[#This Row],[Salary]]&gt;=70000,"B",HR_Data[[#This Row],[Salary]]&gt;=50000,"C",TRUE(),"D")</f>
        <v>B</v>
      </c>
      <c r="V889" t="str">
        <f t="array" ref="V889">_xlfn.IFS(HR_Data[[#This Row],[Experience]]&gt;=15,"Expert",HR_Data[[#This Row],[Experience]]&gt;=8,"Senior",HR_Data[[#This Row],[Experience]]&gt;=3,"Mid-Level",TRUE(),"Junior")</f>
        <v>Expert</v>
      </c>
    </row>
    <row r="890" spans="1:22" ht="14.25" customHeight="1" x14ac:dyDescent="0.3">
      <c r="A890" t="s">
        <v>1945</v>
      </c>
      <c r="B890" t="s">
        <v>585</v>
      </c>
      <c r="C890" t="s">
        <v>60</v>
      </c>
      <c r="D890" t="s">
        <v>25</v>
      </c>
      <c r="E890">
        <v>35</v>
      </c>
      <c r="F890">
        <v>56719</v>
      </c>
      <c r="G890">
        <v>12</v>
      </c>
      <c r="H890" t="s">
        <v>1946</v>
      </c>
      <c r="I890" t="s">
        <v>80</v>
      </c>
      <c r="J890" t="s">
        <v>28</v>
      </c>
      <c r="K890" t="s">
        <v>29</v>
      </c>
      <c r="L890" t="str">
        <f t="array" ref="L890">_xlfn.IFS(HR_Data[[#This Row],[Experience]]&lt;2,"0-2 Years",HR_Data[[#This Row],[Experience]]&lt;5,"2-5 Years",HR_Data[[#This Row],[Experience]]&lt;10,"5-10 Years",TRUE(),"10+ Years")</f>
        <v>10+ Years</v>
      </c>
      <c r="M890" t="str">
        <f t="array" ref="M890">_xlfn.IFS(HR_Data[[#This Row],[Salary]]&lt;40000,"Low",HR_Data[[#This Row],[Salary]]&lt;70000,"Medium",HR_Data[[#This Row],[Salary]]&lt;100000,"High",TRUE(),"Very High")</f>
        <v>Medium</v>
      </c>
      <c r="N890" t="str">
        <f t="array" ref="N890">_xlfn.IFS(HR_Data[[#This Row],[Age]]&lt;25,"18-24",HR_Data[[#This Row],[Age]]&lt;35,"25-34",HR_Data[[#This Row],[Age]]&lt;45,"35-44",TRUE(),"45+")</f>
        <v>35-44</v>
      </c>
      <c r="O890">
        <f>YEAR(HR_Data[[#This Row],[Joining Date]])</f>
        <v>2017</v>
      </c>
      <c r="P890" t="str">
        <f>TEXT(HR_Data[[#This Row],[Joining Date]],"mmmm")</f>
        <v>December</v>
      </c>
      <c r="Q890">
        <f t="array" ref="Q890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90">
        <f>HR_Data[[#This Row],[Salary]]*HR_Data[[#This Row],[Bonus %]]</f>
        <v>8507.85</v>
      </c>
      <c r="S890">
        <f>HR_Data[[#This Row],[Salary]]+HR_Data[[#This Row],[Bonus Amount]]</f>
        <v>65226.85</v>
      </c>
      <c r="T890" t="str">
        <f>IF(HR_Data[[#This Row],[Attrition]]="Yes","Inactive","Active")</f>
        <v>Active</v>
      </c>
      <c r="U890" t="str">
        <f t="array" ref="U890">_xlfn.IFS(HR_Data[[#This Row],[Salary]]&gt;=100000,"A",HR_Data[[#This Row],[Salary]]&gt;=70000,"B",HR_Data[[#This Row],[Salary]]&gt;=50000,"C",TRUE(),"D")</f>
        <v>C</v>
      </c>
      <c r="V890" t="str">
        <f t="array" ref="V890">_xlfn.IFS(HR_Data[[#This Row],[Experience]]&gt;=15,"Expert",HR_Data[[#This Row],[Experience]]&gt;=8,"Senior",HR_Data[[#This Row],[Experience]]&gt;=3,"Mid-Level",TRUE(),"Junior")</f>
        <v>Senior</v>
      </c>
    </row>
    <row r="891" spans="1:22" ht="14.25" customHeight="1" x14ac:dyDescent="0.3">
      <c r="A891" t="s">
        <v>1947</v>
      </c>
      <c r="B891" t="s">
        <v>267</v>
      </c>
      <c r="C891" t="s">
        <v>75</v>
      </c>
      <c r="D891" t="s">
        <v>25</v>
      </c>
      <c r="E891">
        <v>32</v>
      </c>
      <c r="F891">
        <v>55425</v>
      </c>
      <c r="G891">
        <v>7</v>
      </c>
      <c r="H891" t="s">
        <v>1948</v>
      </c>
      <c r="I891" t="s">
        <v>132</v>
      </c>
      <c r="J891" t="s">
        <v>46</v>
      </c>
      <c r="K891" t="s">
        <v>29</v>
      </c>
      <c r="L891" t="str">
        <f t="array" ref="L891">_xlfn.IFS(HR_Data[[#This Row],[Experience]]&lt;2,"0-2 Years",HR_Data[[#This Row],[Experience]]&lt;5,"2-5 Years",HR_Data[[#This Row],[Experience]]&lt;10,"5-10 Years",TRUE(),"10+ Years")</f>
        <v>5-10 Years</v>
      </c>
      <c r="M891" t="str">
        <f t="array" ref="M891">_xlfn.IFS(HR_Data[[#This Row],[Salary]]&lt;40000,"Low",HR_Data[[#This Row],[Salary]]&lt;70000,"Medium",HR_Data[[#This Row],[Salary]]&lt;100000,"High",TRUE(),"Very High")</f>
        <v>Medium</v>
      </c>
      <c r="N891" t="str">
        <f t="array" ref="N891">_xlfn.IFS(HR_Data[[#This Row],[Age]]&lt;25,"18-24",HR_Data[[#This Row],[Age]]&lt;35,"25-34",HR_Data[[#This Row],[Age]]&lt;45,"35-44",TRUE(),"45+")</f>
        <v>25-34</v>
      </c>
      <c r="O891">
        <f>YEAR(HR_Data[[#This Row],[Joining Date]])</f>
        <v>2026</v>
      </c>
      <c r="P891" t="str">
        <f>TEXT(HR_Data[[#This Row],[Joining Date]],"mmmm")</f>
        <v>February</v>
      </c>
      <c r="Q891">
        <f t="array" ref="Q891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891">
        <f>HR_Data[[#This Row],[Salary]]*HR_Data[[#This Row],[Bonus %]]</f>
        <v>2771.25</v>
      </c>
      <c r="S891">
        <f>HR_Data[[#This Row],[Salary]]+HR_Data[[#This Row],[Bonus Amount]]</f>
        <v>58196.25</v>
      </c>
      <c r="T891" t="str">
        <f>IF(HR_Data[[#This Row],[Attrition]]="Yes","Inactive","Active")</f>
        <v>Active</v>
      </c>
      <c r="U891" t="str">
        <f t="array" ref="U891">_xlfn.IFS(HR_Data[[#This Row],[Salary]]&gt;=100000,"A",HR_Data[[#This Row],[Salary]]&gt;=70000,"B",HR_Data[[#This Row],[Salary]]&gt;=50000,"C",TRUE(),"D")</f>
        <v>C</v>
      </c>
      <c r="V891" t="str">
        <f t="array" ref="V891">_xlfn.IFS(HR_Data[[#This Row],[Experience]]&gt;=15,"Expert",HR_Data[[#This Row],[Experience]]&gt;=8,"Senior",HR_Data[[#This Row],[Experience]]&gt;=3,"Mid-Level",TRUE(),"Junior")</f>
        <v>Mid-Level</v>
      </c>
    </row>
    <row r="892" spans="1:22" ht="14.25" customHeight="1" x14ac:dyDescent="0.3">
      <c r="A892" t="s">
        <v>1949</v>
      </c>
      <c r="B892" t="s">
        <v>96</v>
      </c>
      <c r="C892" t="s">
        <v>55</v>
      </c>
      <c r="D892" t="s">
        <v>25</v>
      </c>
      <c r="E892">
        <v>27</v>
      </c>
      <c r="F892">
        <v>40093</v>
      </c>
      <c r="G892">
        <v>7</v>
      </c>
      <c r="H892" t="s">
        <v>1950</v>
      </c>
      <c r="I892" t="s">
        <v>72</v>
      </c>
      <c r="J892" t="s">
        <v>28</v>
      </c>
      <c r="K892" t="s">
        <v>29</v>
      </c>
      <c r="L892" t="str">
        <f t="array" ref="L892">_xlfn.IFS(HR_Data[[#This Row],[Experience]]&lt;2,"0-2 Years",HR_Data[[#This Row],[Experience]]&lt;5,"2-5 Years",HR_Data[[#This Row],[Experience]]&lt;10,"5-10 Years",TRUE(),"10+ Years")</f>
        <v>5-10 Years</v>
      </c>
      <c r="M892" t="str">
        <f t="array" ref="M892">_xlfn.IFS(HR_Data[[#This Row],[Salary]]&lt;40000,"Low",HR_Data[[#This Row],[Salary]]&lt;70000,"Medium",HR_Data[[#This Row],[Salary]]&lt;100000,"High",TRUE(),"Very High")</f>
        <v>Medium</v>
      </c>
      <c r="N892" t="str">
        <f t="array" ref="N892">_xlfn.IFS(HR_Data[[#This Row],[Age]]&lt;25,"18-24",HR_Data[[#This Row],[Age]]&lt;35,"25-34",HR_Data[[#This Row],[Age]]&lt;45,"35-44",TRUE(),"45+")</f>
        <v>25-34</v>
      </c>
      <c r="O892">
        <f>YEAR(HR_Data[[#This Row],[Joining Date]])</f>
        <v>2017</v>
      </c>
      <c r="P892" t="str">
        <f>TEXT(HR_Data[[#This Row],[Joining Date]],"mmmm")</f>
        <v>October</v>
      </c>
      <c r="Q892">
        <f t="array" ref="Q892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92">
        <f>HR_Data[[#This Row],[Salary]]*HR_Data[[#This Row],[Bonus %]]</f>
        <v>6013.95</v>
      </c>
      <c r="S892">
        <f>HR_Data[[#This Row],[Salary]]+HR_Data[[#This Row],[Bonus Amount]]</f>
        <v>46106.95</v>
      </c>
      <c r="T892" t="str">
        <f>IF(HR_Data[[#This Row],[Attrition]]="Yes","Inactive","Active")</f>
        <v>Active</v>
      </c>
      <c r="U892" t="str">
        <f t="array" ref="U892">_xlfn.IFS(HR_Data[[#This Row],[Salary]]&gt;=100000,"A",HR_Data[[#This Row],[Salary]]&gt;=70000,"B",HR_Data[[#This Row],[Salary]]&gt;=50000,"C",TRUE(),"D")</f>
        <v>D</v>
      </c>
      <c r="V892" t="str">
        <f t="array" ref="V892">_xlfn.IFS(HR_Data[[#This Row],[Experience]]&gt;=15,"Expert",HR_Data[[#This Row],[Experience]]&gt;=8,"Senior",HR_Data[[#This Row],[Experience]]&gt;=3,"Mid-Level",TRUE(),"Junior")</f>
        <v>Mid-Level</v>
      </c>
    </row>
    <row r="893" spans="1:22" ht="14.25" customHeight="1" x14ac:dyDescent="0.3">
      <c r="A893" t="s">
        <v>1951</v>
      </c>
      <c r="B893" t="s">
        <v>748</v>
      </c>
      <c r="C893" t="s">
        <v>24</v>
      </c>
      <c r="D893" t="s">
        <v>33</v>
      </c>
      <c r="E893">
        <v>25</v>
      </c>
      <c r="F893">
        <v>32734</v>
      </c>
      <c r="G893">
        <v>0</v>
      </c>
      <c r="H893" t="s">
        <v>1952</v>
      </c>
      <c r="I893" t="s">
        <v>45</v>
      </c>
      <c r="J893" t="s">
        <v>28</v>
      </c>
      <c r="K893" t="s">
        <v>37</v>
      </c>
      <c r="L893" t="str">
        <f t="array" ref="L893">_xlfn.IFS(HR_Data[[#This Row],[Experience]]&lt;2,"0-2 Years",HR_Data[[#This Row],[Experience]]&lt;5,"2-5 Years",HR_Data[[#This Row],[Experience]]&lt;10,"5-10 Years",TRUE(),"10+ Years")</f>
        <v>0-2 Years</v>
      </c>
      <c r="M893" t="str">
        <f t="array" ref="M893">_xlfn.IFS(HR_Data[[#This Row],[Salary]]&lt;40000,"Low",HR_Data[[#This Row],[Salary]]&lt;70000,"Medium",HR_Data[[#This Row],[Salary]]&lt;100000,"High",TRUE(),"Very High")</f>
        <v>Low</v>
      </c>
      <c r="N893" t="str">
        <f t="array" ref="N893">_xlfn.IFS(HR_Data[[#This Row],[Age]]&lt;25,"18-24",HR_Data[[#This Row],[Age]]&lt;35,"25-34",HR_Data[[#This Row],[Age]]&lt;45,"35-44",TRUE(),"45+")</f>
        <v>25-34</v>
      </c>
      <c r="O893">
        <f>YEAR(HR_Data[[#This Row],[Joining Date]])</f>
        <v>2021</v>
      </c>
      <c r="P893" t="str">
        <f>TEXT(HR_Data[[#This Row],[Joining Date]],"mmmm")</f>
        <v>June</v>
      </c>
      <c r="Q893">
        <f t="array" ref="Q89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93">
        <f>HR_Data[[#This Row],[Salary]]*HR_Data[[#This Row],[Bonus %]]</f>
        <v>4910.0999999999995</v>
      </c>
      <c r="S893">
        <f>HR_Data[[#This Row],[Salary]]+HR_Data[[#This Row],[Bonus Amount]]</f>
        <v>37644.1</v>
      </c>
      <c r="T893" t="str">
        <f>IF(HR_Data[[#This Row],[Attrition]]="Yes","Inactive","Active")</f>
        <v>Inactive</v>
      </c>
      <c r="U893" t="str">
        <f t="array" ref="U893">_xlfn.IFS(HR_Data[[#This Row],[Salary]]&gt;=100000,"A",HR_Data[[#This Row],[Salary]]&gt;=70000,"B",HR_Data[[#This Row],[Salary]]&gt;=50000,"C",TRUE(),"D")</f>
        <v>D</v>
      </c>
      <c r="V893" t="str">
        <f t="array" ref="V893">_xlfn.IFS(HR_Data[[#This Row],[Experience]]&gt;=15,"Expert",HR_Data[[#This Row],[Experience]]&gt;=8,"Senior",HR_Data[[#This Row],[Experience]]&gt;=3,"Mid-Level",TRUE(),"Junior")</f>
        <v>Junior</v>
      </c>
    </row>
    <row r="894" spans="1:22" ht="14.25" customHeight="1" x14ac:dyDescent="0.3">
      <c r="A894" t="s">
        <v>1953</v>
      </c>
      <c r="B894" t="s">
        <v>121</v>
      </c>
      <c r="C894" t="s">
        <v>60</v>
      </c>
      <c r="D894" t="s">
        <v>25</v>
      </c>
      <c r="E894">
        <v>33</v>
      </c>
      <c r="F894">
        <v>61412</v>
      </c>
      <c r="G894">
        <v>11</v>
      </c>
      <c r="H894" t="s">
        <v>1954</v>
      </c>
      <c r="I894" t="s">
        <v>42</v>
      </c>
      <c r="J894" t="s">
        <v>46</v>
      </c>
      <c r="K894" t="s">
        <v>29</v>
      </c>
      <c r="L894" t="str">
        <f t="array" ref="L894">_xlfn.IFS(HR_Data[[#This Row],[Experience]]&lt;2,"0-2 Years",HR_Data[[#This Row],[Experience]]&lt;5,"2-5 Years",HR_Data[[#This Row],[Experience]]&lt;10,"5-10 Years",TRUE(),"10+ Years")</f>
        <v>10+ Years</v>
      </c>
      <c r="M894" t="str">
        <f t="array" ref="M894">_xlfn.IFS(HR_Data[[#This Row],[Salary]]&lt;40000,"Low",HR_Data[[#This Row],[Salary]]&lt;70000,"Medium",HR_Data[[#This Row],[Salary]]&lt;100000,"High",TRUE(),"Very High")</f>
        <v>Medium</v>
      </c>
      <c r="N894" t="str">
        <f t="array" ref="N894">_xlfn.IFS(HR_Data[[#This Row],[Age]]&lt;25,"18-24",HR_Data[[#This Row],[Age]]&lt;35,"25-34",HR_Data[[#This Row],[Age]]&lt;45,"35-44",TRUE(),"45+")</f>
        <v>25-34</v>
      </c>
      <c r="O894">
        <f>YEAR(HR_Data[[#This Row],[Joining Date]])</f>
        <v>2017</v>
      </c>
      <c r="P894" t="str">
        <f>TEXT(HR_Data[[#This Row],[Joining Date]],"mmmm")</f>
        <v>July</v>
      </c>
      <c r="Q894">
        <f t="array" ref="Q894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894">
        <f>HR_Data[[#This Row],[Salary]]*HR_Data[[#This Row],[Bonus %]]</f>
        <v>3070.6000000000004</v>
      </c>
      <c r="S894">
        <f>HR_Data[[#This Row],[Salary]]+HR_Data[[#This Row],[Bonus Amount]]</f>
        <v>64482.6</v>
      </c>
      <c r="T894" t="str">
        <f>IF(HR_Data[[#This Row],[Attrition]]="Yes","Inactive","Active")</f>
        <v>Active</v>
      </c>
      <c r="U894" t="str">
        <f t="array" ref="U894">_xlfn.IFS(HR_Data[[#This Row],[Salary]]&gt;=100000,"A",HR_Data[[#This Row],[Salary]]&gt;=70000,"B",HR_Data[[#This Row],[Salary]]&gt;=50000,"C",TRUE(),"D")</f>
        <v>C</v>
      </c>
      <c r="V894" t="str">
        <f t="array" ref="V894">_xlfn.IFS(HR_Data[[#This Row],[Experience]]&gt;=15,"Expert",HR_Data[[#This Row],[Experience]]&gt;=8,"Senior",HR_Data[[#This Row],[Experience]]&gt;=3,"Mid-Level",TRUE(),"Junior")</f>
        <v>Senior</v>
      </c>
    </row>
    <row r="895" spans="1:22" ht="14.25" customHeight="1" x14ac:dyDescent="0.3">
      <c r="A895" t="s">
        <v>1955</v>
      </c>
      <c r="B895" t="s">
        <v>1441</v>
      </c>
      <c r="C895" t="s">
        <v>40</v>
      </c>
      <c r="D895" t="s">
        <v>33</v>
      </c>
      <c r="E895">
        <v>60</v>
      </c>
      <c r="F895">
        <v>125337</v>
      </c>
      <c r="G895">
        <v>32</v>
      </c>
      <c r="H895" t="s">
        <v>1956</v>
      </c>
      <c r="I895" t="s">
        <v>62</v>
      </c>
      <c r="J895" t="s">
        <v>90</v>
      </c>
      <c r="K895" t="s">
        <v>29</v>
      </c>
      <c r="L895" t="str">
        <f t="array" ref="L895">_xlfn.IFS(HR_Data[[#This Row],[Experience]]&lt;2,"0-2 Years",HR_Data[[#This Row],[Experience]]&lt;5,"2-5 Years",HR_Data[[#This Row],[Experience]]&lt;10,"5-10 Years",TRUE(),"10+ Years")</f>
        <v>10+ Years</v>
      </c>
      <c r="M895" t="str">
        <f t="array" ref="M895">_xlfn.IFS(HR_Data[[#This Row],[Salary]]&lt;40000,"Low",HR_Data[[#This Row],[Salary]]&lt;70000,"Medium",HR_Data[[#This Row],[Salary]]&lt;100000,"High",TRUE(),"Very High")</f>
        <v>Very High</v>
      </c>
      <c r="N895" t="str">
        <f t="array" ref="N895">_xlfn.IFS(HR_Data[[#This Row],[Age]]&lt;25,"18-24",HR_Data[[#This Row],[Age]]&lt;35,"25-34",HR_Data[[#This Row],[Age]]&lt;45,"35-44",TRUE(),"45+")</f>
        <v>45+</v>
      </c>
      <c r="O895">
        <f>YEAR(HR_Data[[#This Row],[Joining Date]])</f>
        <v>2019</v>
      </c>
      <c r="P895" t="str">
        <f>TEXT(HR_Data[[#This Row],[Joining Date]],"mmmm")</f>
        <v>March</v>
      </c>
      <c r="Q895">
        <f t="array" ref="Q895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895">
        <f>HR_Data[[#This Row],[Salary]]*HR_Data[[#This Row],[Bonus %]]</f>
        <v>0</v>
      </c>
      <c r="S895">
        <f>HR_Data[[#This Row],[Salary]]+HR_Data[[#This Row],[Bonus Amount]]</f>
        <v>125337</v>
      </c>
      <c r="T895" t="str">
        <f>IF(HR_Data[[#This Row],[Attrition]]="Yes","Inactive","Active")</f>
        <v>Active</v>
      </c>
      <c r="U895" t="str">
        <f t="array" ref="U895">_xlfn.IFS(HR_Data[[#This Row],[Salary]]&gt;=100000,"A",HR_Data[[#This Row],[Salary]]&gt;=70000,"B",HR_Data[[#This Row],[Salary]]&gt;=50000,"C",TRUE(),"D")</f>
        <v>A</v>
      </c>
      <c r="V895" t="str">
        <f t="array" ref="V895">_xlfn.IFS(HR_Data[[#This Row],[Experience]]&gt;=15,"Expert",HR_Data[[#This Row],[Experience]]&gt;=8,"Senior",HR_Data[[#This Row],[Experience]]&gt;=3,"Mid-Level",TRUE(),"Junior")</f>
        <v>Expert</v>
      </c>
    </row>
    <row r="896" spans="1:22" ht="14.25" customHeight="1" x14ac:dyDescent="0.3">
      <c r="A896" t="s">
        <v>1957</v>
      </c>
      <c r="B896" t="s">
        <v>127</v>
      </c>
      <c r="C896" t="s">
        <v>32</v>
      </c>
      <c r="D896" t="s">
        <v>25</v>
      </c>
      <c r="E896">
        <v>25</v>
      </c>
      <c r="F896">
        <v>29697</v>
      </c>
      <c r="G896">
        <v>2</v>
      </c>
      <c r="H896" t="s">
        <v>1958</v>
      </c>
      <c r="I896" t="s">
        <v>45</v>
      </c>
      <c r="J896" t="s">
        <v>36</v>
      </c>
      <c r="K896" t="s">
        <v>29</v>
      </c>
      <c r="L896" t="str">
        <f t="array" ref="L896">_xlfn.IFS(HR_Data[[#This Row],[Experience]]&lt;2,"0-2 Years",HR_Data[[#This Row],[Experience]]&lt;5,"2-5 Years",HR_Data[[#This Row],[Experience]]&lt;10,"5-10 Years",TRUE(),"10+ Years")</f>
        <v>2-5 Years</v>
      </c>
      <c r="M896" t="str">
        <f t="array" ref="M896">_xlfn.IFS(HR_Data[[#This Row],[Salary]]&lt;40000,"Low",HR_Data[[#This Row],[Salary]]&lt;70000,"Medium",HR_Data[[#This Row],[Salary]]&lt;100000,"High",TRUE(),"Very High")</f>
        <v>Low</v>
      </c>
      <c r="N896" t="str">
        <f t="array" ref="N896">_xlfn.IFS(HR_Data[[#This Row],[Age]]&lt;25,"18-24",HR_Data[[#This Row],[Age]]&lt;35,"25-34",HR_Data[[#This Row],[Age]]&lt;45,"35-44",TRUE(),"45+")</f>
        <v>25-34</v>
      </c>
      <c r="O896">
        <f>YEAR(HR_Data[[#This Row],[Joining Date]])</f>
        <v>2018</v>
      </c>
      <c r="P896" t="str">
        <f>TEXT(HR_Data[[#This Row],[Joining Date]],"mmmm")</f>
        <v>April</v>
      </c>
      <c r="Q896">
        <f t="array" ref="Q89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96">
        <f>HR_Data[[#This Row],[Salary]]*HR_Data[[#This Row],[Bonus %]]</f>
        <v>2969.7000000000003</v>
      </c>
      <c r="S896">
        <f>HR_Data[[#This Row],[Salary]]+HR_Data[[#This Row],[Bonus Amount]]</f>
        <v>32666.7</v>
      </c>
      <c r="T896" t="str">
        <f>IF(HR_Data[[#This Row],[Attrition]]="Yes","Inactive","Active")</f>
        <v>Active</v>
      </c>
      <c r="U896" t="str">
        <f t="array" ref="U896">_xlfn.IFS(HR_Data[[#This Row],[Salary]]&gt;=100000,"A",HR_Data[[#This Row],[Salary]]&gt;=70000,"B",HR_Data[[#This Row],[Salary]]&gt;=50000,"C",TRUE(),"D")</f>
        <v>D</v>
      </c>
      <c r="V896" t="str">
        <f t="array" ref="V896">_xlfn.IFS(HR_Data[[#This Row],[Experience]]&gt;=15,"Expert",HR_Data[[#This Row],[Experience]]&gt;=8,"Senior",HR_Data[[#This Row],[Experience]]&gt;=3,"Mid-Level",TRUE(),"Junior")</f>
        <v>Junior</v>
      </c>
    </row>
    <row r="897" spans="1:22" ht="14.25" customHeight="1" x14ac:dyDescent="0.3">
      <c r="A897" t="s">
        <v>1959</v>
      </c>
      <c r="B897" t="s">
        <v>1141</v>
      </c>
      <c r="C897" t="s">
        <v>112</v>
      </c>
      <c r="D897" t="s">
        <v>25</v>
      </c>
      <c r="E897">
        <v>49</v>
      </c>
      <c r="F897">
        <v>85383</v>
      </c>
      <c r="G897">
        <v>19</v>
      </c>
      <c r="H897" t="s">
        <v>1960</v>
      </c>
      <c r="I897" t="s">
        <v>42</v>
      </c>
      <c r="J897" t="s">
        <v>28</v>
      </c>
      <c r="K897" t="s">
        <v>29</v>
      </c>
      <c r="L897" t="str">
        <f t="array" ref="L897">_xlfn.IFS(HR_Data[[#This Row],[Experience]]&lt;2,"0-2 Years",HR_Data[[#This Row],[Experience]]&lt;5,"2-5 Years",HR_Data[[#This Row],[Experience]]&lt;10,"5-10 Years",TRUE(),"10+ Years")</f>
        <v>10+ Years</v>
      </c>
      <c r="M897" t="str">
        <f t="array" ref="M897">_xlfn.IFS(HR_Data[[#This Row],[Salary]]&lt;40000,"Low",HR_Data[[#This Row],[Salary]]&lt;70000,"Medium",HR_Data[[#This Row],[Salary]]&lt;100000,"High",TRUE(),"Very High")</f>
        <v>High</v>
      </c>
      <c r="N897" t="str">
        <f t="array" ref="N897">_xlfn.IFS(HR_Data[[#This Row],[Age]]&lt;25,"18-24",HR_Data[[#This Row],[Age]]&lt;35,"25-34",HR_Data[[#This Row],[Age]]&lt;45,"35-44",TRUE(),"45+")</f>
        <v>45+</v>
      </c>
      <c r="O897">
        <f>YEAR(HR_Data[[#This Row],[Joining Date]])</f>
        <v>2019</v>
      </c>
      <c r="P897" t="str">
        <f>TEXT(HR_Data[[#This Row],[Joining Date]],"mmmm")</f>
        <v>December</v>
      </c>
      <c r="Q897">
        <f t="array" ref="Q89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97">
        <f>HR_Data[[#This Row],[Salary]]*HR_Data[[#This Row],[Bonus %]]</f>
        <v>12807.449999999999</v>
      </c>
      <c r="S897">
        <f>HR_Data[[#This Row],[Salary]]+HR_Data[[#This Row],[Bonus Amount]]</f>
        <v>98190.45</v>
      </c>
      <c r="T897" t="str">
        <f>IF(HR_Data[[#This Row],[Attrition]]="Yes","Inactive","Active")</f>
        <v>Active</v>
      </c>
      <c r="U897" t="str">
        <f t="array" ref="U897">_xlfn.IFS(HR_Data[[#This Row],[Salary]]&gt;=100000,"A",HR_Data[[#This Row],[Salary]]&gt;=70000,"B",HR_Data[[#This Row],[Salary]]&gt;=50000,"C",TRUE(),"D")</f>
        <v>B</v>
      </c>
      <c r="V897" t="str">
        <f t="array" ref="V897">_xlfn.IFS(HR_Data[[#This Row],[Experience]]&gt;=15,"Expert",HR_Data[[#This Row],[Experience]]&gt;=8,"Senior",HR_Data[[#This Row],[Experience]]&gt;=3,"Mid-Level",TRUE(),"Junior")</f>
        <v>Expert</v>
      </c>
    </row>
    <row r="898" spans="1:22" ht="14.25" customHeight="1" x14ac:dyDescent="0.3">
      <c r="A898" t="s">
        <v>1961</v>
      </c>
      <c r="B898" t="s">
        <v>585</v>
      </c>
      <c r="C898" t="s">
        <v>112</v>
      </c>
      <c r="D898" t="s">
        <v>33</v>
      </c>
      <c r="E898">
        <v>41</v>
      </c>
      <c r="F898">
        <v>80593</v>
      </c>
      <c r="G898">
        <v>17</v>
      </c>
      <c r="H898" t="s">
        <v>1962</v>
      </c>
      <c r="I898" t="s">
        <v>27</v>
      </c>
      <c r="J898" t="s">
        <v>36</v>
      </c>
      <c r="K898" t="s">
        <v>29</v>
      </c>
      <c r="L898" t="str">
        <f t="array" ref="L898">_xlfn.IFS(HR_Data[[#This Row],[Experience]]&lt;2,"0-2 Years",HR_Data[[#This Row],[Experience]]&lt;5,"2-5 Years",HR_Data[[#This Row],[Experience]]&lt;10,"5-10 Years",TRUE(),"10+ Years")</f>
        <v>10+ Years</v>
      </c>
      <c r="M898" t="str">
        <f t="array" ref="M898">_xlfn.IFS(HR_Data[[#This Row],[Salary]]&lt;40000,"Low",HR_Data[[#This Row],[Salary]]&lt;70000,"Medium",HR_Data[[#This Row],[Salary]]&lt;100000,"High",TRUE(),"Very High")</f>
        <v>High</v>
      </c>
      <c r="N898" t="str">
        <f t="array" ref="N898">_xlfn.IFS(HR_Data[[#This Row],[Age]]&lt;25,"18-24",HR_Data[[#This Row],[Age]]&lt;35,"25-34",HR_Data[[#This Row],[Age]]&lt;45,"35-44",TRUE(),"45+")</f>
        <v>35-44</v>
      </c>
      <c r="O898">
        <f>YEAR(HR_Data[[#This Row],[Joining Date]])</f>
        <v>2022</v>
      </c>
      <c r="P898" t="str">
        <f>TEXT(HR_Data[[#This Row],[Joining Date]],"mmmm")</f>
        <v>November</v>
      </c>
      <c r="Q898">
        <f t="array" ref="Q89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898">
        <f>HR_Data[[#This Row],[Salary]]*HR_Data[[#This Row],[Bonus %]]</f>
        <v>8059.3</v>
      </c>
      <c r="S898">
        <f>HR_Data[[#This Row],[Salary]]+HR_Data[[#This Row],[Bonus Amount]]</f>
        <v>88652.3</v>
      </c>
      <c r="T898" t="str">
        <f>IF(HR_Data[[#This Row],[Attrition]]="Yes","Inactive","Active")</f>
        <v>Active</v>
      </c>
      <c r="U898" t="str">
        <f t="array" ref="U898">_xlfn.IFS(HR_Data[[#This Row],[Salary]]&gt;=100000,"A",HR_Data[[#This Row],[Salary]]&gt;=70000,"B",HR_Data[[#This Row],[Salary]]&gt;=50000,"C",TRUE(),"D")</f>
        <v>B</v>
      </c>
      <c r="V898" t="str">
        <f t="array" ref="V898">_xlfn.IFS(HR_Data[[#This Row],[Experience]]&gt;=15,"Expert",HR_Data[[#This Row],[Experience]]&gt;=8,"Senior",HR_Data[[#This Row],[Experience]]&gt;=3,"Mid-Level",TRUE(),"Junior")</f>
        <v>Expert</v>
      </c>
    </row>
    <row r="899" spans="1:22" ht="14.25" customHeight="1" x14ac:dyDescent="0.3">
      <c r="A899" t="s">
        <v>1963</v>
      </c>
      <c r="B899" t="s">
        <v>319</v>
      </c>
      <c r="C899" t="s">
        <v>134</v>
      </c>
      <c r="D899" t="s">
        <v>25</v>
      </c>
      <c r="E899">
        <v>42</v>
      </c>
      <c r="F899">
        <v>90349</v>
      </c>
      <c r="G899">
        <v>20</v>
      </c>
      <c r="H899" t="s">
        <v>1964</v>
      </c>
      <c r="I899" t="s">
        <v>67</v>
      </c>
      <c r="J899" t="s">
        <v>28</v>
      </c>
      <c r="K899" t="s">
        <v>29</v>
      </c>
      <c r="L899" t="str">
        <f t="array" ref="L899">_xlfn.IFS(HR_Data[[#This Row],[Experience]]&lt;2,"0-2 Years",HR_Data[[#This Row],[Experience]]&lt;5,"2-5 Years",HR_Data[[#This Row],[Experience]]&lt;10,"5-10 Years",TRUE(),"10+ Years")</f>
        <v>10+ Years</v>
      </c>
      <c r="M899" t="str">
        <f t="array" ref="M899">_xlfn.IFS(HR_Data[[#This Row],[Salary]]&lt;40000,"Low",HR_Data[[#This Row],[Salary]]&lt;70000,"Medium",HR_Data[[#This Row],[Salary]]&lt;100000,"High",TRUE(),"Very High")</f>
        <v>High</v>
      </c>
      <c r="N899" t="str">
        <f t="array" ref="N899">_xlfn.IFS(HR_Data[[#This Row],[Age]]&lt;25,"18-24",HR_Data[[#This Row],[Age]]&lt;35,"25-34",HR_Data[[#This Row],[Age]]&lt;45,"35-44",TRUE(),"45+")</f>
        <v>35-44</v>
      </c>
      <c r="O899">
        <f>YEAR(HR_Data[[#This Row],[Joining Date]])</f>
        <v>2025</v>
      </c>
      <c r="P899" t="str">
        <f>TEXT(HR_Data[[#This Row],[Joining Date]],"mmmm")</f>
        <v>August</v>
      </c>
      <c r="Q899">
        <f t="array" ref="Q89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899">
        <f>HR_Data[[#This Row],[Salary]]*HR_Data[[#This Row],[Bonus %]]</f>
        <v>13552.35</v>
      </c>
      <c r="S899">
        <f>HR_Data[[#This Row],[Salary]]+HR_Data[[#This Row],[Bonus Amount]]</f>
        <v>103901.35</v>
      </c>
      <c r="T899" t="str">
        <f>IF(HR_Data[[#This Row],[Attrition]]="Yes","Inactive","Active")</f>
        <v>Active</v>
      </c>
      <c r="U899" t="str">
        <f t="array" ref="U899">_xlfn.IFS(HR_Data[[#This Row],[Salary]]&gt;=100000,"A",HR_Data[[#This Row],[Salary]]&gt;=70000,"B",HR_Data[[#This Row],[Salary]]&gt;=50000,"C",TRUE(),"D")</f>
        <v>B</v>
      </c>
      <c r="V899" t="str">
        <f t="array" ref="V899">_xlfn.IFS(HR_Data[[#This Row],[Experience]]&gt;=15,"Expert",HR_Data[[#This Row],[Experience]]&gt;=8,"Senior",HR_Data[[#This Row],[Experience]]&gt;=3,"Mid-Level",TRUE(),"Junior")</f>
        <v>Expert</v>
      </c>
    </row>
    <row r="900" spans="1:22" ht="14.25" customHeight="1" x14ac:dyDescent="0.3">
      <c r="A900" t="s">
        <v>1965</v>
      </c>
      <c r="B900" t="s">
        <v>518</v>
      </c>
      <c r="C900" t="s">
        <v>55</v>
      </c>
      <c r="D900" t="s">
        <v>25</v>
      </c>
      <c r="E900">
        <v>44</v>
      </c>
      <c r="F900">
        <v>87854</v>
      </c>
      <c r="G900">
        <v>21</v>
      </c>
      <c r="H900" t="s">
        <v>1966</v>
      </c>
      <c r="I900" t="s">
        <v>72</v>
      </c>
      <c r="J900" t="s">
        <v>36</v>
      </c>
      <c r="K900" t="s">
        <v>29</v>
      </c>
      <c r="L900" t="str">
        <f t="array" ref="L900">_xlfn.IFS(HR_Data[[#This Row],[Experience]]&lt;2,"0-2 Years",HR_Data[[#This Row],[Experience]]&lt;5,"2-5 Years",HR_Data[[#This Row],[Experience]]&lt;10,"5-10 Years",TRUE(),"10+ Years")</f>
        <v>10+ Years</v>
      </c>
      <c r="M900" t="str">
        <f t="array" ref="M900">_xlfn.IFS(HR_Data[[#This Row],[Salary]]&lt;40000,"Low",HR_Data[[#This Row],[Salary]]&lt;70000,"Medium",HR_Data[[#This Row],[Salary]]&lt;100000,"High",TRUE(),"Very High")</f>
        <v>High</v>
      </c>
      <c r="N900" t="str">
        <f t="array" ref="N900">_xlfn.IFS(HR_Data[[#This Row],[Age]]&lt;25,"18-24",HR_Data[[#This Row],[Age]]&lt;35,"25-34",HR_Data[[#This Row],[Age]]&lt;45,"35-44",TRUE(),"45+")</f>
        <v>35-44</v>
      </c>
      <c r="O900">
        <f>YEAR(HR_Data[[#This Row],[Joining Date]])</f>
        <v>2017</v>
      </c>
      <c r="P900" t="str">
        <f>TEXT(HR_Data[[#This Row],[Joining Date]],"mmmm")</f>
        <v>March</v>
      </c>
      <c r="Q900">
        <f t="array" ref="Q90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00">
        <f>HR_Data[[#This Row],[Salary]]*HR_Data[[#This Row],[Bonus %]]</f>
        <v>8785.4</v>
      </c>
      <c r="S900">
        <f>HR_Data[[#This Row],[Salary]]+HR_Data[[#This Row],[Bonus Amount]]</f>
        <v>96639.4</v>
      </c>
      <c r="T900" t="str">
        <f>IF(HR_Data[[#This Row],[Attrition]]="Yes","Inactive","Active")</f>
        <v>Active</v>
      </c>
      <c r="U900" t="str">
        <f t="array" ref="U900">_xlfn.IFS(HR_Data[[#This Row],[Salary]]&gt;=100000,"A",HR_Data[[#This Row],[Salary]]&gt;=70000,"B",HR_Data[[#This Row],[Salary]]&gt;=50000,"C",TRUE(),"D")</f>
        <v>B</v>
      </c>
      <c r="V900" t="str">
        <f t="array" ref="V900">_xlfn.IFS(HR_Data[[#This Row],[Experience]]&gt;=15,"Expert",HR_Data[[#This Row],[Experience]]&gt;=8,"Senior",HR_Data[[#This Row],[Experience]]&gt;=3,"Mid-Level",TRUE(),"Junior")</f>
        <v>Expert</v>
      </c>
    </row>
    <row r="901" spans="1:22" ht="14.25" customHeight="1" x14ac:dyDescent="0.3">
      <c r="A901" t="s">
        <v>1967</v>
      </c>
      <c r="B901" t="s">
        <v>1350</v>
      </c>
      <c r="C901" t="s">
        <v>40</v>
      </c>
      <c r="D901" t="s">
        <v>33</v>
      </c>
      <c r="E901">
        <v>60</v>
      </c>
      <c r="F901">
        <v>134776</v>
      </c>
      <c r="G901">
        <v>33</v>
      </c>
      <c r="H901" t="s">
        <v>759</v>
      </c>
      <c r="I901" t="s">
        <v>72</v>
      </c>
      <c r="J901" t="s">
        <v>36</v>
      </c>
      <c r="K901" t="s">
        <v>29</v>
      </c>
      <c r="L901" t="str">
        <f t="array" ref="L901">_xlfn.IFS(HR_Data[[#This Row],[Experience]]&lt;2,"0-2 Years",HR_Data[[#This Row],[Experience]]&lt;5,"2-5 Years",HR_Data[[#This Row],[Experience]]&lt;10,"5-10 Years",TRUE(),"10+ Years")</f>
        <v>10+ Years</v>
      </c>
      <c r="M901" t="str">
        <f t="array" ref="M901">_xlfn.IFS(HR_Data[[#This Row],[Salary]]&lt;40000,"Low",HR_Data[[#This Row],[Salary]]&lt;70000,"Medium",HR_Data[[#This Row],[Salary]]&lt;100000,"High",TRUE(),"Very High")</f>
        <v>Very High</v>
      </c>
      <c r="N901" t="str">
        <f t="array" ref="N901">_xlfn.IFS(HR_Data[[#This Row],[Age]]&lt;25,"18-24",HR_Data[[#This Row],[Age]]&lt;35,"25-34",HR_Data[[#This Row],[Age]]&lt;45,"35-44",TRUE(),"45+")</f>
        <v>45+</v>
      </c>
      <c r="O901">
        <f>YEAR(HR_Data[[#This Row],[Joining Date]])</f>
        <v>2020</v>
      </c>
      <c r="P901" t="str">
        <f>TEXT(HR_Data[[#This Row],[Joining Date]],"mmmm")</f>
        <v>May</v>
      </c>
      <c r="Q901">
        <f t="array" ref="Q90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01">
        <f>HR_Data[[#This Row],[Salary]]*HR_Data[[#This Row],[Bonus %]]</f>
        <v>13477.6</v>
      </c>
      <c r="S901">
        <f>HR_Data[[#This Row],[Salary]]+HR_Data[[#This Row],[Bonus Amount]]</f>
        <v>148253.6</v>
      </c>
      <c r="T901" t="str">
        <f>IF(HR_Data[[#This Row],[Attrition]]="Yes","Inactive","Active")</f>
        <v>Active</v>
      </c>
      <c r="U901" t="str">
        <f t="array" ref="U901">_xlfn.IFS(HR_Data[[#This Row],[Salary]]&gt;=100000,"A",HR_Data[[#This Row],[Salary]]&gt;=70000,"B",HR_Data[[#This Row],[Salary]]&gt;=50000,"C",TRUE(),"D")</f>
        <v>A</v>
      </c>
      <c r="V901" t="str">
        <f t="array" ref="V901">_xlfn.IFS(HR_Data[[#This Row],[Experience]]&gt;=15,"Expert",HR_Data[[#This Row],[Experience]]&gt;=8,"Senior",HR_Data[[#This Row],[Experience]]&gt;=3,"Mid-Level",TRUE(),"Junior")</f>
        <v>Expert</v>
      </c>
    </row>
    <row r="902" spans="1:22" ht="14.25" customHeight="1" x14ac:dyDescent="0.3">
      <c r="A902" t="s">
        <v>1968</v>
      </c>
      <c r="B902" t="s">
        <v>718</v>
      </c>
      <c r="C902" t="s">
        <v>75</v>
      </c>
      <c r="D902" t="s">
        <v>25</v>
      </c>
      <c r="E902">
        <v>26</v>
      </c>
      <c r="F902">
        <v>58620</v>
      </c>
      <c r="G902">
        <v>7</v>
      </c>
      <c r="H902" t="s">
        <v>1969</v>
      </c>
      <c r="I902" t="s">
        <v>80</v>
      </c>
      <c r="J902" t="s">
        <v>28</v>
      </c>
      <c r="K902" t="s">
        <v>29</v>
      </c>
      <c r="L902" t="str">
        <f t="array" ref="L902">_xlfn.IFS(HR_Data[[#This Row],[Experience]]&lt;2,"0-2 Years",HR_Data[[#This Row],[Experience]]&lt;5,"2-5 Years",HR_Data[[#This Row],[Experience]]&lt;10,"5-10 Years",TRUE(),"10+ Years")</f>
        <v>5-10 Years</v>
      </c>
      <c r="M902" t="str">
        <f t="array" ref="M902">_xlfn.IFS(HR_Data[[#This Row],[Salary]]&lt;40000,"Low",HR_Data[[#This Row],[Salary]]&lt;70000,"Medium",HR_Data[[#This Row],[Salary]]&lt;100000,"High",TRUE(),"Very High")</f>
        <v>Medium</v>
      </c>
      <c r="N902" t="str">
        <f t="array" ref="N902">_xlfn.IFS(HR_Data[[#This Row],[Age]]&lt;25,"18-24",HR_Data[[#This Row],[Age]]&lt;35,"25-34",HR_Data[[#This Row],[Age]]&lt;45,"35-44",TRUE(),"45+")</f>
        <v>25-34</v>
      </c>
      <c r="O902">
        <f>YEAR(HR_Data[[#This Row],[Joining Date]])</f>
        <v>2019</v>
      </c>
      <c r="P902" t="str">
        <f>TEXT(HR_Data[[#This Row],[Joining Date]],"mmmm")</f>
        <v>April</v>
      </c>
      <c r="Q902">
        <f t="array" ref="Q902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02">
        <f>HR_Data[[#This Row],[Salary]]*HR_Data[[#This Row],[Bonus %]]</f>
        <v>8793</v>
      </c>
      <c r="S902">
        <f>HR_Data[[#This Row],[Salary]]+HR_Data[[#This Row],[Bonus Amount]]</f>
        <v>67413</v>
      </c>
      <c r="T902" t="str">
        <f>IF(HR_Data[[#This Row],[Attrition]]="Yes","Inactive","Active")</f>
        <v>Active</v>
      </c>
      <c r="U902" t="str">
        <f t="array" ref="U902">_xlfn.IFS(HR_Data[[#This Row],[Salary]]&gt;=100000,"A",HR_Data[[#This Row],[Salary]]&gt;=70000,"B",HR_Data[[#This Row],[Salary]]&gt;=50000,"C",TRUE(),"D")</f>
        <v>C</v>
      </c>
      <c r="V902" t="str">
        <f t="array" ref="V902">_xlfn.IFS(HR_Data[[#This Row],[Experience]]&gt;=15,"Expert",HR_Data[[#This Row],[Experience]]&gt;=8,"Senior",HR_Data[[#This Row],[Experience]]&gt;=3,"Mid-Level",TRUE(),"Junior")</f>
        <v>Mid-Level</v>
      </c>
    </row>
    <row r="903" spans="1:22" ht="14.25" customHeight="1" x14ac:dyDescent="0.3">
      <c r="A903" t="s">
        <v>1970</v>
      </c>
      <c r="B903" t="s">
        <v>513</v>
      </c>
      <c r="C903" t="s">
        <v>75</v>
      </c>
      <c r="D903" t="s">
        <v>25</v>
      </c>
      <c r="E903">
        <v>52</v>
      </c>
      <c r="F903">
        <v>130483</v>
      </c>
      <c r="G903">
        <v>30</v>
      </c>
      <c r="H903" t="s">
        <v>1971</v>
      </c>
      <c r="I903" t="s">
        <v>67</v>
      </c>
      <c r="J903" t="s">
        <v>63</v>
      </c>
      <c r="K903" t="s">
        <v>29</v>
      </c>
      <c r="L903" t="str">
        <f t="array" ref="L903">_xlfn.IFS(HR_Data[[#This Row],[Experience]]&lt;2,"0-2 Years",HR_Data[[#This Row],[Experience]]&lt;5,"2-5 Years",HR_Data[[#This Row],[Experience]]&lt;10,"5-10 Years",TRUE(),"10+ Years")</f>
        <v>10+ Years</v>
      </c>
      <c r="M903" t="str">
        <f t="array" ref="M903">_xlfn.IFS(HR_Data[[#This Row],[Salary]]&lt;40000,"Low",HR_Data[[#This Row],[Salary]]&lt;70000,"Medium",HR_Data[[#This Row],[Salary]]&lt;100000,"High",TRUE(),"Very High")</f>
        <v>Very High</v>
      </c>
      <c r="N903" t="str">
        <f t="array" ref="N903">_xlfn.IFS(HR_Data[[#This Row],[Age]]&lt;25,"18-24",HR_Data[[#This Row],[Age]]&lt;35,"25-34",HR_Data[[#This Row],[Age]]&lt;45,"35-44",TRUE(),"45+")</f>
        <v>45+</v>
      </c>
      <c r="O903">
        <f>YEAR(HR_Data[[#This Row],[Joining Date]])</f>
        <v>2018</v>
      </c>
      <c r="P903" t="str">
        <f>TEXT(HR_Data[[#This Row],[Joining Date]],"mmmm")</f>
        <v>June</v>
      </c>
      <c r="Q903">
        <f t="array" ref="Q903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903">
        <f>HR_Data[[#This Row],[Salary]]*HR_Data[[#This Row],[Bonus %]]</f>
        <v>26096.600000000002</v>
      </c>
      <c r="S903">
        <f>HR_Data[[#This Row],[Salary]]+HR_Data[[#This Row],[Bonus Amount]]</f>
        <v>156579.6</v>
      </c>
      <c r="T903" t="str">
        <f>IF(HR_Data[[#This Row],[Attrition]]="Yes","Inactive","Active")</f>
        <v>Active</v>
      </c>
      <c r="U903" t="str">
        <f t="array" ref="U903">_xlfn.IFS(HR_Data[[#This Row],[Salary]]&gt;=100000,"A",HR_Data[[#This Row],[Salary]]&gt;=70000,"B",HR_Data[[#This Row],[Salary]]&gt;=50000,"C",TRUE(),"D")</f>
        <v>A</v>
      </c>
      <c r="V903" t="str">
        <f t="array" ref="V903">_xlfn.IFS(HR_Data[[#This Row],[Experience]]&gt;=15,"Expert",HR_Data[[#This Row],[Experience]]&gt;=8,"Senior",HR_Data[[#This Row],[Experience]]&gt;=3,"Mid-Level",TRUE(),"Junior")</f>
        <v>Expert</v>
      </c>
    </row>
    <row r="904" spans="1:22" ht="14.25" customHeight="1" x14ac:dyDescent="0.3">
      <c r="A904" t="s">
        <v>1972</v>
      </c>
      <c r="B904" t="s">
        <v>82</v>
      </c>
      <c r="C904" t="s">
        <v>70</v>
      </c>
      <c r="D904" t="s">
        <v>25</v>
      </c>
      <c r="E904">
        <v>57</v>
      </c>
      <c r="F904">
        <v>110447</v>
      </c>
      <c r="G904">
        <v>28</v>
      </c>
      <c r="H904" t="s">
        <v>164</v>
      </c>
      <c r="I904" t="s">
        <v>132</v>
      </c>
      <c r="J904" t="s">
        <v>63</v>
      </c>
      <c r="K904" t="s">
        <v>29</v>
      </c>
      <c r="L904" t="str">
        <f t="array" ref="L904">_xlfn.IFS(HR_Data[[#This Row],[Experience]]&lt;2,"0-2 Years",HR_Data[[#This Row],[Experience]]&lt;5,"2-5 Years",HR_Data[[#This Row],[Experience]]&lt;10,"5-10 Years",TRUE(),"10+ Years")</f>
        <v>10+ Years</v>
      </c>
      <c r="M904" t="str">
        <f t="array" ref="M904">_xlfn.IFS(HR_Data[[#This Row],[Salary]]&lt;40000,"Low",HR_Data[[#This Row],[Salary]]&lt;70000,"Medium",HR_Data[[#This Row],[Salary]]&lt;100000,"High",TRUE(),"Very High")</f>
        <v>Very High</v>
      </c>
      <c r="N904" t="str">
        <f t="array" ref="N904">_xlfn.IFS(HR_Data[[#This Row],[Age]]&lt;25,"18-24",HR_Data[[#This Row],[Age]]&lt;35,"25-34",HR_Data[[#This Row],[Age]]&lt;45,"35-44",TRUE(),"45+")</f>
        <v>45+</v>
      </c>
      <c r="O904">
        <f>YEAR(HR_Data[[#This Row],[Joining Date]])</f>
        <v>2024</v>
      </c>
      <c r="P904" t="str">
        <f>TEXT(HR_Data[[#This Row],[Joining Date]],"mmmm")</f>
        <v>October</v>
      </c>
      <c r="Q904">
        <f t="array" ref="Q904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904">
        <f>HR_Data[[#This Row],[Salary]]*HR_Data[[#This Row],[Bonus %]]</f>
        <v>22089.4</v>
      </c>
      <c r="S904">
        <f>HR_Data[[#This Row],[Salary]]+HR_Data[[#This Row],[Bonus Amount]]</f>
        <v>132536.4</v>
      </c>
      <c r="T904" t="str">
        <f>IF(HR_Data[[#This Row],[Attrition]]="Yes","Inactive","Active")</f>
        <v>Active</v>
      </c>
      <c r="U904" t="str">
        <f t="array" ref="U904">_xlfn.IFS(HR_Data[[#This Row],[Salary]]&gt;=100000,"A",HR_Data[[#This Row],[Salary]]&gt;=70000,"B",HR_Data[[#This Row],[Salary]]&gt;=50000,"C",TRUE(),"D")</f>
        <v>A</v>
      </c>
      <c r="V904" t="str">
        <f t="array" ref="V904">_xlfn.IFS(HR_Data[[#This Row],[Experience]]&gt;=15,"Expert",HR_Data[[#This Row],[Experience]]&gt;=8,"Senior",HR_Data[[#This Row],[Experience]]&gt;=3,"Mid-Level",TRUE(),"Junior")</f>
        <v>Expert</v>
      </c>
    </row>
    <row r="905" spans="1:22" ht="14.25" customHeight="1" x14ac:dyDescent="0.3">
      <c r="A905" t="s">
        <v>1973</v>
      </c>
      <c r="B905" t="s">
        <v>770</v>
      </c>
      <c r="C905" t="s">
        <v>75</v>
      </c>
      <c r="D905" t="s">
        <v>33</v>
      </c>
      <c r="E905">
        <v>37</v>
      </c>
      <c r="F905">
        <v>93152</v>
      </c>
      <c r="G905">
        <v>18</v>
      </c>
      <c r="H905" t="s">
        <v>1974</v>
      </c>
      <c r="I905" t="s">
        <v>132</v>
      </c>
      <c r="J905" t="s">
        <v>46</v>
      </c>
      <c r="K905" t="s">
        <v>29</v>
      </c>
      <c r="L905" t="str">
        <f t="array" ref="L905">_xlfn.IFS(HR_Data[[#This Row],[Experience]]&lt;2,"0-2 Years",HR_Data[[#This Row],[Experience]]&lt;5,"2-5 Years",HR_Data[[#This Row],[Experience]]&lt;10,"5-10 Years",TRUE(),"10+ Years")</f>
        <v>10+ Years</v>
      </c>
      <c r="M905" t="str">
        <f t="array" ref="M905">_xlfn.IFS(HR_Data[[#This Row],[Salary]]&lt;40000,"Low",HR_Data[[#This Row],[Salary]]&lt;70000,"Medium",HR_Data[[#This Row],[Salary]]&lt;100000,"High",TRUE(),"Very High")</f>
        <v>High</v>
      </c>
      <c r="N905" t="str">
        <f t="array" ref="N905">_xlfn.IFS(HR_Data[[#This Row],[Age]]&lt;25,"18-24",HR_Data[[#This Row],[Age]]&lt;35,"25-34",HR_Data[[#This Row],[Age]]&lt;45,"35-44",TRUE(),"45+")</f>
        <v>35-44</v>
      </c>
      <c r="O905">
        <f>YEAR(HR_Data[[#This Row],[Joining Date]])</f>
        <v>2016</v>
      </c>
      <c r="P905" t="str">
        <f>TEXT(HR_Data[[#This Row],[Joining Date]],"mmmm")</f>
        <v>May</v>
      </c>
      <c r="Q905">
        <f t="array" ref="Q905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905">
        <f>HR_Data[[#This Row],[Salary]]*HR_Data[[#This Row],[Bonus %]]</f>
        <v>4657.6000000000004</v>
      </c>
      <c r="S905">
        <f>HR_Data[[#This Row],[Salary]]+HR_Data[[#This Row],[Bonus Amount]]</f>
        <v>97809.600000000006</v>
      </c>
      <c r="T905" t="str">
        <f>IF(HR_Data[[#This Row],[Attrition]]="Yes","Inactive","Active")</f>
        <v>Active</v>
      </c>
      <c r="U905" t="str">
        <f t="array" ref="U905">_xlfn.IFS(HR_Data[[#This Row],[Salary]]&gt;=100000,"A",HR_Data[[#This Row],[Salary]]&gt;=70000,"B",HR_Data[[#This Row],[Salary]]&gt;=50000,"C",TRUE(),"D")</f>
        <v>B</v>
      </c>
      <c r="V905" t="str">
        <f t="array" ref="V905">_xlfn.IFS(HR_Data[[#This Row],[Experience]]&gt;=15,"Expert",HR_Data[[#This Row],[Experience]]&gt;=8,"Senior",HR_Data[[#This Row],[Experience]]&gt;=3,"Mid-Level",TRUE(),"Junior")</f>
        <v>Expert</v>
      </c>
    </row>
    <row r="906" spans="1:22" ht="14.25" customHeight="1" x14ac:dyDescent="0.3">
      <c r="A906" t="s">
        <v>1975</v>
      </c>
      <c r="B906" t="s">
        <v>551</v>
      </c>
      <c r="C906" t="s">
        <v>70</v>
      </c>
      <c r="D906" t="s">
        <v>33</v>
      </c>
      <c r="E906">
        <v>55</v>
      </c>
      <c r="F906">
        <v>119187</v>
      </c>
      <c r="G906">
        <v>28</v>
      </c>
      <c r="H906" t="s">
        <v>1976</v>
      </c>
      <c r="I906" t="s">
        <v>72</v>
      </c>
      <c r="J906" t="s">
        <v>36</v>
      </c>
      <c r="K906" t="s">
        <v>29</v>
      </c>
      <c r="L906" t="str">
        <f t="array" ref="L906">_xlfn.IFS(HR_Data[[#This Row],[Experience]]&lt;2,"0-2 Years",HR_Data[[#This Row],[Experience]]&lt;5,"2-5 Years",HR_Data[[#This Row],[Experience]]&lt;10,"5-10 Years",TRUE(),"10+ Years")</f>
        <v>10+ Years</v>
      </c>
      <c r="M906" t="str">
        <f t="array" ref="M906">_xlfn.IFS(HR_Data[[#This Row],[Salary]]&lt;40000,"Low",HR_Data[[#This Row],[Salary]]&lt;70000,"Medium",HR_Data[[#This Row],[Salary]]&lt;100000,"High",TRUE(),"Very High")</f>
        <v>Very High</v>
      </c>
      <c r="N906" t="str">
        <f t="array" ref="N906">_xlfn.IFS(HR_Data[[#This Row],[Age]]&lt;25,"18-24",HR_Data[[#This Row],[Age]]&lt;35,"25-34",HR_Data[[#This Row],[Age]]&lt;45,"35-44",TRUE(),"45+")</f>
        <v>45+</v>
      </c>
      <c r="O906">
        <f>YEAR(HR_Data[[#This Row],[Joining Date]])</f>
        <v>2023</v>
      </c>
      <c r="P906" t="str">
        <f>TEXT(HR_Data[[#This Row],[Joining Date]],"mmmm")</f>
        <v>October</v>
      </c>
      <c r="Q906">
        <f t="array" ref="Q90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06">
        <f>HR_Data[[#This Row],[Salary]]*HR_Data[[#This Row],[Bonus %]]</f>
        <v>11918.7</v>
      </c>
      <c r="S906">
        <f>HR_Data[[#This Row],[Salary]]+HR_Data[[#This Row],[Bonus Amount]]</f>
        <v>131105.70000000001</v>
      </c>
      <c r="T906" t="str">
        <f>IF(HR_Data[[#This Row],[Attrition]]="Yes","Inactive","Active")</f>
        <v>Active</v>
      </c>
      <c r="U906" t="str">
        <f t="array" ref="U906">_xlfn.IFS(HR_Data[[#This Row],[Salary]]&gt;=100000,"A",HR_Data[[#This Row],[Salary]]&gt;=70000,"B",HR_Data[[#This Row],[Salary]]&gt;=50000,"C",TRUE(),"D")</f>
        <v>A</v>
      </c>
      <c r="V906" t="str">
        <f t="array" ref="V906">_xlfn.IFS(HR_Data[[#This Row],[Experience]]&gt;=15,"Expert",HR_Data[[#This Row],[Experience]]&gt;=8,"Senior",HR_Data[[#This Row],[Experience]]&gt;=3,"Mid-Level",TRUE(),"Junior")</f>
        <v>Expert</v>
      </c>
    </row>
    <row r="907" spans="1:22" ht="14.25" customHeight="1" x14ac:dyDescent="0.3">
      <c r="A907" t="s">
        <v>1977</v>
      </c>
      <c r="B907" t="s">
        <v>313</v>
      </c>
      <c r="C907" t="s">
        <v>134</v>
      </c>
      <c r="D907" t="s">
        <v>25</v>
      </c>
      <c r="E907">
        <v>27</v>
      </c>
      <c r="F907">
        <v>31923</v>
      </c>
      <c r="G907">
        <v>0</v>
      </c>
      <c r="H907" t="s">
        <v>944</v>
      </c>
      <c r="I907" t="s">
        <v>45</v>
      </c>
      <c r="J907" t="s">
        <v>36</v>
      </c>
      <c r="K907" t="s">
        <v>29</v>
      </c>
      <c r="L907" t="str">
        <f t="array" ref="L907">_xlfn.IFS(HR_Data[[#This Row],[Experience]]&lt;2,"0-2 Years",HR_Data[[#This Row],[Experience]]&lt;5,"2-5 Years",HR_Data[[#This Row],[Experience]]&lt;10,"5-10 Years",TRUE(),"10+ Years")</f>
        <v>0-2 Years</v>
      </c>
      <c r="M907" t="str">
        <f t="array" ref="M907">_xlfn.IFS(HR_Data[[#This Row],[Salary]]&lt;40000,"Low",HR_Data[[#This Row],[Salary]]&lt;70000,"Medium",HR_Data[[#This Row],[Salary]]&lt;100000,"High",TRUE(),"Very High")</f>
        <v>Low</v>
      </c>
      <c r="N907" t="str">
        <f t="array" ref="N907">_xlfn.IFS(HR_Data[[#This Row],[Age]]&lt;25,"18-24",HR_Data[[#This Row],[Age]]&lt;35,"25-34",HR_Data[[#This Row],[Age]]&lt;45,"35-44",TRUE(),"45+")</f>
        <v>25-34</v>
      </c>
      <c r="O907">
        <f>YEAR(HR_Data[[#This Row],[Joining Date]])</f>
        <v>2026</v>
      </c>
      <c r="P907" t="str">
        <f>TEXT(HR_Data[[#This Row],[Joining Date]],"mmmm")</f>
        <v>April</v>
      </c>
      <c r="Q907">
        <f t="array" ref="Q907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07">
        <f>HR_Data[[#This Row],[Salary]]*HR_Data[[#This Row],[Bonus %]]</f>
        <v>3192.3</v>
      </c>
      <c r="S907">
        <f>HR_Data[[#This Row],[Salary]]+HR_Data[[#This Row],[Bonus Amount]]</f>
        <v>35115.300000000003</v>
      </c>
      <c r="T907" t="str">
        <f>IF(HR_Data[[#This Row],[Attrition]]="Yes","Inactive","Active")</f>
        <v>Active</v>
      </c>
      <c r="U907" t="str">
        <f t="array" ref="U907">_xlfn.IFS(HR_Data[[#This Row],[Salary]]&gt;=100000,"A",HR_Data[[#This Row],[Salary]]&gt;=70000,"B",HR_Data[[#This Row],[Salary]]&gt;=50000,"C",TRUE(),"D")</f>
        <v>D</v>
      </c>
      <c r="V907" t="str">
        <f t="array" ref="V907">_xlfn.IFS(HR_Data[[#This Row],[Experience]]&gt;=15,"Expert",HR_Data[[#This Row],[Experience]]&gt;=8,"Senior",HR_Data[[#This Row],[Experience]]&gt;=3,"Mid-Level",TRUE(),"Junior")</f>
        <v>Junior</v>
      </c>
    </row>
    <row r="908" spans="1:22" ht="14.25" customHeight="1" x14ac:dyDescent="0.3">
      <c r="A908" t="s">
        <v>1978</v>
      </c>
      <c r="B908" t="s">
        <v>140</v>
      </c>
      <c r="C908" t="s">
        <v>70</v>
      </c>
      <c r="D908" t="s">
        <v>25</v>
      </c>
      <c r="E908">
        <v>28</v>
      </c>
      <c r="F908">
        <v>46737</v>
      </c>
      <c r="G908">
        <v>7</v>
      </c>
      <c r="H908" t="s">
        <v>1979</v>
      </c>
      <c r="I908" t="s">
        <v>27</v>
      </c>
      <c r="J908" t="s">
        <v>36</v>
      </c>
      <c r="K908" t="s">
        <v>29</v>
      </c>
      <c r="L908" t="str">
        <f t="array" ref="L908">_xlfn.IFS(HR_Data[[#This Row],[Experience]]&lt;2,"0-2 Years",HR_Data[[#This Row],[Experience]]&lt;5,"2-5 Years",HR_Data[[#This Row],[Experience]]&lt;10,"5-10 Years",TRUE(),"10+ Years")</f>
        <v>5-10 Years</v>
      </c>
      <c r="M908" t="str">
        <f t="array" ref="M908">_xlfn.IFS(HR_Data[[#This Row],[Salary]]&lt;40000,"Low",HR_Data[[#This Row],[Salary]]&lt;70000,"Medium",HR_Data[[#This Row],[Salary]]&lt;100000,"High",TRUE(),"Very High")</f>
        <v>Medium</v>
      </c>
      <c r="N908" t="str">
        <f t="array" ref="N908">_xlfn.IFS(HR_Data[[#This Row],[Age]]&lt;25,"18-24",HR_Data[[#This Row],[Age]]&lt;35,"25-34",HR_Data[[#This Row],[Age]]&lt;45,"35-44",TRUE(),"45+")</f>
        <v>25-34</v>
      </c>
      <c r="O908">
        <f>YEAR(HR_Data[[#This Row],[Joining Date]])</f>
        <v>2016</v>
      </c>
      <c r="P908" t="str">
        <f>TEXT(HR_Data[[#This Row],[Joining Date]],"mmmm")</f>
        <v>January</v>
      </c>
      <c r="Q908">
        <f t="array" ref="Q90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08">
        <f>HR_Data[[#This Row],[Salary]]*HR_Data[[#This Row],[Bonus %]]</f>
        <v>4673.7</v>
      </c>
      <c r="S908">
        <f>HR_Data[[#This Row],[Salary]]+HR_Data[[#This Row],[Bonus Amount]]</f>
        <v>51410.7</v>
      </c>
      <c r="T908" t="str">
        <f>IF(HR_Data[[#This Row],[Attrition]]="Yes","Inactive","Active")</f>
        <v>Active</v>
      </c>
      <c r="U908" t="str">
        <f t="array" ref="U908">_xlfn.IFS(HR_Data[[#This Row],[Salary]]&gt;=100000,"A",HR_Data[[#This Row],[Salary]]&gt;=70000,"B",HR_Data[[#This Row],[Salary]]&gt;=50000,"C",TRUE(),"D")</f>
        <v>D</v>
      </c>
      <c r="V908" t="str">
        <f t="array" ref="V908">_xlfn.IFS(HR_Data[[#This Row],[Experience]]&gt;=15,"Expert",HR_Data[[#This Row],[Experience]]&gt;=8,"Senior",HR_Data[[#This Row],[Experience]]&gt;=3,"Mid-Level",TRUE(),"Junior")</f>
        <v>Mid-Level</v>
      </c>
    </row>
    <row r="909" spans="1:22" ht="14.25" customHeight="1" x14ac:dyDescent="0.3">
      <c r="A909" t="s">
        <v>1980</v>
      </c>
      <c r="B909" t="s">
        <v>172</v>
      </c>
      <c r="C909" t="s">
        <v>55</v>
      </c>
      <c r="D909" t="s">
        <v>33</v>
      </c>
      <c r="E909">
        <v>37</v>
      </c>
      <c r="F909">
        <v>82517</v>
      </c>
      <c r="G909">
        <v>15</v>
      </c>
      <c r="H909" t="s">
        <v>1981</v>
      </c>
      <c r="I909" t="s">
        <v>45</v>
      </c>
      <c r="J909" t="s">
        <v>63</v>
      </c>
      <c r="K909" t="s">
        <v>29</v>
      </c>
      <c r="L909" t="str">
        <f t="array" ref="L909">_xlfn.IFS(HR_Data[[#This Row],[Experience]]&lt;2,"0-2 Years",HR_Data[[#This Row],[Experience]]&lt;5,"2-5 Years",HR_Data[[#This Row],[Experience]]&lt;10,"5-10 Years",TRUE(),"10+ Years")</f>
        <v>10+ Years</v>
      </c>
      <c r="M909" t="str">
        <f t="array" ref="M909">_xlfn.IFS(HR_Data[[#This Row],[Salary]]&lt;40000,"Low",HR_Data[[#This Row],[Salary]]&lt;70000,"Medium",HR_Data[[#This Row],[Salary]]&lt;100000,"High",TRUE(),"Very High")</f>
        <v>High</v>
      </c>
      <c r="N909" t="str">
        <f t="array" ref="N909">_xlfn.IFS(HR_Data[[#This Row],[Age]]&lt;25,"18-24",HR_Data[[#This Row],[Age]]&lt;35,"25-34",HR_Data[[#This Row],[Age]]&lt;45,"35-44",TRUE(),"45+")</f>
        <v>35-44</v>
      </c>
      <c r="O909">
        <f>YEAR(HR_Data[[#This Row],[Joining Date]])</f>
        <v>2017</v>
      </c>
      <c r="P909" t="str">
        <f>TEXT(HR_Data[[#This Row],[Joining Date]],"mmmm")</f>
        <v>August</v>
      </c>
      <c r="Q909">
        <f t="array" ref="Q909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909">
        <f>HR_Data[[#This Row],[Salary]]*HR_Data[[#This Row],[Bonus %]]</f>
        <v>16503.400000000001</v>
      </c>
      <c r="S909">
        <f>HR_Data[[#This Row],[Salary]]+HR_Data[[#This Row],[Bonus Amount]]</f>
        <v>99020.4</v>
      </c>
      <c r="T909" t="str">
        <f>IF(HR_Data[[#This Row],[Attrition]]="Yes","Inactive","Active")</f>
        <v>Active</v>
      </c>
      <c r="U909" t="str">
        <f t="array" ref="U909">_xlfn.IFS(HR_Data[[#This Row],[Salary]]&gt;=100000,"A",HR_Data[[#This Row],[Salary]]&gt;=70000,"B",HR_Data[[#This Row],[Salary]]&gt;=50000,"C",TRUE(),"D")</f>
        <v>B</v>
      </c>
      <c r="V909" t="str">
        <f t="array" ref="V909">_xlfn.IFS(HR_Data[[#This Row],[Experience]]&gt;=15,"Expert",HR_Data[[#This Row],[Experience]]&gt;=8,"Senior",HR_Data[[#This Row],[Experience]]&gt;=3,"Mid-Level",TRUE(),"Junior")</f>
        <v>Expert</v>
      </c>
    </row>
    <row r="910" spans="1:22" ht="14.25" customHeight="1" x14ac:dyDescent="0.3">
      <c r="A910" t="s">
        <v>1982</v>
      </c>
      <c r="B910" t="s">
        <v>905</v>
      </c>
      <c r="C910" t="s">
        <v>55</v>
      </c>
      <c r="D910" t="s">
        <v>33</v>
      </c>
      <c r="E910">
        <v>46</v>
      </c>
      <c r="F910">
        <v>72578</v>
      </c>
      <c r="G910">
        <v>16</v>
      </c>
      <c r="H910" t="s">
        <v>1983</v>
      </c>
      <c r="I910" t="s">
        <v>80</v>
      </c>
      <c r="J910" t="s">
        <v>46</v>
      </c>
      <c r="K910" t="s">
        <v>29</v>
      </c>
      <c r="L910" t="str">
        <f t="array" ref="L910">_xlfn.IFS(HR_Data[[#This Row],[Experience]]&lt;2,"0-2 Years",HR_Data[[#This Row],[Experience]]&lt;5,"2-5 Years",HR_Data[[#This Row],[Experience]]&lt;10,"5-10 Years",TRUE(),"10+ Years")</f>
        <v>10+ Years</v>
      </c>
      <c r="M910" t="str">
        <f t="array" ref="M910">_xlfn.IFS(HR_Data[[#This Row],[Salary]]&lt;40000,"Low",HR_Data[[#This Row],[Salary]]&lt;70000,"Medium",HR_Data[[#This Row],[Salary]]&lt;100000,"High",TRUE(),"Very High")</f>
        <v>High</v>
      </c>
      <c r="N910" t="str">
        <f t="array" ref="N910">_xlfn.IFS(HR_Data[[#This Row],[Age]]&lt;25,"18-24",HR_Data[[#This Row],[Age]]&lt;35,"25-34",HR_Data[[#This Row],[Age]]&lt;45,"35-44",TRUE(),"45+")</f>
        <v>45+</v>
      </c>
      <c r="O910">
        <f>YEAR(HR_Data[[#This Row],[Joining Date]])</f>
        <v>2024</v>
      </c>
      <c r="P910" t="str">
        <f>TEXT(HR_Data[[#This Row],[Joining Date]],"mmmm")</f>
        <v>February</v>
      </c>
      <c r="Q910">
        <f t="array" ref="Q910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910">
        <f>HR_Data[[#This Row],[Salary]]*HR_Data[[#This Row],[Bonus %]]</f>
        <v>3628.9</v>
      </c>
      <c r="S910">
        <f>HR_Data[[#This Row],[Salary]]+HR_Data[[#This Row],[Bonus Amount]]</f>
        <v>76206.899999999994</v>
      </c>
      <c r="T910" t="str">
        <f>IF(HR_Data[[#This Row],[Attrition]]="Yes","Inactive","Active")</f>
        <v>Active</v>
      </c>
      <c r="U910" t="str">
        <f t="array" ref="U910">_xlfn.IFS(HR_Data[[#This Row],[Salary]]&gt;=100000,"A",HR_Data[[#This Row],[Salary]]&gt;=70000,"B",HR_Data[[#This Row],[Salary]]&gt;=50000,"C",TRUE(),"D")</f>
        <v>B</v>
      </c>
      <c r="V910" t="str">
        <f t="array" ref="V910">_xlfn.IFS(HR_Data[[#This Row],[Experience]]&gt;=15,"Expert",HR_Data[[#This Row],[Experience]]&gt;=8,"Senior",HR_Data[[#This Row],[Experience]]&gt;=3,"Mid-Level",TRUE(),"Junior")</f>
        <v>Expert</v>
      </c>
    </row>
    <row r="911" spans="1:22" ht="14.25" customHeight="1" x14ac:dyDescent="0.3">
      <c r="A911" t="s">
        <v>1984</v>
      </c>
      <c r="B911" t="s">
        <v>65</v>
      </c>
      <c r="C911" t="s">
        <v>75</v>
      </c>
      <c r="D911" t="s">
        <v>33</v>
      </c>
      <c r="E911">
        <v>34</v>
      </c>
      <c r="F911">
        <v>52712</v>
      </c>
      <c r="G911">
        <v>11</v>
      </c>
      <c r="H911" t="s">
        <v>1985</v>
      </c>
      <c r="I911" t="s">
        <v>35</v>
      </c>
      <c r="J911" t="s">
        <v>36</v>
      </c>
      <c r="K911" t="s">
        <v>29</v>
      </c>
      <c r="L911" t="str">
        <f t="array" ref="L911">_xlfn.IFS(HR_Data[[#This Row],[Experience]]&lt;2,"0-2 Years",HR_Data[[#This Row],[Experience]]&lt;5,"2-5 Years",HR_Data[[#This Row],[Experience]]&lt;10,"5-10 Years",TRUE(),"10+ Years")</f>
        <v>10+ Years</v>
      </c>
      <c r="M911" t="str">
        <f t="array" ref="M911">_xlfn.IFS(HR_Data[[#This Row],[Salary]]&lt;40000,"Low",HR_Data[[#This Row],[Salary]]&lt;70000,"Medium",HR_Data[[#This Row],[Salary]]&lt;100000,"High",TRUE(),"Very High")</f>
        <v>Medium</v>
      </c>
      <c r="N911" t="str">
        <f t="array" ref="N911">_xlfn.IFS(HR_Data[[#This Row],[Age]]&lt;25,"18-24",HR_Data[[#This Row],[Age]]&lt;35,"25-34",HR_Data[[#This Row],[Age]]&lt;45,"35-44",TRUE(),"45+")</f>
        <v>25-34</v>
      </c>
      <c r="O911">
        <f>YEAR(HR_Data[[#This Row],[Joining Date]])</f>
        <v>2017</v>
      </c>
      <c r="P911" t="str">
        <f>TEXT(HR_Data[[#This Row],[Joining Date]],"mmmm")</f>
        <v>May</v>
      </c>
      <c r="Q911">
        <f t="array" ref="Q91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11">
        <f>HR_Data[[#This Row],[Salary]]*HR_Data[[#This Row],[Bonus %]]</f>
        <v>5271.2000000000007</v>
      </c>
      <c r="S911">
        <f>HR_Data[[#This Row],[Salary]]+HR_Data[[#This Row],[Bonus Amount]]</f>
        <v>57983.199999999997</v>
      </c>
      <c r="T911" t="str">
        <f>IF(HR_Data[[#This Row],[Attrition]]="Yes","Inactive","Active")</f>
        <v>Active</v>
      </c>
      <c r="U911" t="str">
        <f t="array" ref="U911">_xlfn.IFS(HR_Data[[#This Row],[Salary]]&gt;=100000,"A",HR_Data[[#This Row],[Salary]]&gt;=70000,"B",HR_Data[[#This Row],[Salary]]&gt;=50000,"C",TRUE(),"D")</f>
        <v>C</v>
      </c>
      <c r="V911" t="str">
        <f t="array" ref="V911">_xlfn.IFS(HR_Data[[#This Row],[Experience]]&gt;=15,"Expert",HR_Data[[#This Row],[Experience]]&gt;=8,"Senior",HR_Data[[#This Row],[Experience]]&gt;=3,"Mid-Level",TRUE(),"Junior")</f>
        <v>Senior</v>
      </c>
    </row>
    <row r="912" spans="1:22" ht="14.25" customHeight="1" x14ac:dyDescent="0.3">
      <c r="A912" t="s">
        <v>1986</v>
      </c>
      <c r="B912" t="s">
        <v>199</v>
      </c>
      <c r="C912" t="s">
        <v>93</v>
      </c>
      <c r="D912" t="s">
        <v>33</v>
      </c>
      <c r="E912">
        <v>38</v>
      </c>
      <c r="F912">
        <v>70607</v>
      </c>
      <c r="G912">
        <v>14</v>
      </c>
      <c r="H912" t="s">
        <v>1987</v>
      </c>
      <c r="I912" t="s">
        <v>62</v>
      </c>
      <c r="J912" t="s">
        <v>36</v>
      </c>
      <c r="K912" t="s">
        <v>29</v>
      </c>
      <c r="L912" t="str">
        <f t="array" ref="L912">_xlfn.IFS(HR_Data[[#This Row],[Experience]]&lt;2,"0-2 Years",HR_Data[[#This Row],[Experience]]&lt;5,"2-5 Years",HR_Data[[#This Row],[Experience]]&lt;10,"5-10 Years",TRUE(),"10+ Years")</f>
        <v>10+ Years</v>
      </c>
      <c r="M912" t="str">
        <f t="array" ref="M912">_xlfn.IFS(HR_Data[[#This Row],[Salary]]&lt;40000,"Low",HR_Data[[#This Row],[Salary]]&lt;70000,"Medium",HR_Data[[#This Row],[Salary]]&lt;100000,"High",TRUE(),"Very High")</f>
        <v>High</v>
      </c>
      <c r="N912" t="str">
        <f t="array" ref="N912">_xlfn.IFS(HR_Data[[#This Row],[Age]]&lt;25,"18-24",HR_Data[[#This Row],[Age]]&lt;35,"25-34",HR_Data[[#This Row],[Age]]&lt;45,"35-44",TRUE(),"45+")</f>
        <v>35-44</v>
      </c>
      <c r="O912">
        <f>YEAR(HR_Data[[#This Row],[Joining Date]])</f>
        <v>2019</v>
      </c>
      <c r="P912" t="str">
        <f>TEXT(HR_Data[[#This Row],[Joining Date]],"mmmm")</f>
        <v>July</v>
      </c>
      <c r="Q912">
        <f t="array" ref="Q91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12">
        <f>HR_Data[[#This Row],[Salary]]*HR_Data[[#This Row],[Bonus %]]</f>
        <v>7060.7000000000007</v>
      </c>
      <c r="S912">
        <f>HR_Data[[#This Row],[Salary]]+HR_Data[[#This Row],[Bonus Amount]]</f>
        <v>77667.7</v>
      </c>
      <c r="T912" t="str">
        <f>IF(HR_Data[[#This Row],[Attrition]]="Yes","Inactive","Active")</f>
        <v>Active</v>
      </c>
      <c r="U912" t="str">
        <f t="array" ref="U912">_xlfn.IFS(HR_Data[[#This Row],[Salary]]&gt;=100000,"A",HR_Data[[#This Row],[Salary]]&gt;=70000,"B",HR_Data[[#This Row],[Salary]]&gt;=50000,"C",TRUE(),"D")</f>
        <v>B</v>
      </c>
      <c r="V912" t="str">
        <f t="array" ref="V912">_xlfn.IFS(HR_Data[[#This Row],[Experience]]&gt;=15,"Expert",HR_Data[[#This Row],[Experience]]&gt;=8,"Senior",HR_Data[[#This Row],[Experience]]&gt;=3,"Mid-Level",TRUE(),"Junior")</f>
        <v>Senior</v>
      </c>
    </row>
    <row r="913" spans="1:22" ht="14.25" customHeight="1" x14ac:dyDescent="0.3">
      <c r="A913" t="s">
        <v>1988</v>
      </c>
      <c r="B913" t="s">
        <v>1015</v>
      </c>
      <c r="C913" t="s">
        <v>24</v>
      </c>
      <c r="D913" t="s">
        <v>25</v>
      </c>
      <c r="E913">
        <v>44</v>
      </c>
      <c r="F913">
        <v>106296</v>
      </c>
      <c r="G913">
        <v>23</v>
      </c>
      <c r="H913" t="s">
        <v>1928</v>
      </c>
      <c r="I913" t="s">
        <v>132</v>
      </c>
      <c r="J913" t="s">
        <v>36</v>
      </c>
      <c r="K913" t="s">
        <v>29</v>
      </c>
      <c r="L913" t="str">
        <f t="array" ref="L913">_xlfn.IFS(HR_Data[[#This Row],[Experience]]&lt;2,"0-2 Years",HR_Data[[#This Row],[Experience]]&lt;5,"2-5 Years",HR_Data[[#This Row],[Experience]]&lt;10,"5-10 Years",TRUE(),"10+ Years")</f>
        <v>10+ Years</v>
      </c>
      <c r="M913" t="str">
        <f t="array" ref="M913">_xlfn.IFS(HR_Data[[#This Row],[Salary]]&lt;40000,"Low",HR_Data[[#This Row],[Salary]]&lt;70000,"Medium",HR_Data[[#This Row],[Salary]]&lt;100000,"High",TRUE(),"Very High")</f>
        <v>Very High</v>
      </c>
      <c r="N913" t="str">
        <f t="array" ref="N913">_xlfn.IFS(HR_Data[[#This Row],[Age]]&lt;25,"18-24",HR_Data[[#This Row],[Age]]&lt;35,"25-34",HR_Data[[#This Row],[Age]]&lt;45,"35-44",TRUE(),"45+")</f>
        <v>35-44</v>
      </c>
      <c r="O913">
        <f>YEAR(HR_Data[[#This Row],[Joining Date]])</f>
        <v>2017</v>
      </c>
      <c r="P913" t="str">
        <f>TEXT(HR_Data[[#This Row],[Joining Date]],"mmmm")</f>
        <v>February</v>
      </c>
      <c r="Q913">
        <f t="array" ref="Q913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13">
        <f>HR_Data[[#This Row],[Salary]]*HR_Data[[#This Row],[Bonus %]]</f>
        <v>10629.6</v>
      </c>
      <c r="S913">
        <f>HR_Data[[#This Row],[Salary]]+HR_Data[[#This Row],[Bonus Amount]]</f>
        <v>116925.6</v>
      </c>
      <c r="T913" t="str">
        <f>IF(HR_Data[[#This Row],[Attrition]]="Yes","Inactive","Active")</f>
        <v>Active</v>
      </c>
      <c r="U913" t="str">
        <f t="array" ref="U913">_xlfn.IFS(HR_Data[[#This Row],[Salary]]&gt;=100000,"A",HR_Data[[#This Row],[Salary]]&gt;=70000,"B",HR_Data[[#This Row],[Salary]]&gt;=50000,"C",TRUE(),"D")</f>
        <v>A</v>
      </c>
      <c r="V913" t="str">
        <f t="array" ref="V913">_xlfn.IFS(HR_Data[[#This Row],[Experience]]&gt;=15,"Expert",HR_Data[[#This Row],[Experience]]&gt;=8,"Senior",HR_Data[[#This Row],[Experience]]&gt;=3,"Mid-Level",TRUE(),"Junior")</f>
        <v>Expert</v>
      </c>
    </row>
    <row r="914" spans="1:22" ht="14.25" customHeight="1" x14ac:dyDescent="0.3">
      <c r="A914" t="s">
        <v>1989</v>
      </c>
      <c r="B914" t="s">
        <v>276</v>
      </c>
      <c r="C914" t="s">
        <v>40</v>
      </c>
      <c r="D914" t="s">
        <v>33</v>
      </c>
      <c r="E914">
        <v>37</v>
      </c>
      <c r="F914">
        <v>84763</v>
      </c>
      <c r="G914">
        <v>18</v>
      </c>
      <c r="H914" t="s">
        <v>1990</v>
      </c>
      <c r="I914" t="s">
        <v>42</v>
      </c>
      <c r="J914" t="s">
        <v>46</v>
      </c>
      <c r="K914" t="s">
        <v>29</v>
      </c>
      <c r="L914" t="str">
        <f t="array" ref="L914">_xlfn.IFS(HR_Data[[#This Row],[Experience]]&lt;2,"0-2 Years",HR_Data[[#This Row],[Experience]]&lt;5,"2-5 Years",HR_Data[[#This Row],[Experience]]&lt;10,"5-10 Years",TRUE(),"10+ Years")</f>
        <v>10+ Years</v>
      </c>
      <c r="M914" t="str">
        <f t="array" ref="M914">_xlfn.IFS(HR_Data[[#This Row],[Salary]]&lt;40000,"Low",HR_Data[[#This Row],[Salary]]&lt;70000,"Medium",HR_Data[[#This Row],[Salary]]&lt;100000,"High",TRUE(),"Very High")</f>
        <v>High</v>
      </c>
      <c r="N914" t="str">
        <f t="array" ref="N914">_xlfn.IFS(HR_Data[[#This Row],[Age]]&lt;25,"18-24",HR_Data[[#This Row],[Age]]&lt;35,"25-34",HR_Data[[#This Row],[Age]]&lt;45,"35-44",TRUE(),"45+")</f>
        <v>35-44</v>
      </c>
      <c r="O914">
        <f>YEAR(HR_Data[[#This Row],[Joining Date]])</f>
        <v>2018</v>
      </c>
      <c r="P914" t="str">
        <f>TEXT(HR_Data[[#This Row],[Joining Date]],"mmmm")</f>
        <v>August</v>
      </c>
      <c r="Q914">
        <f t="array" ref="Q914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914">
        <f>HR_Data[[#This Row],[Salary]]*HR_Data[[#This Row],[Bonus %]]</f>
        <v>4238.1500000000005</v>
      </c>
      <c r="S914">
        <f>HR_Data[[#This Row],[Salary]]+HR_Data[[#This Row],[Bonus Amount]]</f>
        <v>89001.15</v>
      </c>
      <c r="T914" t="str">
        <f>IF(HR_Data[[#This Row],[Attrition]]="Yes","Inactive","Active")</f>
        <v>Active</v>
      </c>
      <c r="U914" t="str">
        <f t="array" ref="U914">_xlfn.IFS(HR_Data[[#This Row],[Salary]]&gt;=100000,"A",HR_Data[[#This Row],[Salary]]&gt;=70000,"B",HR_Data[[#This Row],[Salary]]&gt;=50000,"C",TRUE(),"D")</f>
        <v>B</v>
      </c>
      <c r="V914" t="str">
        <f t="array" ref="V914">_xlfn.IFS(HR_Data[[#This Row],[Experience]]&gt;=15,"Expert",HR_Data[[#This Row],[Experience]]&gt;=8,"Senior",HR_Data[[#This Row],[Experience]]&gt;=3,"Mid-Level",TRUE(),"Junior")</f>
        <v>Expert</v>
      </c>
    </row>
    <row r="915" spans="1:22" ht="14.25" customHeight="1" x14ac:dyDescent="0.3">
      <c r="A915" t="s">
        <v>1991</v>
      </c>
      <c r="B915" t="s">
        <v>444</v>
      </c>
      <c r="C915" t="s">
        <v>40</v>
      </c>
      <c r="D915" t="s">
        <v>25</v>
      </c>
      <c r="E915">
        <v>49</v>
      </c>
      <c r="F915">
        <v>118310</v>
      </c>
      <c r="G915">
        <v>27</v>
      </c>
      <c r="H915" t="s">
        <v>1992</v>
      </c>
      <c r="I915" t="s">
        <v>62</v>
      </c>
      <c r="J915" t="s">
        <v>63</v>
      </c>
      <c r="K915" t="s">
        <v>29</v>
      </c>
      <c r="L915" t="str">
        <f t="array" ref="L915">_xlfn.IFS(HR_Data[[#This Row],[Experience]]&lt;2,"0-2 Years",HR_Data[[#This Row],[Experience]]&lt;5,"2-5 Years",HR_Data[[#This Row],[Experience]]&lt;10,"5-10 Years",TRUE(),"10+ Years")</f>
        <v>10+ Years</v>
      </c>
      <c r="M915" t="str">
        <f t="array" ref="M915">_xlfn.IFS(HR_Data[[#This Row],[Salary]]&lt;40000,"Low",HR_Data[[#This Row],[Salary]]&lt;70000,"Medium",HR_Data[[#This Row],[Salary]]&lt;100000,"High",TRUE(),"Very High")</f>
        <v>Very High</v>
      </c>
      <c r="N915" t="str">
        <f t="array" ref="N915">_xlfn.IFS(HR_Data[[#This Row],[Age]]&lt;25,"18-24",HR_Data[[#This Row],[Age]]&lt;35,"25-34",HR_Data[[#This Row],[Age]]&lt;45,"35-44",TRUE(),"45+")</f>
        <v>45+</v>
      </c>
      <c r="O915">
        <f>YEAR(HR_Data[[#This Row],[Joining Date]])</f>
        <v>2024</v>
      </c>
      <c r="P915" t="str">
        <f>TEXT(HR_Data[[#This Row],[Joining Date]],"mmmm")</f>
        <v>January</v>
      </c>
      <c r="Q915">
        <f t="array" ref="Q915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915">
        <f>HR_Data[[#This Row],[Salary]]*HR_Data[[#This Row],[Bonus %]]</f>
        <v>23662</v>
      </c>
      <c r="S915">
        <f>HR_Data[[#This Row],[Salary]]+HR_Data[[#This Row],[Bonus Amount]]</f>
        <v>141972</v>
      </c>
      <c r="T915" t="str">
        <f>IF(HR_Data[[#This Row],[Attrition]]="Yes","Inactive","Active")</f>
        <v>Active</v>
      </c>
      <c r="U915" t="str">
        <f t="array" ref="U915">_xlfn.IFS(HR_Data[[#This Row],[Salary]]&gt;=100000,"A",HR_Data[[#This Row],[Salary]]&gt;=70000,"B",HR_Data[[#This Row],[Salary]]&gt;=50000,"C",TRUE(),"D")</f>
        <v>A</v>
      </c>
      <c r="V915" t="str">
        <f t="array" ref="V915">_xlfn.IFS(HR_Data[[#This Row],[Experience]]&gt;=15,"Expert",HR_Data[[#This Row],[Experience]]&gt;=8,"Senior",HR_Data[[#This Row],[Experience]]&gt;=3,"Mid-Level",TRUE(),"Junior")</f>
        <v>Expert</v>
      </c>
    </row>
    <row r="916" spans="1:22" ht="14.25" customHeight="1" x14ac:dyDescent="0.3">
      <c r="A916" t="s">
        <v>1993</v>
      </c>
      <c r="B916" t="s">
        <v>1118</v>
      </c>
      <c r="C916" t="s">
        <v>24</v>
      </c>
      <c r="D916" t="s">
        <v>33</v>
      </c>
      <c r="E916">
        <v>21</v>
      </c>
      <c r="F916">
        <v>25000</v>
      </c>
      <c r="G916">
        <v>1</v>
      </c>
      <c r="H916" t="s">
        <v>1994</v>
      </c>
      <c r="I916" t="s">
        <v>27</v>
      </c>
      <c r="J916" t="s">
        <v>63</v>
      </c>
      <c r="K916" t="s">
        <v>29</v>
      </c>
      <c r="L916" t="str">
        <f t="array" ref="L916">_xlfn.IFS(HR_Data[[#This Row],[Experience]]&lt;2,"0-2 Years",HR_Data[[#This Row],[Experience]]&lt;5,"2-5 Years",HR_Data[[#This Row],[Experience]]&lt;10,"5-10 Years",TRUE(),"10+ Years")</f>
        <v>0-2 Years</v>
      </c>
      <c r="M916" t="str">
        <f t="array" ref="M916">_xlfn.IFS(HR_Data[[#This Row],[Salary]]&lt;40000,"Low",HR_Data[[#This Row],[Salary]]&lt;70000,"Medium",HR_Data[[#This Row],[Salary]]&lt;100000,"High",TRUE(),"Very High")</f>
        <v>Low</v>
      </c>
      <c r="N916" t="str">
        <f t="array" ref="N916">_xlfn.IFS(HR_Data[[#This Row],[Age]]&lt;25,"18-24",HR_Data[[#This Row],[Age]]&lt;35,"25-34",HR_Data[[#This Row],[Age]]&lt;45,"35-44",TRUE(),"45+")</f>
        <v>18-24</v>
      </c>
      <c r="O916">
        <f>YEAR(HR_Data[[#This Row],[Joining Date]])</f>
        <v>2015</v>
      </c>
      <c r="P916" t="str">
        <f>TEXT(HR_Data[[#This Row],[Joining Date]],"mmmm")</f>
        <v>December</v>
      </c>
      <c r="Q916">
        <f t="array" ref="Q916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916">
        <f>HR_Data[[#This Row],[Salary]]*HR_Data[[#This Row],[Bonus %]]</f>
        <v>5000</v>
      </c>
      <c r="S916">
        <f>HR_Data[[#This Row],[Salary]]+HR_Data[[#This Row],[Bonus Amount]]</f>
        <v>30000</v>
      </c>
      <c r="T916" t="str">
        <f>IF(HR_Data[[#This Row],[Attrition]]="Yes","Inactive","Active")</f>
        <v>Active</v>
      </c>
      <c r="U916" t="str">
        <f t="array" ref="U916">_xlfn.IFS(HR_Data[[#This Row],[Salary]]&gt;=100000,"A",HR_Data[[#This Row],[Salary]]&gt;=70000,"B",HR_Data[[#This Row],[Salary]]&gt;=50000,"C",TRUE(),"D")</f>
        <v>D</v>
      </c>
      <c r="V916" t="str">
        <f t="array" ref="V916">_xlfn.IFS(HR_Data[[#This Row],[Experience]]&gt;=15,"Expert",HR_Data[[#This Row],[Experience]]&gt;=8,"Senior",HR_Data[[#This Row],[Experience]]&gt;=3,"Mid-Level",TRUE(),"Junior")</f>
        <v>Junior</v>
      </c>
    </row>
    <row r="917" spans="1:22" ht="14.25" customHeight="1" x14ac:dyDescent="0.3">
      <c r="A917" t="s">
        <v>1995</v>
      </c>
      <c r="B917" t="s">
        <v>118</v>
      </c>
      <c r="C917" t="s">
        <v>70</v>
      </c>
      <c r="D917" t="s">
        <v>25</v>
      </c>
      <c r="E917">
        <v>33</v>
      </c>
      <c r="F917">
        <v>47288</v>
      </c>
      <c r="G917">
        <v>6</v>
      </c>
      <c r="H917" t="s">
        <v>1996</v>
      </c>
      <c r="I917" t="s">
        <v>67</v>
      </c>
      <c r="J917" t="s">
        <v>28</v>
      </c>
      <c r="K917" t="s">
        <v>29</v>
      </c>
      <c r="L917" t="str">
        <f t="array" ref="L917">_xlfn.IFS(HR_Data[[#This Row],[Experience]]&lt;2,"0-2 Years",HR_Data[[#This Row],[Experience]]&lt;5,"2-5 Years",HR_Data[[#This Row],[Experience]]&lt;10,"5-10 Years",TRUE(),"10+ Years")</f>
        <v>5-10 Years</v>
      </c>
      <c r="M917" t="str">
        <f t="array" ref="M917">_xlfn.IFS(HR_Data[[#This Row],[Salary]]&lt;40000,"Low",HR_Data[[#This Row],[Salary]]&lt;70000,"Medium",HR_Data[[#This Row],[Salary]]&lt;100000,"High",TRUE(),"Very High")</f>
        <v>Medium</v>
      </c>
      <c r="N917" t="str">
        <f t="array" ref="N917">_xlfn.IFS(HR_Data[[#This Row],[Age]]&lt;25,"18-24",HR_Data[[#This Row],[Age]]&lt;35,"25-34",HR_Data[[#This Row],[Age]]&lt;45,"35-44",TRUE(),"45+")</f>
        <v>25-34</v>
      </c>
      <c r="O917">
        <f>YEAR(HR_Data[[#This Row],[Joining Date]])</f>
        <v>2016</v>
      </c>
      <c r="P917" t="str">
        <f>TEXT(HR_Data[[#This Row],[Joining Date]],"mmmm")</f>
        <v>November</v>
      </c>
      <c r="Q917">
        <f t="array" ref="Q91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17">
        <f>HR_Data[[#This Row],[Salary]]*HR_Data[[#This Row],[Bonus %]]</f>
        <v>7093.2</v>
      </c>
      <c r="S917">
        <f>HR_Data[[#This Row],[Salary]]+HR_Data[[#This Row],[Bonus Amount]]</f>
        <v>54381.2</v>
      </c>
      <c r="T917" t="str">
        <f>IF(HR_Data[[#This Row],[Attrition]]="Yes","Inactive","Active")</f>
        <v>Active</v>
      </c>
      <c r="U917" t="str">
        <f t="array" ref="U917">_xlfn.IFS(HR_Data[[#This Row],[Salary]]&gt;=100000,"A",HR_Data[[#This Row],[Salary]]&gt;=70000,"B",HR_Data[[#This Row],[Salary]]&gt;=50000,"C",TRUE(),"D")</f>
        <v>D</v>
      </c>
      <c r="V917" t="str">
        <f t="array" ref="V917">_xlfn.IFS(HR_Data[[#This Row],[Experience]]&gt;=15,"Expert",HR_Data[[#This Row],[Experience]]&gt;=8,"Senior",HR_Data[[#This Row],[Experience]]&gt;=3,"Mid-Level",TRUE(),"Junior")</f>
        <v>Mid-Level</v>
      </c>
    </row>
    <row r="918" spans="1:22" ht="14.25" customHeight="1" x14ac:dyDescent="0.3">
      <c r="A918" t="s">
        <v>1997</v>
      </c>
      <c r="B918" t="s">
        <v>23</v>
      </c>
      <c r="C918" t="s">
        <v>112</v>
      </c>
      <c r="D918" t="s">
        <v>33</v>
      </c>
      <c r="E918">
        <v>51</v>
      </c>
      <c r="F918">
        <v>120989</v>
      </c>
      <c r="G918">
        <v>30</v>
      </c>
      <c r="H918" t="s">
        <v>1998</v>
      </c>
      <c r="I918" t="s">
        <v>42</v>
      </c>
      <c r="J918" t="s">
        <v>36</v>
      </c>
      <c r="K918" t="s">
        <v>29</v>
      </c>
      <c r="L918" t="str">
        <f t="array" ref="L918">_xlfn.IFS(HR_Data[[#This Row],[Experience]]&lt;2,"0-2 Years",HR_Data[[#This Row],[Experience]]&lt;5,"2-5 Years",HR_Data[[#This Row],[Experience]]&lt;10,"5-10 Years",TRUE(),"10+ Years")</f>
        <v>10+ Years</v>
      </c>
      <c r="M918" t="str">
        <f t="array" ref="M918">_xlfn.IFS(HR_Data[[#This Row],[Salary]]&lt;40000,"Low",HR_Data[[#This Row],[Salary]]&lt;70000,"Medium",HR_Data[[#This Row],[Salary]]&lt;100000,"High",TRUE(),"Very High")</f>
        <v>Very High</v>
      </c>
      <c r="N918" t="str">
        <f t="array" ref="N918">_xlfn.IFS(HR_Data[[#This Row],[Age]]&lt;25,"18-24",HR_Data[[#This Row],[Age]]&lt;35,"25-34",HR_Data[[#This Row],[Age]]&lt;45,"35-44",TRUE(),"45+")</f>
        <v>45+</v>
      </c>
      <c r="O918">
        <f>YEAR(HR_Data[[#This Row],[Joining Date]])</f>
        <v>2016</v>
      </c>
      <c r="P918" t="str">
        <f>TEXT(HR_Data[[#This Row],[Joining Date]],"mmmm")</f>
        <v>April</v>
      </c>
      <c r="Q918">
        <f t="array" ref="Q91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18">
        <f>HR_Data[[#This Row],[Salary]]*HR_Data[[#This Row],[Bonus %]]</f>
        <v>12098.900000000001</v>
      </c>
      <c r="S918">
        <f>HR_Data[[#This Row],[Salary]]+HR_Data[[#This Row],[Bonus Amount]]</f>
        <v>133087.9</v>
      </c>
      <c r="T918" t="str">
        <f>IF(HR_Data[[#This Row],[Attrition]]="Yes","Inactive","Active")</f>
        <v>Active</v>
      </c>
      <c r="U918" t="str">
        <f t="array" ref="U918">_xlfn.IFS(HR_Data[[#This Row],[Salary]]&gt;=100000,"A",HR_Data[[#This Row],[Salary]]&gt;=70000,"B",HR_Data[[#This Row],[Salary]]&gt;=50000,"C",TRUE(),"D")</f>
        <v>A</v>
      </c>
      <c r="V918" t="str">
        <f t="array" ref="V918">_xlfn.IFS(HR_Data[[#This Row],[Experience]]&gt;=15,"Expert",HR_Data[[#This Row],[Experience]]&gt;=8,"Senior",HR_Data[[#This Row],[Experience]]&gt;=3,"Mid-Level",TRUE(),"Junior")</f>
        <v>Expert</v>
      </c>
    </row>
    <row r="919" spans="1:22" ht="14.25" customHeight="1" x14ac:dyDescent="0.3">
      <c r="A919" t="s">
        <v>1999</v>
      </c>
      <c r="B919" t="s">
        <v>570</v>
      </c>
      <c r="C919" t="s">
        <v>112</v>
      </c>
      <c r="D919" t="s">
        <v>33</v>
      </c>
      <c r="E919">
        <v>57</v>
      </c>
      <c r="F919">
        <v>129160</v>
      </c>
      <c r="G919">
        <v>34</v>
      </c>
      <c r="H919" t="s">
        <v>2000</v>
      </c>
      <c r="I919" t="s">
        <v>62</v>
      </c>
      <c r="J919" t="s">
        <v>46</v>
      </c>
      <c r="K919" t="s">
        <v>29</v>
      </c>
      <c r="L919" t="str">
        <f t="array" ref="L919">_xlfn.IFS(HR_Data[[#This Row],[Experience]]&lt;2,"0-2 Years",HR_Data[[#This Row],[Experience]]&lt;5,"2-5 Years",HR_Data[[#This Row],[Experience]]&lt;10,"5-10 Years",TRUE(),"10+ Years")</f>
        <v>10+ Years</v>
      </c>
      <c r="M919" t="str">
        <f t="array" ref="M919">_xlfn.IFS(HR_Data[[#This Row],[Salary]]&lt;40000,"Low",HR_Data[[#This Row],[Salary]]&lt;70000,"Medium",HR_Data[[#This Row],[Salary]]&lt;100000,"High",TRUE(),"Very High")</f>
        <v>Very High</v>
      </c>
      <c r="N919" t="str">
        <f t="array" ref="N919">_xlfn.IFS(HR_Data[[#This Row],[Age]]&lt;25,"18-24",HR_Data[[#This Row],[Age]]&lt;35,"25-34",HR_Data[[#This Row],[Age]]&lt;45,"35-44",TRUE(),"45+")</f>
        <v>45+</v>
      </c>
      <c r="O919">
        <f>YEAR(HR_Data[[#This Row],[Joining Date]])</f>
        <v>2026</v>
      </c>
      <c r="P919" t="str">
        <f>TEXT(HR_Data[[#This Row],[Joining Date]],"mmmm")</f>
        <v>June</v>
      </c>
      <c r="Q919">
        <f t="array" ref="Q919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919">
        <f>HR_Data[[#This Row],[Salary]]*HR_Data[[#This Row],[Bonus %]]</f>
        <v>6458</v>
      </c>
      <c r="S919">
        <f>HR_Data[[#This Row],[Salary]]+HR_Data[[#This Row],[Bonus Amount]]</f>
        <v>135618</v>
      </c>
      <c r="T919" t="str">
        <f>IF(HR_Data[[#This Row],[Attrition]]="Yes","Inactive","Active")</f>
        <v>Active</v>
      </c>
      <c r="U919" t="str">
        <f t="array" ref="U919">_xlfn.IFS(HR_Data[[#This Row],[Salary]]&gt;=100000,"A",HR_Data[[#This Row],[Salary]]&gt;=70000,"B",HR_Data[[#This Row],[Salary]]&gt;=50000,"C",TRUE(),"D")</f>
        <v>A</v>
      </c>
      <c r="V919" t="str">
        <f t="array" ref="V919">_xlfn.IFS(HR_Data[[#This Row],[Experience]]&gt;=15,"Expert",HR_Data[[#This Row],[Experience]]&gt;=8,"Senior",HR_Data[[#This Row],[Experience]]&gt;=3,"Mid-Level",TRUE(),"Junior")</f>
        <v>Expert</v>
      </c>
    </row>
    <row r="920" spans="1:22" ht="14.25" customHeight="1" x14ac:dyDescent="0.3">
      <c r="A920" t="s">
        <v>2001</v>
      </c>
      <c r="B920" t="s">
        <v>1350</v>
      </c>
      <c r="C920" t="s">
        <v>93</v>
      </c>
      <c r="D920" t="s">
        <v>33</v>
      </c>
      <c r="E920">
        <v>45</v>
      </c>
      <c r="F920">
        <v>105377</v>
      </c>
      <c r="G920">
        <v>24</v>
      </c>
      <c r="H920" t="s">
        <v>2002</v>
      </c>
      <c r="I920" t="s">
        <v>42</v>
      </c>
      <c r="J920" t="s">
        <v>28</v>
      </c>
      <c r="K920" t="s">
        <v>29</v>
      </c>
      <c r="L920" t="str">
        <f t="array" ref="L920">_xlfn.IFS(HR_Data[[#This Row],[Experience]]&lt;2,"0-2 Years",HR_Data[[#This Row],[Experience]]&lt;5,"2-5 Years",HR_Data[[#This Row],[Experience]]&lt;10,"5-10 Years",TRUE(),"10+ Years")</f>
        <v>10+ Years</v>
      </c>
      <c r="M920" t="str">
        <f t="array" ref="M920">_xlfn.IFS(HR_Data[[#This Row],[Salary]]&lt;40000,"Low",HR_Data[[#This Row],[Salary]]&lt;70000,"Medium",HR_Data[[#This Row],[Salary]]&lt;100000,"High",TRUE(),"Very High")</f>
        <v>Very High</v>
      </c>
      <c r="N920" t="str">
        <f t="array" ref="N920">_xlfn.IFS(HR_Data[[#This Row],[Age]]&lt;25,"18-24",HR_Data[[#This Row],[Age]]&lt;35,"25-34",HR_Data[[#This Row],[Age]]&lt;45,"35-44",TRUE(),"45+")</f>
        <v>45+</v>
      </c>
      <c r="O920">
        <f>YEAR(HR_Data[[#This Row],[Joining Date]])</f>
        <v>2021</v>
      </c>
      <c r="P920" t="str">
        <f>TEXT(HR_Data[[#This Row],[Joining Date]],"mmmm")</f>
        <v>June</v>
      </c>
      <c r="Q920">
        <f t="array" ref="Q920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20">
        <f>HR_Data[[#This Row],[Salary]]*HR_Data[[#This Row],[Bonus %]]</f>
        <v>15806.55</v>
      </c>
      <c r="S920">
        <f>HR_Data[[#This Row],[Salary]]+HR_Data[[#This Row],[Bonus Amount]]</f>
        <v>121183.55</v>
      </c>
      <c r="T920" t="str">
        <f>IF(HR_Data[[#This Row],[Attrition]]="Yes","Inactive","Active")</f>
        <v>Active</v>
      </c>
      <c r="U920" t="str">
        <f t="array" ref="U920">_xlfn.IFS(HR_Data[[#This Row],[Salary]]&gt;=100000,"A",HR_Data[[#This Row],[Salary]]&gt;=70000,"B",HR_Data[[#This Row],[Salary]]&gt;=50000,"C",TRUE(),"D")</f>
        <v>A</v>
      </c>
      <c r="V920" t="str">
        <f t="array" ref="V920">_xlfn.IFS(HR_Data[[#This Row],[Experience]]&gt;=15,"Expert",HR_Data[[#This Row],[Experience]]&gt;=8,"Senior",HR_Data[[#This Row],[Experience]]&gt;=3,"Mid-Level",TRUE(),"Junior")</f>
        <v>Expert</v>
      </c>
    </row>
    <row r="921" spans="1:22" ht="14.25" customHeight="1" x14ac:dyDescent="0.3">
      <c r="A921" t="s">
        <v>2003</v>
      </c>
      <c r="B921" t="s">
        <v>325</v>
      </c>
      <c r="C921" t="s">
        <v>112</v>
      </c>
      <c r="D921" t="s">
        <v>33</v>
      </c>
      <c r="E921">
        <v>34</v>
      </c>
      <c r="F921">
        <v>71034</v>
      </c>
      <c r="G921">
        <v>14</v>
      </c>
      <c r="H921" t="s">
        <v>1452</v>
      </c>
      <c r="I921" t="s">
        <v>132</v>
      </c>
      <c r="J921" t="s">
        <v>63</v>
      </c>
      <c r="K921" t="s">
        <v>29</v>
      </c>
      <c r="L921" t="str">
        <f t="array" ref="L921">_xlfn.IFS(HR_Data[[#This Row],[Experience]]&lt;2,"0-2 Years",HR_Data[[#This Row],[Experience]]&lt;5,"2-5 Years",HR_Data[[#This Row],[Experience]]&lt;10,"5-10 Years",TRUE(),"10+ Years")</f>
        <v>10+ Years</v>
      </c>
      <c r="M921" t="str">
        <f t="array" ref="M921">_xlfn.IFS(HR_Data[[#This Row],[Salary]]&lt;40000,"Low",HR_Data[[#This Row],[Salary]]&lt;70000,"Medium",HR_Data[[#This Row],[Salary]]&lt;100000,"High",TRUE(),"Very High")</f>
        <v>High</v>
      </c>
      <c r="N921" t="str">
        <f t="array" ref="N921">_xlfn.IFS(HR_Data[[#This Row],[Age]]&lt;25,"18-24",HR_Data[[#This Row],[Age]]&lt;35,"25-34",HR_Data[[#This Row],[Age]]&lt;45,"35-44",TRUE(),"45+")</f>
        <v>25-34</v>
      </c>
      <c r="O921">
        <f>YEAR(HR_Data[[#This Row],[Joining Date]])</f>
        <v>2023</v>
      </c>
      <c r="P921" t="str">
        <f>TEXT(HR_Data[[#This Row],[Joining Date]],"mmmm")</f>
        <v>January</v>
      </c>
      <c r="Q921">
        <f t="array" ref="Q921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921">
        <f>HR_Data[[#This Row],[Salary]]*HR_Data[[#This Row],[Bonus %]]</f>
        <v>14206.800000000001</v>
      </c>
      <c r="S921">
        <f>HR_Data[[#This Row],[Salary]]+HR_Data[[#This Row],[Bonus Amount]]</f>
        <v>85240.8</v>
      </c>
      <c r="T921" t="str">
        <f>IF(HR_Data[[#This Row],[Attrition]]="Yes","Inactive","Active")</f>
        <v>Active</v>
      </c>
      <c r="U921" t="str">
        <f t="array" ref="U921">_xlfn.IFS(HR_Data[[#This Row],[Salary]]&gt;=100000,"A",HR_Data[[#This Row],[Salary]]&gt;=70000,"B",HR_Data[[#This Row],[Salary]]&gt;=50000,"C",TRUE(),"D")</f>
        <v>B</v>
      </c>
      <c r="V921" t="str">
        <f t="array" ref="V921">_xlfn.IFS(HR_Data[[#This Row],[Experience]]&gt;=15,"Expert",HR_Data[[#This Row],[Experience]]&gt;=8,"Senior",HR_Data[[#This Row],[Experience]]&gt;=3,"Mid-Level",TRUE(),"Junior")</f>
        <v>Senior</v>
      </c>
    </row>
    <row r="922" spans="1:22" ht="14.25" customHeight="1" x14ac:dyDescent="0.3">
      <c r="A922" t="s">
        <v>2004</v>
      </c>
      <c r="B922" t="s">
        <v>231</v>
      </c>
      <c r="C922" t="s">
        <v>134</v>
      </c>
      <c r="D922" t="s">
        <v>25</v>
      </c>
      <c r="E922">
        <v>54</v>
      </c>
      <c r="F922">
        <v>114372</v>
      </c>
      <c r="G922">
        <v>27</v>
      </c>
      <c r="H922" t="s">
        <v>990</v>
      </c>
      <c r="I922" t="s">
        <v>42</v>
      </c>
      <c r="J922" t="s">
        <v>36</v>
      </c>
      <c r="K922" t="s">
        <v>29</v>
      </c>
      <c r="L922" t="str">
        <f t="array" ref="L922">_xlfn.IFS(HR_Data[[#This Row],[Experience]]&lt;2,"0-2 Years",HR_Data[[#This Row],[Experience]]&lt;5,"2-5 Years",HR_Data[[#This Row],[Experience]]&lt;10,"5-10 Years",TRUE(),"10+ Years")</f>
        <v>10+ Years</v>
      </c>
      <c r="M922" t="str">
        <f t="array" ref="M922">_xlfn.IFS(HR_Data[[#This Row],[Salary]]&lt;40000,"Low",HR_Data[[#This Row],[Salary]]&lt;70000,"Medium",HR_Data[[#This Row],[Salary]]&lt;100000,"High",TRUE(),"Very High")</f>
        <v>Very High</v>
      </c>
      <c r="N922" t="str">
        <f t="array" ref="N922">_xlfn.IFS(HR_Data[[#This Row],[Age]]&lt;25,"18-24",HR_Data[[#This Row],[Age]]&lt;35,"25-34",HR_Data[[#This Row],[Age]]&lt;45,"35-44",TRUE(),"45+")</f>
        <v>45+</v>
      </c>
      <c r="O922">
        <f>YEAR(HR_Data[[#This Row],[Joining Date]])</f>
        <v>2019</v>
      </c>
      <c r="P922" t="str">
        <f>TEXT(HR_Data[[#This Row],[Joining Date]],"mmmm")</f>
        <v>January</v>
      </c>
      <c r="Q922">
        <f t="array" ref="Q92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22">
        <f>HR_Data[[#This Row],[Salary]]*HR_Data[[#This Row],[Bonus %]]</f>
        <v>11437.2</v>
      </c>
      <c r="S922">
        <f>HR_Data[[#This Row],[Salary]]+HR_Data[[#This Row],[Bonus Amount]]</f>
        <v>125809.2</v>
      </c>
      <c r="T922" t="str">
        <f>IF(HR_Data[[#This Row],[Attrition]]="Yes","Inactive","Active")</f>
        <v>Active</v>
      </c>
      <c r="U922" t="str">
        <f t="array" ref="U922">_xlfn.IFS(HR_Data[[#This Row],[Salary]]&gt;=100000,"A",HR_Data[[#This Row],[Salary]]&gt;=70000,"B",HR_Data[[#This Row],[Salary]]&gt;=50000,"C",TRUE(),"D")</f>
        <v>A</v>
      </c>
      <c r="V922" t="str">
        <f t="array" ref="V922">_xlfn.IFS(HR_Data[[#This Row],[Experience]]&gt;=15,"Expert",HR_Data[[#This Row],[Experience]]&gt;=8,"Senior",HR_Data[[#This Row],[Experience]]&gt;=3,"Mid-Level",TRUE(),"Junior")</f>
        <v>Expert</v>
      </c>
    </row>
    <row r="923" spans="1:22" ht="14.25" customHeight="1" x14ac:dyDescent="0.3">
      <c r="A923" t="s">
        <v>2005</v>
      </c>
      <c r="B923" t="s">
        <v>127</v>
      </c>
      <c r="C923" t="s">
        <v>70</v>
      </c>
      <c r="D923" t="s">
        <v>33</v>
      </c>
      <c r="E923">
        <v>43</v>
      </c>
      <c r="F923">
        <v>83495</v>
      </c>
      <c r="G923">
        <v>17</v>
      </c>
      <c r="H923" t="s">
        <v>2006</v>
      </c>
      <c r="I923" t="s">
        <v>67</v>
      </c>
      <c r="J923" t="s">
        <v>46</v>
      </c>
      <c r="K923" t="s">
        <v>29</v>
      </c>
      <c r="L923" t="str">
        <f t="array" ref="L923">_xlfn.IFS(HR_Data[[#This Row],[Experience]]&lt;2,"0-2 Years",HR_Data[[#This Row],[Experience]]&lt;5,"2-5 Years",HR_Data[[#This Row],[Experience]]&lt;10,"5-10 Years",TRUE(),"10+ Years")</f>
        <v>10+ Years</v>
      </c>
      <c r="M923" t="str">
        <f t="array" ref="M923">_xlfn.IFS(HR_Data[[#This Row],[Salary]]&lt;40000,"Low",HR_Data[[#This Row],[Salary]]&lt;70000,"Medium",HR_Data[[#This Row],[Salary]]&lt;100000,"High",TRUE(),"Very High")</f>
        <v>High</v>
      </c>
      <c r="N923" t="str">
        <f t="array" ref="N923">_xlfn.IFS(HR_Data[[#This Row],[Age]]&lt;25,"18-24",HR_Data[[#This Row],[Age]]&lt;35,"25-34",HR_Data[[#This Row],[Age]]&lt;45,"35-44",TRUE(),"45+")</f>
        <v>35-44</v>
      </c>
      <c r="O923">
        <f>YEAR(HR_Data[[#This Row],[Joining Date]])</f>
        <v>2020</v>
      </c>
      <c r="P923" t="str">
        <f>TEXT(HR_Data[[#This Row],[Joining Date]],"mmmm")</f>
        <v>December</v>
      </c>
      <c r="Q923">
        <f t="array" ref="Q923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923">
        <f>HR_Data[[#This Row],[Salary]]*HR_Data[[#This Row],[Bonus %]]</f>
        <v>4174.75</v>
      </c>
      <c r="S923">
        <f>HR_Data[[#This Row],[Salary]]+HR_Data[[#This Row],[Bonus Amount]]</f>
        <v>87669.75</v>
      </c>
      <c r="T923" t="str">
        <f>IF(HR_Data[[#This Row],[Attrition]]="Yes","Inactive","Active")</f>
        <v>Active</v>
      </c>
      <c r="U923" t="str">
        <f t="array" ref="U923">_xlfn.IFS(HR_Data[[#This Row],[Salary]]&gt;=100000,"A",HR_Data[[#This Row],[Salary]]&gt;=70000,"B",HR_Data[[#This Row],[Salary]]&gt;=50000,"C",TRUE(),"D")</f>
        <v>B</v>
      </c>
      <c r="V923" t="str">
        <f t="array" ref="V923">_xlfn.IFS(HR_Data[[#This Row],[Experience]]&gt;=15,"Expert",HR_Data[[#This Row],[Experience]]&gt;=8,"Senior",HR_Data[[#This Row],[Experience]]&gt;=3,"Mid-Level",TRUE(),"Junior")</f>
        <v>Expert</v>
      </c>
    </row>
    <row r="924" spans="1:22" ht="14.25" customHeight="1" x14ac:dyDescent="0.3">
      <c r="A924" t="s">
        <v>2007</v>
      </c>
      <c r="B924" t="s">
        <v>741</v>
      </c>
      <c r="C924" t="s">
        <v>70</v>
      </c>
      <c r="D924" t="s">
        <v>33</v>
      </c>
      <c r="E924">
        <v>34</v>
      </c>
      <c r="F924">
        <v>60437</v>
      </c>
      <c r="G924">
        <v>9</v>
      </c>
      <c r="H924" t="s">
        <v>2008</v>
      </c>
      <c r="I924" t="s">
        <v>67</v>
      </c>
      <c r="J924" t="s">
        <v>46</v>
      </c>
      <c r="K924" t="s">
        <v>37</v>
      </c>
      <c r="L924" t="str">
        <f t="array" ref="L924">_xlfn.IFS(HR_Data[[#This Row],[Experience]]&lt;2,"0-2 Years",HR_Data[[#This Row],[Experience]]&lt;5,"2-5 Years",HR_Data[[#This Row],[Experience]]&lt;10,"5-10 Years",TRUE(),"10+ Years")</f>
        <v>5-10 Years</v>
      </c>
      <c r="M924" t="str">
        <f t="array" ref="M924">_xlfn.IFS(HR_Data[[#This Row],[Salary]]&lt;40000,"Low",HR_Data[[#This Row],[Salary]]&lt;70000,"Medium",HR_Data[[#This Row],[Salary]]&lt;100000,"High",TRUE(),"Very High")</f>
        <v>Medium</v>
      </c>
      <c r="N924" t="str">
        <f t="array" ref="N924">_xlfn.IFS(HR_Data[[#This Row],[Age]]&lt;25,"18-24",HR_Data[[#This Row],[Age]]&lt;35,"25-34",HR_Data[[#This Row],[Age]]&lt;45,"35-44",TRUE(),"45+")</f>
        <v>25-34</v>
      </c>
      <c r="O924">
        <f>YEAR(HR_Data[[#This Row],[Joining Date]])</f>
        <v>2025</v>
      </c>
      <c r="P924" t="str">
        <f>TEXT(HR_Data[[#This Row],[Joining Date]],"mmmm")</f>
        <v>September</v>
      </c>
      <c r="Q924">
        <f t="array" ref="Q924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924">
        <f>HR_Data[[#This Row],[Salary]]*HR_Data[[#This Row],[Bonus %]]</f>
        <v>3021.8500000000004</v>
      </c>
      <c r="S924">
        <f>HR_Data[[#This Row],[Salary]]+HR_Data[[#This Row],[Bonus Amount]]</f>
        <v>63458.85</v>
      </c>
      <c r="T924" t="str">
        <f>IF(HR_Data[[#This Row],[Attrition]]="Yes","Inactive","Active")</f>
        <v>Inactive</v>
      </c>
      <c r="U924" t="str">
        <f t="array" ref="U924">_xlfn.IFS(HR_Data[[#This Row],[Salary]]&gt;=100000,"A",HR_Data[[#This Row],[Salary]]&gt;=70000,"B",HR_Data[[#This Row],[Salary]]&gt;=50000,"C",TRUE(),"D")</f>
        <v>C</v>
      </c>
      <c r="V924" t="str">
        <f t="array" ref="V924">_xlfn.IFS(HR_Data[[#This Row],[Experience]]&gt;=15,"Expert",HR_Data[[#This Row],[Experience]]&gt;=8,"Senior",HR_Data[[#This Row],[Experience]]&gt;=3,"Mid-Level",TRUE(),"Junior")</f>
        <v>Senior</v>
      </c>
    </row>
    <row r="925" spans="1:22" ht="14.25" customHeight="1" x14ac:dyDescent="0.3">
      <c r="A925" t="s">
        <v>2009</v>
      </c>
      <c r="B925" t="s">
        <v>161</v>
      </c>
      <c r="C925" t="s">
        <v>55</v>
      </c>
      <c r="D925" t="s">
        <v>33</v>
      </c>
      <c r="E925">
        <v>29</v>
      </c>
      <c r="F925">
        <v>55216</v>
      </c>
      <c r="G925">
        <v>8</v>
      </c>
      <c r="H925" t="s">
        <v>2010</v>
      </c>
      <c r="I925" t="s">
        <v>57</v>
      </c>
      <c r="J925" t="s">
        <v>28</v>
      </c>
      <c r="K925" t="s">
        <v>29</v>
      </c>
      <c r="L925" t="str">
        <f t="array" ref="L925">_xlfn.IFS(HR_Data[[#This Row],[Experience]]&lt;2,"0-2 Years",HR_Data[[#This Row],[Experience]]&lt;5,"2-5 Years",HR_Data[[#This Row],[Experience]]&lt;10,"5-10 Years",TRUE(),"10+ Years")</f>
        <v>5-10 Years</v>
      </c>
      <c r="M925" t="str">
        <f t="array" ref="M925">_xlfn.IFS(HR_Data[[#This Row],[Salary]]&lt;40000,"Low",HR_Data[[#This Row],[Salary]]&lt;70000,"Medium",HR_Data[[#This Row],[Salary]]&lt;100000,"High",TRUE(),"Very High")</f>
        <v>Medium</v>
      </c>
      <c r="N925" t="str">
        <f t="array" ref="N925">_xlfn.IFS(HR_Data[[#This Row],[Age]]&lt;25,"18-24",HR_Data[[#This Row],[Age]]&lt;35,"25-34",HR_Data[[#This Row],[Age]]&lt;45,"35-44",TRUE(),"45+")</f>
        <v>25-34</v>
      </c>
      <c r="O925">
        <f>YEAR(HR_Data[[#This Row],[Joining Date]])</f>
        <v>2022</v>
      </c>
      <c r="P925" t="str">
        <f>TEXT(HR_Data[[#This Row],[Joining Date]],"mmmm")</f>
        <v>November</v>
      </c>
      <c r="Q925">
        <f t="array" ref="Q925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25">
        <f>HR_Data[[#This Row],[Salary]]*HR_Data[[#This Row],[Bonus %]]</f>
        <v>8282.4</v>
      </c>
      <c r="S925">
        <f>HR_Data[[#This Row],[Salary]]+HR_Data[[#This Row],[Bonus Amount]]</f>
        <v>63498.400000000001</v>
      </c>
      <c r="T925" t="str">
        <f>IF(HR_Data[[#This Row],[Attrition]]="Yes","Inactive","Active")</f>
        <v>Active</v>
      </c>
      <c r="U925" t="str">
        <f t="array" ref="U925">_xlfn.IFS(HR_Data[[#This Row],[Salary]]&gt;=100000,"A",HR_Data[[#This Row],[Salary]]&gt;=70000,"B",HR_Data[[#This Row],[Salary]]&gt;=50000,"C",TRUE(),"D")</f>
        <v>C</v>
      </c>
      <c r="V925" t="str">
        <f t="array" ref="V925">_xlfn.IFS(HR_Data[[#This Row],[Experience]]&gt;=15,"Expert",HR_Data[[#This Row],[Experience]]&gt;=8,"Senior",HR_Data[[#This Row],[Experience]]&gt;=3,"Mid-Level",TRUE(),"Junior")</f>
        <v>Senior</v>
      </c>
    </row>
    <row r="926" spans="1:22" ht="14.25" customHeight="1" x14ac:dyDescent="0.3">
      <c r="A926" t="s">
        <v>2011</v>
      </c>
      <c r="B926" t="s">
        <v>54</v>
      </c>
      <c r="C926" t="s">
        <v>32</v>
      </c>
      <c r="D926" t="s">
        <v>33</v>
      </c>
      <c r="E926">
        <v>49</v>
      </c>
      <c r="F926">
        <v>111800</v>
      </c>
      <c r="G926">
        <v>24</v>
      </c>
      <c r="H926" t="s">
        <v>2012</v>
      </c>
      <c r="I926" t="s">
        <v>72</v>
      </c>
      <c r="J926" t="s">
        <v>36</v>
      </c>
      <c r="K926" t="s">
        <v>29</v>
      </c>
      <c r="L926" t="str">
        <f t="array" ref="L926">_xlfn.IFS(HR_Data[[#This Row],[Experience]]&lt;2,"0-2 Years",HR_Data[[#This Row],[Experience]]&lt;5,"2-5 Years",HR_Data[[#This Row],[Experience]]&lt;10,"5-10 Years",TRUE(),"10+ Years")</f>
        <v>10+ Years</v>
      </c>
      <c r="M926" t="str">
        <f t="array" ref="M926">_xlfn.IFS(HR_Data[[#This Row],[Salary]]&lt;40000,"Low",HR_Data[[#This Row],[Salary]]&lt;70000,"Medium",HR_Data[[#This Row],[Salary]]&lt;100000,"High",TRUE(),"Very High")</f>
        <v>Very High</v>
      </c>
      <c r="N926" t="str">
        <f t="array" ref="N926">_xlfn.IFS(HR_Data[[#This Row],[Age]]&lt;25,"18-24",HR_Data[[#This Row],[Age]]&lt;35,"25-34",HR_Data[[#This Row],[Age]]&lt;45,"35-44",TRUE(),"45+")</f>
        <v>45+</v>
      </c>
      <c r="O926">
        <f>YEAR(HR_Data[[#This Row],[Joining Date]])</f>
        <v>2026</v>
      </c>
      <c r="P926" t="str">
        <f>TEXT(HR_Data[[#This Row],[Joining Date]],"mmmm")</f>
        <v>February</v>
      </c>
      <c r="Q926">
        <f t="array" ref="Q926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26">
        <f>HR_Data[[#This Row],[Salary]]*HR_Data[[#This Row],[Bonus %]]</f>
        <v>11180</v>
      </c>
      <c r="S926">
        <f>HR_Data[[#This Row],[Salary]]+HR_Data[[#This Row],[Bonus Amount]]</f>
        <v>122980</v>
      </c>
      <c r="T926" t="str">
        <f>IF(HR_Data[[#This Row],[Attrition]]="Yes","Inactive","Active")</f>
        <v>Active</v>
      </c>
      <c r="U926" t="str">
        <f t="array" ref="U926">_xlfn.IFS(HR_Data[[#This Row],[Salary]]&gt;=100000,"A",HR_Data[[#This Row],[Salary]]&gt;=70000,"B",HR_Data[[#This Row],[Salary]]&gt;=50000,"C",TRUE(),"D")</f>
        <v>A</v>
      </c>
      <c r="V926" t="str">
        <f t="array" ref="V926">_xlfn.IFS(HR_Data[[#This Row],[Experience]]&gt;=15,"Expert",HR_Data[[#This Row],[Experience]]&gt;=8,"Senior",HR_Data[[#This Row],[Experience]]&gt;=3,"Mid-Level",TRUE(),"Junior")</f>
        <v>Expert</v>
      </c>
    </row>
    <row r="927" spans="1:22" ht="14.25" customHeight="1" x14ac:dyDescent="0.3">
      <c r="A927" t="s">
        <v>2013</v>
      </c>
      <c r="B927" t="s">
        <v>570</v>
      </c>
      <c r="C927" t="s">
        <v>112</v>
      </c>
      <c r="D927" t="s">
        <v>25</v>
      </c>
      <c r="E927">
        <v>53</v>
      </c>
      <c r="F927">
        <v>119135</v>
      </c>
      <c r="G927">
        <v>26</v>
      </c>
      <c r="H927" t="s">
        <v>1373</v>
      </c>
      <c r="I927" t="s">
        <v>45</v>
      </c>
      <c r="J927" t="s">
        <v>36</v>
      </c>
      <c r="K927" t="s">
        <v>29</v>
      </c>
      <c r="L927" t="str">
        <f t="array" ref="L927">_xlfn.IFS(HR_Data[[#This Row],[Experience]]&lt;2,"0-2 Years",HR_Data[[#This Row],[Experience]]&lt;5,"2-5 Years",HR_Data[[#This Row],[Experience]]&lt;10,"5-10 Years",TRUE(),"10+ Years")</f>
        <v>10+ Years</v>
      </c>
      <c r="M927" t="str">
        <f t="array" ref="M927">_xlfn.IFS(HR_Data[[#This Row],[Salary]]&lt;40000,"Low",HR_Data[[#This Row],[Salary]]&lt;70000,"Medium",HR_Data[[#This Row],[Salary]]&lt;100000,"High",TRUE(),"Very High")</f>
        <v>Very High</v>
      </c>
      <c r="N927" t="str">
        <f t="array" ref="N927">_xlfn.IFS(HR_Data[[#This Row],[Age]]&lt;25,"18-24",HR_Data[[#This Row],[Age]]&lt;35,"25-34",HR_Data[[#This Row],[Age]]&lt;45,"35-44",TRUE(),"45+")</f>
        <v>45+</v>
      </c>
      <c r="O927">
        <f>YEAR(HR_Data[[#This Row],[Joining Date]])</f>
        <v>2019</v>
      </c>
      <c r="P927" t="str">
        <f>TEXT(HR_Data[[#This Row],[Joining Date]],"mmmm")</f>
        <v>December</v>
      </c>
      <c r="Q927">
        <f t="array" ref="Q927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27">
        <f>HR_Data[[#This Row],[Salary]]*HR_Data[[#This Row],[Bonus %]]</f>
        <v>11913.5</v>
      </c>
      <c r="S927">
        <f>HR_Data[[#This Row],[Salary]]+HR_Data[[#This Row],[Bonus Amount]]</f>
        <v>131048.5</v>
      </c>
      <c r="T927" t="str">
        <f>IF(HR_Data[[#This Row],[Attrition]]="Yes","Inactive","Active")</f>
        <v>Active</v>
      </c>
      <c r="U927" t="str">
        <f t="array" ref="U927">_xlfn.IFS(HR_Data[[#This Row],[Salary]]&gt;=100000,"A",HR_Data[[#This Row],[Salary]]&gt;=70000,"B",HR_Data[[#This Row],[Salary]]&gt;=50000,"C",TRUE(),"D")</f>
        <v>A</v>
      </c>
      <c r="V927" t="str">
        <f t="array" ref="V927">_xlfn.IFS(HR_Data[[#This Row],[Experience]]&gt;=15,"Expert",HR_Data[[#This Row],[Experience]]&gt;=8,"Senior",HR_Data[[#This Row],[Experience]]&gt;=3,"Mid-Level",TRUE(),"Junior")</f>
        <v>Expert</v>
      </c>
    </row>
    <row r="928" spans="1:22" ht="14.25" customHeight="1" x14ac:dyDescent="0.3">
      <c r="A928" t="s">
        <v>2014</v>
      </c>
      <c r="B928" t="s">
        <v>140</v>
      </c>
      <c r="C928" t="s">
        <v>93</v>
      </c>
      <c r="D928" t="s">
        <v>33</v>
      </c>
      <c r="E928">
        <v>51</v>
      </c>
      <c r="F928">
        <v>116609</v>
      </c>
      <c r="G928">
        <v>30</v>
      </c>
      <c r="H928" t="s">
        <v>2015</v>
      </c>
      <c r="I928" t="s">
        <v>45</v>
      </c>
      <c r="J928" t="s">
        <v>46</v>
      </c>
      <c r="K928" t="s">
        <v>29</v>
      </c>
      <c r="L928" t="str">
        <f t="array" ref="L928">_xlfn.IFS(HR_Data[[#This Row],[Experience]]&lt;2,"0-2 Years",HR_Data[[#This Row],[Experience]]&lt;5,"2-5 Years",HR_Data[[#This Row],[Experience]]&lt;10,"5-10 Years",TRUE(),"10+ Years")</f>
        <v>10+ Years</v>
      </c>
      <c r="M928" t="str">
        <f t="array" ref="M928">_xlfn.IFS(HR_Data[[#This Row],[Salary]]&lt;40000,"Low",HR_Data[[#This Row],[Salary]]&lt;70000,"Medium",HR_Data[[#This Row],[Salary]]&lt;100000,"High",TRUE(),"Very High")</f>
        <v>Very High</v>
      </c>
      <c r="N928" t="str">
        <f t="array" ref="N928">_xlfn.IFS(HR_Data[[#This Row],[Age]]&lt;25,"18-24",HR_Data[[#This Row],[Age]]&lt;35,"25-34",HR_Data[[#This Row],[Age]]&lt;45,"35-44",TRUE(),"45+")</f>
        <v>45+</v>
      </c>
      <c r="O928">
        <f>YEAR(HR_Data[[#This Row],[Joining Date]])</f>
        <v>2016</v>
      </c>
      <c r="P928" t="str">
        <f>TEXT(HR_Data[[#This Row],[Joining Date]],"mmmm")</f>
        <v>May</v>
      </c>
      <c r="Q928">
        <f t="array" ref="Q928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928">
        <f>HR_Data[[#This Row],[Salary]]*HR_Data[[#This Row],[Bonus %]]</f>
        <v>5830.4500000000007</v>
      </c>
      <c r="S928">
        <f>HR_Data[[#This Row],[Salary]]+HR_Data[[#This Row],[Bonus Amount]]</f>
        <v>122439.45</v>
      </c>
      <c r="T928" t="str">
        <f>IF(HR_Data[[#This Row],[Attrition]]="Yes","Inactive","Active")</f>
        <v>Active</v>
      </c>
      <c r="U928" t="str">
        <f t="array" ref="U928">_xlfn.IFS(HR_Data[[#This Row],[Salary]]&gt;=100000,"A",HR_Data[[#This Row],[Salary]]&gt;=70000,"B",HR_Data[[#This Row],[Salary]]&gt;=50000,"C",TRUE(),"D")</f>
        <v>A</v>
      </c>
      <c r="V928" t="str">
        <f t="array" ref="V928">_xlfn.IFS(HR_Data[[#This Row],[Experience]]&gt;=15,"Expert",HR_Data[[#This Row],[Experience]]&gt;=8,"Senior",HR_Data[[#This Row],[Experience]]&gt;=3,"Mid-Level",TRUE(),"Junior")</f>
        <v>Expert</v>
      </c>
    </row>
    <row r="929" spans="1:22" ht="14.25" customHeight="1" x14ac:dyDescent="0.3">
      <c r="A929" t="s">
        <v>2016</v>
      </c>
      <c r="B929" t="s">
        <v>594</v>
      </c>
      <c r="C929" t="s">
        <v>112</v>
      </c>
      <c r="D929" t="s">
        <v>25</v>
      </c>
      <c r="E929">
        <v>48</v>
      </c>
      <c r="F929">
        <v>107105</v>
      </c>
      <c r="G929">
        <v>26</v>
      </c>
      <c r="H929" t="s">
        <v>2017</v>
      </c>
      <c r="I929" t="s">
        <v>67</v>
      </c>
      <c r="J929" t="s">
        <v>63</v>
      </c>
      <c r="K929" t="s">
        <v>29</v>
      </c>
      <c r="L929" t="str">
        <f t="array" ref="L929">_xlfn.IFS(HR_Data[[#This Row],[Experience]]&lt;2,"0-2 Years",HR_Data[[#This Row],[Experience]]&lt;5,"2-5 Years",HR_Data[[#This Row],[Experience]]&lt;10,"5-10 Years",TRUE(),"10+ Years")</f>
        <v>10+ Years</v>
      </c>
      <c r="M929" t="str">
        <f t="array" ref="M929">_xlfn.IFS(HR_Data[[#This Row],[Salary]]&lt;40000,"Low",HR_Data[[#This Row],[Salary]]&lt;70000,"Medium",HR_Data[[#This Row],[Salary]]&lt;100000,"High",TRUE(),"Very High")</f>
        <v>Very High</v>
      </c>
      <c r="N929" t="str">
        <f t="array" ref="N929">_xlfn.IFS(HR_Data[[#This Row],[Age]]&lt;25,"18-24",HR_Data[[#This Row],[Age]]&lt;35,"25-34",HR_Data[[#This Row],[Age]]&lt;45,"35-44",TRUE(),"45+")</f>
        <v>45+</v>
      </c>
      <c r="O929">
        <f>YEAR(HR_Data[[#This Row],[Joining Date]])</f>
        <v>2020</v>
      </c>
      <c r="P929" t="str">
        <f>TEXT(HR_Data[[#This Row],[Joining Date]],"mmmm")</f>
        <v>January</v>
      </c>
      <c r="Q929">
        <f t="array" ref="Q929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929">
        <f>HR_Data[[#This Row],[Salary]]*HR_Data[[#This Row],[Bonus %]]</f>
        <v>21421</v>
      </c>
      <c r="S929">
        <f>HR_Data[[#This Row],[Salary]]+HR_Data[[#This Row],[Bonus Amount]]</f>
        <v>128526</v>
      </c>
      <c r="T929" t="str">
        <f>IF(HR_Data[[#This Row],[Attrition]]="Yes","Inactive","Active")</f>
        <v>Active</v>
      </c>
      <c r="U929" t="str">
        <f t="array" ref="U929">_xlfn.IFS(HR_Data[[#This Row],[Salary]]&gt;=100000,"A",HR_Data[[#This Row],[Salary]]&gt;=70000,"B",HR_Data[[#This Row],[Salary]]&gt;=50000,"C",TRUE(),"D")</f>
        <v>A</v>
      </c>
      <c r="V929" t="str">
        <f t="array" ref="V929">_xlfn.IFS(HR_Data[[#This Row],[Experience]]&gt;=15,"Expert",HR_Data[[#This Row],[Experience]]&gt;=8,"Senior",HR_Data[[#This Row],[Experience]]&gt;=3,"Mid-Level",TRUE(),"Junior")</f>
        <v>Expert</v>
      </c>
    </row>
    <row r="930" spans="1:22" ht="14.25" customHeight="1" x14ac:dyDescent="0.3">
      <c r="A930" t="s">
        <v>2018</v>
      </c>
      <c r="B930" t="s">
        <v>551</v>
      </c>
      <c r="C930" t="s">
        <v>70</v>
      </c>
      <c r="D930" t="s">
        <v>25</v>
      </c>
      <c r="E930">
        <v>33</v>
      </c>
      <c r="F930">
        <v>30073</v>
      </c>
      <c r="G930">
        <v>3</v>
      </c>
      <c r="H930" t="s">
        <v>1729</v>
      </c>
      <c r="I930" t="s">
        <v>132</v>
      </c>
      <c r="J930" t="s">
        <v>36</v>
      </c>
      <c r="K930" t="s">
        <v>29</v>
      </c>
      <c r="L930" t="str">
        <f t="array" ref="L930">_xlfn.IFS(HR_Data[[#This Row],[Experience]]&lt;2,"0-2 Years",HR_Data[[#This Row],[Experience]]&lt;5,"2-5 Years",HR_Data[[#This Row],[Experience]]&lt;10,"5-10 Years",TRUE(),"10+ Years")</f>
        <v>2-5 Years</v>
      </c>
      <c r="M930" t="str">
        <f t="array" ref="M930">_xlfn.IFS(HR_Data[[#This Row],[Salary]]&lt;40000,"Low",HR_Data[[#This Row],[Salary]]&lt;70000,"Medium",HR_Data[[#This Row],[Salary]]&lt;100000,"High",TRUE(),"Very High")</f>
        <v>Low</v>
      </c>
      <c r="N930" t="str">
        <f t="array" ref="N930">_xlfn.IFS(HR_Data[[#This Row],[Age]]&lt;25,"18-24",HR_Data[[#This Row],[Age]]&lt;35,"25-34",HR_Data[[#This Row],[Age]]&lt;45,"35-44",TRUE(),"45+")</f>
        <v>25-34</v>
      </c>
      <c r="O930">
        <f>YEAR(HR_Data[[#This Row],[Joining Date]])</f>
        <v>2016</v>
      </c>
      <c r="P930" t="str">
        <f>TEXT(HR_Data[[#This Row],[Joining Date]],"mmmm")</f>
        <v>August</v>
      </c>
      <c r="Q930">
        <f t="array" ref="Q93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30">
        <f>HR_Data[[#This Row],[Salary]]*HR_Data[[#This Row],[Bonus %]]</f>
        <v>3007.3</v>
      </c>
      <c r="S930">
        <f>HR_Data[[#This Row],[Salary]]+HR_Data[[#This Row],[Bonus Amount]]</f>
        <v>33080.300000000003</v>
      </c>
      <c r="T930" t="str">
        <f>IF(HR_Data[[#This Row],[Attrition]]="Yes","Inactive","Active")</f>
        <v>Active</v>
      </c>
      <c r="U930" t="str">
        <f t="array" ref="U930">_xlfn.IFS(HR_Data[[#This Row],[Salary]]&gt;=100000,"A",HR_Data[[#This Row],[Salary]]&gt;=70000,"B",HR_Data[[#This Row],[Salary]]&gt;=50000,"C",TRUE(),"D")</f>
        <v>D</v>
      </c>
      <c r="V930" t="str">
        <f t="array" ref="V930">_xlfn.IFS(HR_Data[[#This Row],[Experience]]&gt;=15,"Expert",HR_Data[[#This Row],[Experience]]&gt;=8,"Senior",HR_Data[[#This Row],[Experience]]&gt;=3,"Mid-Level",TRUE(),"Junior")</f>
        <v>Mid-Level</v>
      </c>
    </row>
    <row r="931" spans="1:22" ht="14.25" customHeight="1" x14ac:dyDescent="0.3">
      <c r="A931" t="s">
        <v>2019</v>
      </c>
      <c r="B931" t="s">
        <v>1090</v>
      </c>
      <c r="C931" t="s">
        <v>93</v>
      </c>
      <c r="D931" t="s">
        <v>33</v>
      </c>
      <c r="E931">
        <v>27</v>
      </c>
      <c r="F931">
        <v>35525</v>
      </c>
      <c r="G931">
        <v>5</v>
      </c>
      <c r="H931" t="s">
        <v>2020</v>
      </c>
      <c r="I931" t="s">
        <v>45</v>
      </c>
      <c r="J931" t="s">
        <v>36</v>
      </c>
      <c r="K931" t="s">
        <v>29</v>
      </c>
      <c r="L931" t="str">
        <f t="array" ref="L931">_xlfn.IFS(HR_Data[[#This Row],[Experience]]&lt;2,"0-2 Years",HR_Data[[#This Row],[Experience]]&lt;5,"2-5 Years",HR_Data[[#This Row],[Experience]]&lt;10,"5-10 Years",TRUE(),"10+ Years")</f>
        <v>5-10 Years</v>
      </c>
      <c r="M931" t="str">
        <f t="array" ref="M931">_xlfn.IFS(HR_Data[[#This Row],[Salary]]&lt;40000,"Low",HR_Data[[#This Row],[Salary]]&lt;70000,"Medium",HR_Data[[#This Row],[Salary]]&lt;100000,"High",TRUE(),"Very High")</f>
        <v>Low</v>
      </c>
      <c r="N931" t="str">
        <f t="array" ref="N931">_xlfn.IFS(HR_Data[[#This Row],[Age]]&lt;25,"18-24",HR_Data[[#This Row],[Age]]&lt;35,"25-34",HR_Data[[#This Row],[Age]]&lt;45,"35-44",TRUE(),"45+")</f>
        <v>25-34</v>
      </c>
      <c r="O931">
        <f>YEAR(HR_Data[[#This Row],[Joining Date]])</f>
        <v>2015</v>
      </c>
      <c r="P931" t="str">
        <f>TEXT(HR_Data[[#This Row],[Joining Date]],"mmmm")</f>
        <v>April</v>
      </c>
      <c r="Q931">
        <f t="array" ref="Q93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31">
        <f>HR_Data[[#This Row],[Salary]]*HR_Data[[#This Row],[Bonus %]]</f>
        <v>3552.5</v>
      </c>
      <c r="S931">
        <f>HR_Data[[#This Row],[Salary]]+HR_Data[[#This Row],[Bonus Amount]]</f>
        <v>39077.5</v>
      </c>
      <c r="T931" t="str">
        <f>IF(HR_Data[[#This Row],[Attrition]]="Yes","Inactive","Active")</f>
        <v>Active</v>
      </c>
      <c r="U931" t="str">
        <f t="array" ref="U931">_xlfn.IFS(HR_Data[[#This Row],[Salary]]&gt;=100000,"A",HR_Data[[#This Row],[Salary]]&gt;=70000,"B",HR_Data[[#This Row],[Salary]]&gt;=50000,"C",TRUE(),"D")</f>
        <v>D</v>
      </c>
      <c r="V931" t="str">
        <f t="array" ref="V931">_xlfn.IFS(HR_Data[[#This Row],[Experience]]&gt;=15,"Expert",HR_Data[[#This Row],[Experience]]&gt;=8,"Senior",HR_Data[[#This Row],[Experience]]&gt;=3,"Mid-Level",TRUE(),"Junior")</f>
        <v>Mid-Level</v>
      </c>
    </row>
    <row r="932" spans="1:22" ht="14.25" customHeight="1" x14ac:dyDescent="0.3">
      <c r="A932" t="s">
        <v>2021</v>
      </c>
      <c r="B932" t="s">
        <v>1412</v>
      </c>
      <c r="C932" t="s">
        <v>40</v>
      </c>
      <c r="D932" t="s">
        <v>33</v>
      </c>
      <c r="E932">
        <v>45</v>
      </c>
      <c r="F932">
        <v>91284</v>
      </c>
      <c r="G932">
        <v>19</v>
      </c>
      <c r="H932" t="s">
        <v>2022</v>
      </c>
      <c r="I932" t="s">
        <v>27</v>
      </c>
      <c r="J932" t="s">
        <v>36</v>
      </c>
      <c r="K932" t="s">
        <v>29</v>
      </c>
      <c r="L932" t="str">
        <f t="array" ref="L932">_xlfn.IFS(HR_Data[[#This Row],[Experience]]&lt;2,"0-2 Years",HR_Data[[#This Row],[Experience]]&lt;5,"2-5 Years",HR_Data[[#This Row],[Experience]]&lt;10,"5-10 Years",TRUE(),"10+ Years")</f>
        <v>10+ Years</v>
      </c>
      <c r="M932" t="str">
        <f t="array" ref="M932">_xlfn.IFS(HR_Data[[#This Row],[Salary]]&lt;40000,"Low",HR_Data[[#This Row],[Salary]]&lt;70000,"Medium",HR_Data[[#This Row],[Salary]]&lt;100000,"High",TRUE(),"Very High")</f>
        <v>High</v>
      </c>
      <c r="N932" t="str">
        <f t="array" ref="N932">_xlfn.IFS(HR_Data[[#This Row],[Age]]&lt;25,"18-24",HR_Data[[#This Row],[Age]]&lt;35,"25-34",HR_Data[[#This Row],[Age]]&lt;45,"35-44",TRUE(),"45+")</f>
        <v>45+</v>
      </c>
      <c r="O932">
        <f>YEAR(HR_Data[[#This Row],[Joining Date]])</f>
        <v>2022</v>
      </c>
      <c r="P932" t="str">
        <f>TEXT(HR_Data[[#This Row],[Joining Date]],"mmmm")</f>
        <v>July</v>
      </c>
      <c r="Q932">
        <f t="array" ref="Q93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32">
        <f>HR_Data[[#This Row],[Salary]]*HR_Data[[#This Row],[Bonus %]]</f>
        <v>9128.4</v>
      </c>
      <c r="S932">
        <f>HR_Data[[#This Row],[Salary]]+HR_Data[[#This Row],[Bonus Amount]]</f>
        <v>100412.4</v>
      </c>
      <c r="T932" t="str">
        <f>IF(HR_Data[[#This Row],[Attrition]]="Yes","Inactive","Active")</f>
        <v>Active</v>
      </c>
      <c r="U932" t="str">
        <f t="array" ref="U932">_xlfn.IFS(HR_Data[[#This Row],[Salary]]&gt;=100000,"A",HR_Data[[#This Row],[Salary]]&gt;=70000,"B",HR_Data[[#This Row],[Salary]]&gt;=50000,"C",TRUE(),"D")</f>
        <v>B</v>
      </c>
      <c r="V932" t="str">
        <f t="array" ref="V932">_xlfn.IFS(HR_Data[[#This Row],[Experience]]&gt;=15,"Expert",HR_Data[[#This Row],[Experience]]&gt;=8,"Senior",HR_Data[[#This Row],[Experience]]&gt;=3,"Mid-Level",TRUE(),"Junior")</f>
        <v>Expert</v>
      </c>
    </row>
    <row r="933" spans="1:22" ht="14.25" customHeight="1" x14ac:dyDescent="0.3">
      <c r="A933" t="s">
        <v>2023</v>
      </c>
      <c r="B933" t="s">
        <v>798</v>
      </c>
      <c r="C933" t="s">
        <v>75</v>
      </c>
      <c r="D933" t="s">
        <v>25</v>
      </c>
      <c r="E933">
        <v>30</v>
      </c>
      <c r="F933">
        <v>29087</v>
      </c>
      <c r="G933">
        <v>2</v>
      </c>
      <c r="H933" t="s">
        <v>2024</v>
      </c>
      <c r="I933" t="s">
        <v>72</v>
      </c>
      <c r="J933" t="s">
        <v>28</v>
      </c>
      <c r="K933" t="s">
        <v>29</v>
      </c>
      <c r="L933" t="str">
        <f t="array" ref="L933">_xlfn.IFS(HR_Data[[#This Row],[Experience]]&lt;2,"0-2 Years",HR_Data[[#This Row],[Experience]]&lt;5,"2-5 Years",HR_Data[[#This Row],[Experience]]&lt;10,"5-10 Years",TRUE(),"10+ Years")</f>
        <v>2-5 Years</v>
      </c>
      <c r="M933" t="str">
        <f t="array" ref="M933">_xlfn.IFS(HR_Data[[#This Row],[Salary]]&lt;40000,"Low",HR_Data[[#This Row],[Salary]]&lt;70000,"Medium",HR_Data[[#This Row],[Salary]]&lt;100000,"High",TRUE(),"Very High")</f>
        <v>Low</v>
      </c>
      <c r="N933" t="str">
        <f t="array" ref="N933">_xlfn.IFS(HR_Data[[#This Row],[Age]]&lt;25,"18-24",HR_Data[[#This Row],[Age]]&lt;35,"25-34",HR_Data[[#This Row],[Age]]&lt;45,"35-44",TRUE(),"45+")</f>
        <v>25-34</v>
      </c>
      <c r="O933">
        <f>YEAR(HR_Data[[#This Row],[Joining Date]])</f>
        <v>2026</v>
      </c>
      <c r="P933" t="str">
        <f>TEXT(HR_Data[[#This Row],[Joining Date]],"mmmm")</f>
        <v>April</v>
      </c>
      <c r="Q933">
        <f t="array" ref="Q933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33">
        <f>HR_Data[[#This Row],[Salary]]*HR_Data[[#This Row],[Bonus %]]</f>
        <v>4363.05</v>
      </c>
      <c r="S933">
        <f>HR_Data[[#This Row],[Salary]]+HR_Data[[#This Row],[Bonus Amount]]</f>
        <v>33450.050000000003</v>
      </c>
      <c r="T933" t="str">
        <f>IF(HR_Data[[#This Row],[Attrition]]="Yes","Inactive","Active")</f>
        <v>Active</v>
      </c>
      <c r="U933" t="str">
        <f t="array" ref="U933">_xlfn.IFS(HR_Data[[#This Row],[Salary]]&gt;=100000,"A",HR_Data[[#This Row],[Salary]]&gt;=70000,"B",HR_Data[[#This Row],[Salary]]&gt;=50000,"C",TRUE(),"D")</f>
        <v>D</v>
      </c>
      <c r="V933" t="str">
        <f t="array" ref="V933">_xlfn.IFS(HR_Data[[#This Row],[Experience]]&gt;=15,"Expert",HR_Data[[#This Row],[Experience]]&gt;=8,"Senior",HR_Data[[#This Row],[Experience]]&gt;=3,"Mid-Level",TRUE(),"Junior")</f>
        <v>Junior</v>
      </c>
    </row>
    <row r="934" spans="1:22" ht="14.25" customHeight="1" x14ac:dyDescent="0.3">
      <c r="A934" t="s">
        <v>2025</v>
      </c>
      <c r="B934" t="s">
        <v>406</v>
      </c>
      <c r="C934" t="s">
        <v>32</v>
      </c>
      <c r="D934" t="s">
        <v>33</v>
      </c>
      <c r="E934">
        <v>55</v>
      </c>
      <c r="F934">
        <v>126848</v>
      </c>
      <c r="G934">
        <v>32</v>
      </c>
      <c r="H934" t="s">
        <v>2026</v>
      </c>
      <c r="I934" t="s">
        <v>57</v>
      </c>
      <c r="J934" t="s">
        <v>90</v>
      </c>
      <c r="K934" t="s">
        <v>29</v>
      </c>
      <c r="L934" t="str">
        <f t="array" ref="L934">_xlfn.IFS(HR_Data[[#This Row],[Experience]]&lt;2,"0-2 Years",HR_Data[[#This Row],[Experience]]&lt;5,"2-5 Years",HR_Data[[#This Row],[Experience]]&lt;10,"5-10 Years",TRUE(),"10+ Years")</f>
        <v>10+ Years</v>
      </c>
      <c r="M934" t="str">
        <f t="array" ref="M934">_xlfn.IFS(HR_Data[[#This Row],[Salary]]&lt;40000,"Low",HR_Data[[#This Row],[Salary]]&lt;70000,"Medium",HR_Data[[#This Row],[Salary]]&lt;100000,"High",TRUE(),"Very High")</f>
        <v>Very High</v>
      </c>
      <c r="N934" t="str">
        <f t="array" ref="N934">_xlfn.IFS(HR_Data[[#This Row],[Age]]&lt;25,"18-24",HR_Data[[#This Row],[Age]]&lt;35,"25-34",HR_Data[[#This Row],[Age]]&lt;45,"35-44",TRUE(),"45+")</f>
        <v>45+</v>
      </c>
      <c r="O934">
        <f>YEAR(HR_Data[[#This Row],[Joining Date]])</f>
        <v>2024</v>
      </c>
      <c r="P934" t="str">
        <f>TEXT(HR_Data[[#This Row],[Joining Date]],"mmmm")</f>
        <v>July</v>
      </c>
      <c r="Q934">
        <f t="array" ref="Q934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934">
        <f>HR_Data[[#This Row],[Salary]]*HR_Data[[#This Row],[Bonus %]]</f>
        <v>0</v>
      </c>
      <c r="S934">
        <f>HR_Data[[#This Row],[Salary]]+HR_Data[[#This Row],[Bonus Amount]]</f>
        <v>126848</v>
      </c>
      <c r="T934" t="str">
        <f>IF(HR_Data[[#This Row],[Attrition]]="Yes","Inactive","Active")</f>
        <v>Active</v>
      </c>
      <c r="U934" t="str">
        <f t="array" ref="U934">_xlfn.IFS(HR_Data[[#This Row],[Salary]]&gt;=100000,"A",HR_Data[[#This Row],[Salary]]&gt;=70000,"B",HR_Data[[#This Row],[Salary]]&gt;=50000,"C",TRUE(),"D")</f>
        <v>A</v>
      </c>
      <c r="V934" t="str">
        <f t="array" ref="V934">_xlfn.IFS(HR_Data[[#This Row],[Experience]]&gt;=15,"Expert",HR_Data[[#This Row],[Experience]]&gt;=8,"Senior",HR_Data[[#This Row],[Experience]]&gt;=3,"Mid-Level",TRUE(),"Junior")</f>
        <v>Expert</v>
      </c>
    </row>
    <row r="935" spans="1:22" ht="14.25" customHeight="1" x14ac:dyDescent="0.3">
      <c r="A935" t="s">
        <v>2027</v>
      </c>
      <c r="B935" t="s">
        <v>489</v>
      </c>
      <c r="C935" t="s">
        <v>40</v>
      </c>
      <c r="D935" t="s">
        <v>25</v>
      </c>
      <c r="E935">
        <v>53</v>
      </c>
      <c r="F935">
        <v>98834</v>
      </c>
      <c r="G935">
        <v>25</v>
      </c>
      <c r="H935" t="s">
        <v>2028</v>
      </c>
      <c r="I935" t="s">
        <v>35</v>
      </c>
      <c r="J935" t="s">
        <v>28</v>
      </c>
      <c r="K935" t="s">
        <v>29</v>
      </c>
      <c r="L935" t="str">
        <f t="array" ref="L935">_xlfn.IFS(HR_Data[[#This Row],[Experience]]&lt;2,"0-2 Years",HR_Data[[#This Row],[Experience]]&lt;5,"2-5 Years",HR_Data[[#This Row],[Experience]]&lt;10,"5-10 Years",TRUE(),"10+ Years")</f>
        <v>10+ Years</v>
      </c>
      <c r="M935" t="str">
        <f t="array" ref="M935">_xlfn.IFS(HR_Data[[#This Row],[Salary]]&lt;40000,"Low",HR_Data[[#This Row],[Salary]]&lt;70000,"Medium",HR_Data[[#This Row],[Salary]]&lt;100000,"High",TRUE(),"Very High")</f>
        <v>High</v>
      </c>
      <c r="N935" t="str">
        <f t="array" ref="N935">_xlfn.IFS(HR_Data[[#This Row],[Age]]&lt;25,"18-24",HR_Data[[#This Row],[Age]]&lt;35,"25-34",HR_Data[[#This Row],[Age]]&lt;45,"35-44",TRUE(),"45+")</f>
        <v>45+</v>
      </c>
      <c r="O935">
        <f>YEAR(HR_Data[[#This Row],[Joining Date]])</f>
        <v>2019</v>
      </c>
      <c r="P935" t="str">
        <f>TEXT(HR_Data[[#This Row],[Joining Date]],"mmmm")</f>
        <v>November</v>
      </c>
      <c r="Q935">
        <f t="array" ref="Q935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35">
        <f>HR_Data[[#This Row],[Salary]]*HR_Data[[#This Row],[Bonus %]]</f>
        <v>14825.099999999999</v>
      </c>
      <c r="S935">
        <f>HR_Data[[#This Row],[Salary]]+HR_Data[[#This Row],[Bonus Amount]]</f>
        <v>113659.1</v>
      </c>
      <c r="T935" t="str">
        <f>IF(HR_Data[[#This Row],[Attrition]]="Yes","Inactive","Active")</f>
        <v>Active</v>
      </c>
      <c r="U935" t="str">
        <f t="array" ref="U935">_xlfn.IFS(HR_Data[[#This Row],[Salary]]&gt;=100000,"A",HR_Data[[#This Row],[Salary]]&gt;=70000,"B",HR_Data[[#This Row],[Salary]]&gt;=50000,"C",TRUE(),"D")</f>
        <v>B</v>
      </c>
      <c r="V935" t="str">
        <f t="array" ref="V935">_xlfn.IFS(HR_Data[[#This Row],[Experience]]&gt;=15,"Expert",HR_Data[[#This Row],[Experience]]&gt;=8,"Senior",HR_Data[[#This Row],[Experience]]&gt;=3,"Mid-Level",TRUE(),"Junior")</f>
        <v>Expert</v>
      </c>
    </row>
    <row r="936" spans="1:22" ht="14.25" customHeight="1" x14ac:dyDescent="0.3">
      <c r="A936" t="s">
        <v>2029</v>
      </c>
      <c r="B936" t="s">
        <v>748</v>
      </c>
      <c r="C936" t="s">
        <v>134</v>
      </c>
      <c r="D936" t="s">
        <v>33</v>
      </c>
      <c r="E936">
        <v>49</v>
      </c>
      <c r="F936">
        <v>94274</v>
      </c>
      <c r="G936">
        <v>20</v>
      </c>
      <c r="H936" t="s">
        <v>2030</v>
      </c>
      <c r="I936" t="s">
        <v>42</v>
      </c>
      <c r="J936" t="s">
        <v>28</v>
      </c>
      <c r="K936" t="s">
        <v>29</v>
      </c>
      <c r="L936" t="str">
        <f t="array" ref="L936">_xlfn.IFS(HR_Data[[#This Row],[Experience]]&lt;2,"0-2 Years",HR_Data[[#This Row],[Experience]]&lt;5,"2-5 Years",HR_Data[[#This Row],[Experience]]&lt;10,"5-10 Years",TRUE(),"10+ Years")</f>
        <v>10+ Years</v>
      </c>
      <c r="M936" t="str">
        <f t="array" ref="M936">_xlfn.IFS(HR_Data[[#This Row],[Salary]]&lt;40000,"Low",HR_Data[[#This Row],[Salary]]&lt;70000,"Medium",HR_Data[[#This Row],[Salary]]&lt;100000,"High",TRUE(),"Very High")</f>
        <v>High</v>
      </c>
      <c r="N936" t="str">
        <f t="array" ref="N936">_xlfn.IFS(HR_Data[[#This Row],[Age]]&lt;25,"18-24",HR_Data[[#This Row],[Age]]&lt;35,"25-34",HR_Data[[#This Row],[Age]]&lt;45,"35-44",TRUE(),"45+")</f>
        <v>45+</v>
      </c>
      <c r="O936">
        <f>YEAR(HR_Data[[#This Row],[Joining Date]])</f>
        <v>2023</v>
      </c>
      <c r="P936" t="str">
        <f>TEXT(HR_Data[[#This Row],[Joining Date]],"mmmm")</f>
        <v>July</v>
      </c>
      <c r="Q936">
        <f t="array" ref="Q936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36">
        <f>HR_Data[[#This Row],[Salary]]*HR_Data[[#This Row],[Bonus %]]</f>
        <v>14141.1</v>
      </c>
      <c r="S936">
        <f>HR_Data[[#This Row],[Salary]]+HR_Data[[#This Row],[Bonus Amount]]</f>
        <v>108415.1</v>
      </c>
      <c r="T936" t="str">
        <f>IF(HR_Data[[#This Row],[Attrition]]="Yes","Inactive","Active")</f>
        <v>Active</v>
      </c>
      <c r="U936" t="str">
        <f t="array" ref="U936">_xlfn.IFS(HR_Data[[#This Row],[Salary]]&gt;=100000,"A",HR_Data[[#This Row],[Salary]]&gt;=70000,"B",HR_Data[[#This Row],[Salary]]&gt;=50000,"C",TRUE(),"D")</f>
        <v>B</v>
      </c>
      <c r="V936" t="str">
        <f t="array" ref="V936">_xlfn.IFS(HR_Data[[#This Row],[Experience]]&gt;=15,"Expert",HR_Data[[#This Row],[Experience]]&gt;=8,"Senior",HR_Data[[#This Row],[Experience]]&gt;=3,"Mid-Level",TRUE(),"Junior")</f>
        <v>Expert</v>
      </c>
    </row>
    <row r="937" spans="1:22" ht="14.25" customHeight="1" x14ac:dyDescent="0.3">
      <c r="A937" t="s">
        <v>2031</v>
      </c>
      <c r="B937" t="s">
        <v>23</v>
      </c>
      <c r="C937" t="s">
        <v>40</v>
      </c>
      <c r="D937" t="s">
        <v>33</v>
      </c>
      <c r="E937">
        <v>28</v>
      </c>
      <c r="F937">
        <v>49565</v>
      </c>
      <c r="G937">
        <v>4</v>
      </c>
      <c r="H937" t="s">
        <v>2032</v>
      </c>
      <c r="I937" t="s">
        <v>72</v>
      </c>
      <c r="J937" t="s">
        <v>63</v>
      </c>
      <c r="K937" t="s">
        <v>29</v>
      </c>
      <c r="L937" t="str">
        <f t="array" ref="L937">_xlfn.IFS(HR_Data[[#This Row],[Experience]]&lt;2,"0-2 Years",HR_Data[[#This Row],[Experience]]&lt;5,"2-5 Years",HR_Data[[#This Row],[Experience]]&lt;10,"5-10 Years",TRUE(),"10+ Years")</f>
        <v>2-5 Years</v>
      </c>
      <c r="M937" t="str">
        <f t="array" ref="M937">_xlfn.IFS(HR_Data[[#This Row],[Salary]]&lt;40000,"Low",HR_Data[[#This Row],[Salary]]&lt;70000,"Medium",HR_Data[[#This Row],[Salary]]&lt;100000,"High",TRUE(),"Very High")</f>
        <v>Medium</v>
      </c>
      <c r="N937" t="str">
        <f t="array" ref="N937">_xlfn.IFS(HR_Data[[#This Row],[Age]]&lt;25,"18-24",HR_Data[[#This Row],[Age]]&lt;35,"25-34",HR_Data[[#This Row],[Age]]&lt;45,"35-44",TRUE(),"45+")</f>
        <v>25-34</v>
      </c>
      <c r="O937">
        <f>YEAR(HR_Data[[#This Row],[Joining Date]])</f>
        <v>2022</v>
      </c>
      <c r="P937" t="str">
        <f>TEXT(HR_Data[[#This Row],[Joining Date]],"mmmm")</f>
        <v>July</v>
      </c>
      <c r="Q937">
        <f t="array" ref="Q937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937">
        <f>HR_Data[[#This Row],[Salary]]*HR_Data[[#This Row],[Bonus %]]</f>
        <v>9913</v>
      </c>
      <c r="S937">
        <f>HR_Data[[#This Row],[Salary]]+HR_Data[[#This Row],[Bonus Amount]]</f>
        <v>59478</v>
      </c>
      <c r="T937" t="str">
        <f>IF(HR_Data[[#This Row],[Attrition]]="Yes","Inactive","Active")</f>
        <v>Active</v>
      </c>
      <c r="U937" t="str">
        <f t="array" ref="U937">_xlfn.IFS(HR_Data[[#This Row],[Salary]]&gt;=100000,"A",HR_Data[[#This Row],[Salary]]&gt;=70000,"B",HR_Data[[#This Row],[Salary]]&gt;=50000,"C",TRUE(),"D")</f>
        <v>D</v>
      </c>
      <c r="V937" t="str">
        <f t="array" ref="V937">_xlfn.IFS(HR_Data[[#This Row],[Experience]]&gt;=15,"Expert",HR_Data[[#This Row],[Experience]]&gt;=8,"Senior",HR_Data[[#This Row],[Experience]]&gt;=3,"Mid-Level",TRUE(),"Junior")</f>
        <v>Mid-Level</v>
      </c>
    </row>
    <row r="938" spans="1:22" ht="14.25" customHeight="1" x14ac:dyDescent="0.3">
      <c r="A938" t="s">
        <v>2033</v>
      </c>
      <c r="B938" t="s">
        <v>51</v>
      </c>
      <c r="C938" t="s">
        <v>24</v>
      </c>
      <c r="D938" t="s">
        <v>33</v>
      </c>
      <c r="E938">
        <v>23</v>
      </c>
      <c r="F938">
        <v>25000</v>
      </c>
      <c r="G938">
        <v>0</v>
      </c>
      <c r="H938" t="s">
        <v>2034</v>
      </c>
      <c r="I938" t="s">
        <v>72</v>
      </c>
      <c r="J938" t="s">
        <v>36</v>
      </c>
      <c r="K938" t="s">
        <v>37</v>
      </c>
      <c r="L938" t="str">
        <f t="array" ref="L938">_xlfn.IFS(HR_Data[[#This Row],[Experience]]&lt;2,"0-2 Years",HR_Data[[#This Row],[Experience]]&lt;5,"2-5 Years",HR_Data[[#This Row],[Experience]]&lt;10,"5-10 Years",TRUE(),"10+ Years")</f>
        <v>0-2 Years</v>
      </c>
      <c r="M938" t="str">
        <f t="array" ref="M938">_xlfn.IFS(HR_Data[[#This Row],[Salary]]&lt;40000,"Low",HR_Data[[#This Row],[Salary]]&lt;70000,"Medium",HR_Data[[#This Row],[Salary]]&lt;100000,"High",TRUE(),"Very High")</f>
        <v>Low</v>
      </c>
      <c r="N938" t="str">
        <f t="array" ref="N938">_xlfn.IFS(HR_Data[[#This Row],[Age]]&lt;25,"18-24",HR_Data[[#This Row],[Age]]&lt;35,"25-34",HR_Data[[#This Row],[Age]]&lt;45,"35-44",TRUE(),"45+")</f>
        <v>18-24</v>
      </c>
      <c r="O938">
        <f>YEAR(HR_Data[[#This Row],[Joining Date]])</f>
        <v>2019</v>
      </c>
      <c r="P938" t="str">
        <f>TEXT(HR_Data[[#This Row],[Joining Date]],"mmmm")</f>
        <v>July</v>
      </c>
      <c r="Q938">
        <f t="array" ref="Q93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38">
        <f>HR_Data[[#This Row],[Salary]]*HR_Data[[#This Row],[Bonus %]]</f>
        <v>2500</v>
      </c>
      <c r="S938">
        <f>HR_Data[[#This Row],[Salary]]+HR_Data[[#This Row],[Bonus Amount]]</f>
        <v>27500</v>
      </c>
      <c r="T938" t="str">
        <f>IF(HR_Data[[#This Row],[Attrition]]="Yes","Inactive","Active")</f>
        <v>Inactive</v>
      </c>
      <c r="U938" t="str">
        <f t="array" ref="U938">_xlfn.IFS(HR_Data[[#This Row],[Salary]]&gt;=100000,"A",HR_Data[[#This Row],[Salary]]&gt;=70000,"B",HR_Data[[#This Row],[Salary]]&gt;=50000,"C",TRUE(),"D")</f>
        <v>D</v>
      </c>
      <c r="V938" t="str">
        <f t="array" ref="V938">_xlfn.IFS(HR_Data[[#This Row],[Experience]]&gt;=15,"Expert",HR_Data[[#This Row],[Experience]]&gt;=8,"Senior",HR_Data[[#This Row],[Experience]]&gt;=3,"Mid-Level",TRUE(),"Junior")</f>
        <v>Junior</v>
      </c>
    </row>
    <row r="939" spans="1:22" ht="14.25" customHeight="1" x14ac:dyDescent="0.3">
      <c r="A939" t="s">
        <v>2035</v>
      </c>
      <c r="B939" t="s">
        <v>1649</v>
      </c>
      <c r="C939" t="s">
        <v>32</v>
      </c>
      <c r="D939" t="s">
        <v>33</v>
      </c>
      <c r="E939">
        <v>49</v>
      </c>
      <c r="F939">
        <v>114574</v>
      </c>
      <c r="G939">
        <v>30</v>
      </c>
      <c r="H939" t="s">
        <v>2036</v>
      </c>
      <c r="I939" t="s">
        <v>67</v>
      </c>
      <c r="J939" t="s">
        <v>63</v>
      </c>
      <c r="K939" t="s">
        <v>29</v>
      </c>
      <c r="L939" t="str">
        <f t="array" ref="L939">_xlfn.IFS(HR_Data[[#This Row],[Experience]]&lt;2,"0-2 Years",HR_Data[[#This Row],[Experience]]&lt;5,"2-5 Years",HR_Data[[#This Row],[Experience]]&lt;10,"5-10 Years",TRUE(),"10+ Years")</f>
        <v>10+ Years</v>
      </c>
      <c r="M939" t="str">
        <f t="array" ref="M939">_xlfn.IFS(HR_Data[[#This Row],[Salary]]&lt;40000,"Low",HR_Data[[#This Row],[Salary]]&lt;70000,"Medium",HR_Data[[#This Row],[Salary]]&lt;100000,"High",TRUE(),"Very High")</f>
        <v>Very High</v>
      </c>
      <c r="N939" t="str">
        <f t="array" ref="N939">_xlfn.IFS(HR_Data[[#This Row],[Age]]&lt;25,"18-24",HR_Data[[#This Row],[Age]]&lt;35,"25-34",HR_Data[[#This Row],[Age]]&lt;45,"35-44",TRUE(),"45+")</f>
        <v>45+</v>
      </c>
      <c r="O939">
        <f>YEAR(HR_Data[[#This Row],[Joining Date]])</f>
        <v>2022</v>
      </c>
      <c r="P939" t="str">
        <f>TEXT(HR_Data[[#This Row],[Joining Date]],"mmmm")</f>
        <v>January</v>
      </c>
      <c r="Q939">
        <f t="array" ref="Q939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939">
        <f>HR_Data[[#This Row],[Salary]]*HR_Data[[#This Row],[Bonus %]]</f>
        <v>22914.800000000003</v>
      </c>
      <c r="S939">
        <f>HR_Data[[#This Row],[Salary]]+HR_Data[[#This Row],[Bonus Amount]]</f>
        <v>137488.79999999999</v>
      </c>
      <c r="T939" t="str">
        <f>IF(HR_Data[[#This Row],[Attrition]]="Yes","Inactive","Active")</f>
        <v>Active</v>
      </c>
      <c r="U939" t="str">
        <f t="array" ref="U939">_xlfn.IFS(HR_Data[[#This Row],[Salary]]&gt;=100000,"A",HR_Data[[#This Row],[Salary]]&gt;=70000,"B",HR_Data[[#This Row],[Salary]]&gt;=50000,"C",TRUE(),"D")</f>
        <v>A</v>
      </c>
      <c r="V939" t="str">
        <f t="array" ref="V939">_xlfn.IFS(HR_Data[[#This Row],[Experience]]&gt;=15,"Expert",HR_Data[[#This Row],[Experience]]&gt;=8,"Senior",HR_Data[[#This Row],[Experience]]&gt;=3,"Mid-Level",TRUE(),"Junior")</f>
        <v>Expert</v>
      </c>
    </row>
    <row r="940" spans="1:22" ht="14.25" customHeight="1" x14ac:dyDescent="0.3">
      <c r="A940" t="s">
        <v>2037</v>
      </c>
      <c r="B940" t="s">
        <v>196</v>
      </c>
      <c r="C940" t="s">
        <v>40</v>
      </c>
      <c r="D940" t="s">
        <v>33</v>
      </c>
      <c r="E940">
        <v>55</v>
      </c>
      <c r="F940">
        <v>108660</v>
      </c>
      <c r="G940">
        <v>25</v>
      </c>
      <c r="H940" t="s">
        <v>2038</v>
      </c>
      <c r="I940" t="s">
        <v>27</v>
      </c>
      <c r="J940" t="s">
        <v>36</v>
      </c>
      <c r="K940" t="s">
        <v>37</v>
      </c>
      <c r="L940" t="str">
        <f t="array" ref="L940">_xlfn.IFS(HR_Data[[#This Row],[Experience]]&lt;2,"0-2 Years",HR_Data[[#This Row],[Experience]]&lt;5,"2-5 Years",HR_Data[[#This Row],[Experience]]&lt;10,"5-10 Years",TRUE(),"10+ Years")</f>
        <v>10+ Years</v>
      </c>
      <c r="M940" t="str">
        <f t="array" ref="M940">_xlfn.IFS(HR_Data[[#This Row],[Salary]]&lt;40000,"Low",HR_Data[[#This Row],[Salary]]&lt;70000,"Medium",HR_Data[[#This Row],[Salary]]&lt;100000,"High",TRUE(),"Very High")</f>
        <v>Very High</v>
      </c>
      <c r="N940" t="str">
        <f t="array" ref="N940">_xlfn.IFS(HR_Data[[#This Row],[Age]]&lt;25,"18-24",HR_Data[[#This Row],[Age]]&lt;35,"25-34",HR_Data[[#This Row],[Age]]&lt;45,"35-44",TRUE(),"45+")</f>
        <v>45+</v>
      </c>
      <c r="O940">
        <f>YEAR(HR_Data[[#This Row],[Joining Date]])</f>
        <v>2017</v>
      </c>
      <c r="P940" t="str">
        <f>TEXT(HR_Data[[#This Row],[Joining Date]],"mmmm")</f>
        <v>November</v>
      </c>
      <c r="Q940">
        <f t="array" ref="Q94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40">
        <f>HR_Data[[#This Row],[Salary]]*HR_Data[[#This Row],[Bonus %]]</f>
        <v>10866</v>
      </c>
      <c r="S940">
        <f>HR_Data[[#This Row],[Salary]]+HR_Data[[#This Row],[Bonus Amount]]</f>
        <v>119526</v>
      </c>
      <c r="T940" t="str">
        <f>IF(HR_Data[[#This Row],[Attrition]]="Yes","Inactive","Active")</f>
        <v>Inactive</v>
      </c>
      <c r="U940" t="str">
        <f t="array" ref="U940">_xlfn.IFS(HR_Data[[#This Row],[Salary]]&gt;=100000,"A",HR_Data[[#This Row],[Salary]]&gt;=70000,"B",HR_Data[[#This Row],[Salary]]&gt;=50000,"C",TRUE(),"D")</f>
        <v>A</v>
      </c>
      <c r="V940" t="str">
        <f t="array" ref="V940">_xlfn.IFS(HR_Data[[#This Row],[Experience]]&gt;=15,"Expert",HR_Data[[#This Row],[Experience]]&gt;=8,"Senior",HR_Data[[#This Row],[Experience]]&gt;=3,"Mid-Level",TRUE(),"Junior")</f>
        <v>Expert</v>
      </c>
    </row>
    <row r="941" spans="1:22" ht="14.25" customHeight="1" x14ac:dyDescent="0.3">
      <c r="A941" t="s">
        <v>2039</v>
      </c>
      <c r="B941" t="s">
        <v>1073</v>
      </c>
      <c r="C941" t="s">
        <v>40</v>
      </c>
      <c r="D941" t="s">
        <v>33</v>
      </c>
      <c r="E941">
        <v>50</v>
      </c>
      <c r="F941">
        <v>113013</v>
      </c>
      <c r="G941">
        <v>24</v>
      </c>
      <c r="H941" t="s">
        <v>2040</v>
      </c>
      <c r="I941" t="s">
        <v>57</v>
      </c>
      <c r="J941" t="s">
        <v>28</v>
      </c>
      <c r="K941" t="s">
        <v>29</v>
      </c>
      <c r="L941" t="str">
        <f t="array" ref="L941">_xlfn.IFS(HR_Data[[#This Row],[Experience]]&lt;2,"0-2 Years",HR_Data[[#This Row],[Experience]]&lt;5,"2-5 Years",HR_Data[[#This Row],[Experience]]&lt;10,"5-10 Years",TRUE(),"10+ Years")</f>
        <v>10+ Years</v>
      </c>
      <c r="M941" t="str">
        <f t="array" ref="M941">_xlfn.IFS(HR_Data[[#This Row],[Salary]]&lt;40000,"Low",HR_Data[[#This Row],[Salary]]&lt;70000,"Medium",HR_Data[[#This Row],[Salary]]&lt;100000,"High",TRUE(),"Very High")</f>
        <v>Very High</v>
      </c>
      <c r="N941" t="str">
        <f t="array" ref="N941">_xlfn.IFS(HR_Data[[#This Row],[Age]]&lt;25,"18-24",HR_Data[[#This Row],[Age]]&lt;35,"25-34",HR_Data[[#This Row],[Age]]&lt;45,"35-44",TRUE(),"45+")</f>
        <v>45+</v>
      </c>
      <c r="O941">
        <f>YEAR(HR_Data[[#This Row],[Joining Date]])</f>
        <v>2015</v>
      </c>
      <c r="P941" t="str">
        <f>TEXT(HR_Data[[#This Row],[Joining Date]],"mmmm")</f>
        <v>November</v>
      </c>
      <c r="Q941">
        <f t="array" ref="Q941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41">
        <f>HR_Data[[#This Row],[Salary]]*HR_Data[[#This Row],[Bonus %]]</f>
        <v>16951.95</v>
      </c>
      <c r="S941">
        <f>HR_Data[[#This Row],[Salary]]+HR_Data[[#This Row],[Bonus Amount]]</f>
        <v>129964.95</v>
      </c>
      <c r="T941" t="str">
        <f>IF(HR_Data[[#This Row],[Attrition]]="Yes","Inactive","Active")</f>
        <v>Active</v>
      </c>
      <c r="U941" t="str">
        <f t="array" ref="U941">_xlfn.IFS(HR_Data[[#This Row],[Salary]]&gt;=100000,"A",HR_Data[[#This Row],[Salary]]&gt;=70000,"B",HR_Data[[#This Row],[Salary]]&gt;=50000,"C",TRUE(),"D")</f>
        <v>A</v>
      </c>
      <c r="V941" t="str">
        <f t="array" ref="V941">_xlfn.IFS(HR_Data[[#This Row],[Experience]]&gt;=15,"Expert",HR_Data[[#This Row],[Experience]]&gt;=8,"Senior",HR_Data[[#This Row],[Experience]]&gt;=3,"Mid-Level",TRUE(),"Junior")</f>
        <v>Expert</v>
      </c>
    </row>
    <row r="942" spans="1:22" ht="14.25" customHeight="1" x14ac:dyDescent="0.3">
      <c r="A942" t="s">
        <v>2041</v>
      </c>
      <c r="B942" t="s">
        <v>1741</v>
      </c>
      <c r="C942" t="s">
        <v>93</v>
      </c>
      <c r="D942" t="s">
        <v>33</v>
      </c>
      <c r="E942">
        <v>39</v>
      </c>
      <c r="F942">
        <v>51077</v>
      </c>
      <c r="G942">
        <v>9</v>
      </c>
      <c r="H942" t="s">
        <v>2042</v>
      </c>
      <c r="I942" t="s">
        <v>67</v>
      </c>
      <c r="J942" t="s">
        <v>36</v>
      </c>
      <c r="K942" t="s">
        <v>29</v>
      </c>
      <c r="L942" t="str">
        <f t="array" ref="L942">_xlfn.IFS(HR_Data[[#This Row],[Experience]]&lt;2,"0-2 Years",HR_Data[[#This Row],[Experience]]&lt;5,"2-5 Years",HR_Data[[#This Row],[Experience]]&lt;10,"5-10 Years",TRUE(),"10+ Years")</f>
        <v>5-10 Years</v>
      </c>
      <c r="M942" t="str">
        <f t="array" ref="M942">_xlfn.IFS(HR_Data[[#This Row],[Salary]]&lt;40000,"Low",HR_Data[[#This Row],[Salary]]&lt;70000,"Medium",HR_Data[[#This Row],[Salary]]&lt;100000,"High",TRUE(),"Very High")</f>
        <v>Medium</v>
      </c>
      <c r="N942" t="str">
        <f t="array" ref="N942">_xlfn.IFS(HR_Data[[#This Row],[Age]]&lt;25,"18-24",HR_Data[[#This Row],[Age]]&lt;35,"25-34",HR_Data[[#This Row],[Age]]&lt;45,"35-44",TRUE(),"45+")</f>
        <v>35-44</v>
      </c>
      <c r="O942">
        <f>YEAR(HR_Data[[#This Row],[Joining Date]])</f>
        <v>2026</v>
      </c>
      <c r="P942" t="str">
        <f>TEXT(HR_Data[[#This Row],[Joining Date]],"mmmm")</f>
        <v>April</v>
      </c>
      <c r="Q942">
        <f t="array" ref="Q94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42">
        <f>HR_Data[[#This Row],[Salary]]*HR_Data[[#This Row],[Bonus %]]</f>
        <v>5107.7000000000007</v>
      </c>
      <c r="S942">
        <f>HR_Data[[#This Row],[Salary]]+HR_Data[[#This Row],[Bonus Amount]]</f>
        <v>56184.7</v>
      </c>
      <c r="T942" t="str">
        <f>IF(HR_Data[[#This Row],[Attrition]]="Yes","Inactive","Active")</f>
        <v>Active</v>
      </c>
      <c r="U942" t="str">
        <f t="array" ref="U942">_xlfn.IFS(HR_Data[[#This Row],[Salary]]&gt;=100000,"A",HR_Data[[#This Row],[Salary]]&gt;=70000,"B",HR_Data[[#This Row],[Salary]]&gt;=50000,"C",TRUE(),"D")</f>
        <v>C</v>
      </c>
      <c r="V942" t="str">
        <f t="array" ref="V942">_xlfn.IFS(HR_Data[[#This Row],[Experience]]&gt;=15,"Expert",HR_Data[[#This Row],[Experience]]&gt;=8,"Senior",HR_Data[[#This Row],[Experience]]&gt;=3,"Mid-Level",TRUE(),"Junior")</f>
        <v>Senior</v>
      </c>
    </row>
    <row r="943" spans="1:22" ht="14.25" customHeight="1" x14ac:dyDescent="0.3">
      <c r="A943" t="s">
        <v>2043</v>
      </c>
      <c r="B943" t="s">
        <v>600</v>
      </c>
      <c r="C943" t="s">
        <v>60</v>
      </c>
      <c r="D943" t="s">
        <v>33</v>
      </c>
      <c r="E943">
        <v>42</v>
      </c>
      <c r="F943">
        <v>88719</v>
      </c>
      <c r="G943">
        <v>18</v>
      </c>
      <c r="H943" t="s">
        <v>2044</v>
      </c>
      <c r="I943" t="s">
        <v>132</v>
      </c>
      <c r="J943" t="s">
        <v>46</v>
      </c>
      <c r="K943" t="s">
        <v>29</v>
      </c>
      <c r="L943" t="str">
        <f t="array" ref="L943">_xlfn.IFS(HR_Data[[#This Row],[Experience]]&lt;2,"0-2 Years",HR_Data[[#This Row],[Experience]]&lt;5,"2-5 Years",HR_Data[[#This Row],[Experience]]&lt;10,"5-10 Years",TRUE(),"10+ Years")</f>
        <v>10+ Years</v>
      </c>
      <c r="M943" t="str">
        <f t="array" ref="M943">_xlfn.IFS(HR_Data[[#This Row],[Salary]]&lt;40000,"Low",HR_Data[[#This Row],[Salary]]&lt;70000,"Medium",HR_Data[[#This Row],[Salary]]&lt;100000,"High",TRUE(),"Very High")</f>
        <v>High</v>
      </c>
      <c r="N943" t="str">
        <f t="array" ref="N943">_xlfn.IFS(HR_Data[[#This Row],[Age]]&lt;25,"18-24",HR_Data[[#This Row],[Age]]&lt;35,"25-34",HR_Data[[#This Row],[Age]]&lt;45,"35-44",TRUE(),"45+")</f>
        <v>35-44</v>
      </c>
      <c r="O943">
        <f>YEAR(HR_Data[[#This Row],[Joining Date]])</f>
        <v>2015</v>
      </c>
      <c r="P943" t="str">
        <f>TEXT(HR_Data[[#This Row],[Joining Date]],"mmmm")</f>
        <v>November</v>
      </c>
      <c r="Q943">
        <f t="array" ref="Q943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943">
        <f>HR_Data[[#This Row],[Salary]]*HR_Data[[#This Row],[Bonus %]]</f>
        <v>4435.95</v>
      </c>
      <c r="S943">
        <f>HR_Data[[#This Row],[Salary]]+HR_Data[[#This Row],[Bonus Amount]]</f>
        <v>93154.95</v>
      </c>
      <c r="T943" t="str">
        <f>IF(HR_Data[[#This Row],[Attrition]]="Yes","Inactive","Active")</f>
        <v>Active</v>
      </c>
      <c r="U943" t="str">
        <f t="array" ref="U943">_xlfn.IFS(HR_Data[[#This Row],[Salary]]&gt;=100000,"A",HR_Data[[#This Row],[Salary]]&gt;=70000,"B",HR_Data[[#This Row],[Salary]]&gt;=50000,"C",TRUE(),"D")</f>
        <v>B</v>
      </c>
      <c r="V943" t="str">
        <f t="array" ref="V943">_xlfn.IFS(HR_Data[[#This Row],[Experience]]&gt;=15,"Expert",HR_Data[[#This Row],[Experience]]&gt;=8,"Senior",HR_Data[[#This Row],[Experience]]&gt;=3,"Mid-Level",TRUE(),"Junior")</f>
        <v>Expert</v>
      </c>
    </row>
    <row r="944" spans="1:22" ht="14.25" customHeight="1" x14ac:dyDescent="0.3">
      <c r="A944" t="s">
        <v>2045</v>
      </c>
      <c r="B944" t="s">
        <v>108</v>
      </c>
      <c r="C944" t="s">
        <v>40</v>
      </c>
      <c r="D944" t="s">
        <v>25</v>
      </c>
      <c r="E944">
        <v>51</v>
      </c>
      <c r="F944">
        <v>116689</v>
      </c>
      <c r="G944">
        <v>31</v>
      </c>
      <c r="H944" t="s">
        <v>2046</v>
      </c>
      <c r="I944" t="s">
        <v>67</v>
      </c>
      <c r="J944" t="s">
        <v>46</v>
      </c>
      <c r="K944" t="s">
        <v>29</v>
      </c>
      <c r="L944" t="str">
        <f t="array" ref="L944">_xlfn.IFS(HR_Data[[#This Row],[Experience]]&lt;2,"0-2 Years",HR_Data[[#This Row],[Experience]]&lt;5,"2-5 Years",HR_Data[[#This Row],[Experience]]&lt;10,"5-10 Years",TRUE(),"10+ Years")</f>
        <v>10+ Years</v>
      </c>
      <c r="M944" t="str">
        <f t="array" ref="M944">_xlfn.IFS(HR_Data[[#This Row],[Salary]]&lt;40000,"Low",HR_Data[[#This Row],[Salary]]&lt;70000,"Medium",HR_Data[[#This Row],[Salary]]&lt;100000,"High",TRUE(),"Very High")</f>
        <v>Very High</v>
      </c>
      <c r="N944" t="str">
        <f t="array" ref="N944">_xlfn.IFS(HR_Data[[#This Row],[Age]]&lt;25,"18-24",HR_Data[[#This Row],[Age]]&lt;35,"25-34",HR_Data[[#This Row],[Age]]&lt;45,"35-44",TRUE(),"45+")</f>
        <v>45+</v>
      </c>
      <c r="O944">
        <f>YEAR(HR_Data[[#This Row],[Joining Date]])</f>
        <v>2018</v>
      </c>
      <c r="P944" t="str">
        <f>TEXT(HR_Data[[#This Row],[Joining Date]],"mmmm")</f>
        <v>March</v>
      </c>
      <c r="Q944">
        <f t="array" ref="Q944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944">
        <f>HR_Data[[#This Row],[Salary]]*HR_Data[[#This Row],[Bonus %]]</f>
        <v>5834.4500000000007</v>
      </c>
      <c r="S944">
        <f>HR_Data[[#This Row],[Salary]]+HR_Data[[#This Row],[Bonus Amount]]</f>
        <v>122523.45</v>
      </c>
      <c r="T944" t="str">
        <f>IF(HR_Data[[#This Row],[Attrition]]="Yes","Inactive","Active")</f>
        <v>Active</v>
      </c>
      <c r="U944" t="str">
        <f t="array" ref="U944">_xlfn.IFS(HR_Data[[#This Row],[Salary]]&gt;=100000,"A",HR_Data[[#This Row],[Salary]]&gt;=70000,"B",HR_Data[[#This Row],[Salary]]&gt;=50000,"C",TRUE(),"D")</f>
        <v>A</v>
      </c>
      <c r="V944" t="str">
        <f t="array" ref="V944">_xlfn.IFS(HR_Data[[#This Row],[Experience]]&gt;=15,"Expert",HR_Data[[#This Row],[Experience]]&gt;=8,"Senior",HR_Data[[#This Row],[Experience]]&gt;=3,"Mid-Level",TRUE(),"Junior")</f>
        <v>Expert</v>
      </c>
    </row>
    <row r="945" spans="1:22" ht="14.25" customHeight="1" x14ac:dyDescent="0.3">
      <c r="A945" t="s">
        <v>2047</v>
      </c>
      <c r="B945" t="s">
        <v>1053</v>
      </c>
      <c r="C945" t="s">
        <v>70</v>
      </c>
      <c r="D945" t="s">
        <v>25</v>
      </c>
      <c r="E945">
        <v>33</v>
      </c>
      <c r="F945">
        <v>54291</v>
      </c>
      <c r="G945">
        <v>10</v>
      </c>
      <c r="H945" t="s">
        <v>2048</v>
      </c>
      <c r="I945" t="s">
        <v>80</v>
      </c>
      <c r="J945" t="s">
        <v>28</v>
      </c>
      <c r="K945" t="s">
        <v>29</v>
      </c>
      <c r="L945" t="str">
        <f t="array" ref="L945">_xlfn.IFS(HR_Data[[#This Row],[Experience]]&lt;2,"0-2 Years",HR_Data[[#This Row],[Experience]]&lt;5,"2-5 Years",HR_Data[[#This Row],[Experience]]&lt;10,"5-10 Years",TRUE(),"10+ Years")</f>
        <v>10+ Years</v>
      </c>
      <c r="M945" t="str">
        <f t="array" ref="M945">_xlfn.IFS(HR_Data[[#This Row],[Salary]]&lt;40000,"Low",HR_Data[[#This Row],[Salary]]&lt;70000,"Medium",HR_Data[[#This Row],[Salary]]&lt;100000,"High",TRUE(),"Very High")</f>
        <v>Medium</v>
      </c>
      <c r="N945" t="str">
        <f t="array" ref="N945">_xlfn.IFS(HR_Data[[#This Row],[Age]]&lt;25,"18-24",HR_Data[[#This Row],[Age]]&lt;35,"25-34",HR_Data[[#This Row],[Age]]&lt;45,"35-44",TRUE(),"45+")</f>
        <v>25-34</v>
      </c>
      <c r="O945">
        <f>YEAR(HR_Data[[#This Row],[Joining Date]])</f>
        <v>2016</v>
      </c>
      <c r="P945" t="str">
        <f>TEXT(HR_Data[[#This Row],[Joining Date]],"mmmm")</f>
        <v>July</v>
      </c>
      <c r="Q945">
        <f t="array" ref="Q945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45">
        <f>HR_Data[[#This Row],[Salary]]*HR_Data[[#This Row],[Bonus %]]</f>
        <v>8143.65</v>
      </c>
      <c r="S945">
        <f>HR_Data[[#This Row],[Salary]]+HR_Data[[#This Row],[Bonus Amount]]</f>
        <v>62434.65</v>
      </c>
      <c r="T945" t="str">
        <f>IF(HR_Data[[#This Row],[Attrition]]="Yes","Inactive","Active")</f>
        <v>Active</v>
      </c>
      <c r="U945" t="str">
        <f t="array" ref="U945">_xlfn.IFS(HR_Data[[#This Row],[Salary]]&gt;=100000,"A",HR_Data[[#This Row],[Salary]]&gt;=70000,"B",HR_Data[[#This Row],[Salary]]&gt;=50000,"C",TRUE(),"D")</f>
        <v>C</v>
      </c>
      <c r="V945" t="str">
        <f t="array" ref="V945">_xlfn.IFS(HR_Data[[#This Row],[Experience]]&gt;=15,"Expert",HR_Data[[#This Row],[Experience]]&gt;=8,"Senior",HR_Data[[#This Row],[Experience]]&gt;=3,"Mid-Level",TRUE(),"Junior")</f>
        <v>Senior</v>
      </c>
    </row>
    <row r="946" spans="1:22" ht="14.25" customHeight="1" x14ac:dyDescent="0.3">
      <c r="A946" t="s">
        <v>2049</v>
      </c>
      <c r="B946" t="s">
        <v>573</v>
      </c>
      <c r="C946" t="s">
        <v>55</v>
      </c>
      <c r="D946" t="s">
        <v>25</v>
      </c>
      <c r="E946">
        <v>53</v>
      </c>
      <c r="F946">
        <v>127484</v>
      </c>
      <c r="G946">
        <v>30</v>
      </c>
      <c r="H946" t="s">
        <v>930</v>
      </c>
      <c r="I946" t="s">
        <v>62</v>
      </c>
      <c r="J946" t="s">
        <v>90</v>
      </c>
      <c r="K946" t="s">
        <v>29</v>
      </c>
      <c r="L946" t="str">
        <f t="array" ref="L946">_xlfn.IFS(HR_Data[[#This Row],[Experience]]&lt;2,"0-2 Years",HR_Data[[#This Row],[Experience]]&lt;5,"2-5 Years",HR_Data[[#This Row],[Experience]]&lt;10,"5-10 Years",TRUE(),"10+ Years")</f>
        <v>10+ Years</v>
      </c>
      <c r="M946" t="str">
        <f t="array" ref="M946">_xlfn.IFS(HR_Data[[#This Row],[Salary]]&lt;40000,"Low",HR_Data[[#This Row],[Salary]]&lt;70000,"Medium",HR_Data[[#This Row],[Salary]]&lt;100000,"High",TRUE(),"Very High")</f>
        <v>Very High</v>
      </c>
      <c r="N946" t="str">
        <f t="array" ref="N946">_xlfn.IFS(HR_Data[[#This Row],[Age]]&lt;25,"18-24",HR_Data[[#This Row],[Age]]&lt;35,"25-34",HR_Data[[#This Row],[Age]]&lt;45,"35-44",TRUE(),"45+")</f>
        <v>45+</v>
      </c>
      <c r="O946">
        <f>YEAR(HR_Data[[#This Row],[Joining Date]])</f>
        <v>2018</v>
      </c>
      <c r="P946" t="str">
        <f>TEXT(HR_Data[[#This Row],[Joining Date]],"mmmm")</f>
        <v>February</v>
      </c>
      <c r="Q946">
        <f t="array" ref="Q946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946">
        <f>HR_Data[[#This Row],[Salary]]*HR_Data[[#This Row],[Bonus %]]</f>
        <v>0</v>
      </c>
      <c r="S946">
        <f>HR_Data[[#This Row],[Salary]]+HR_Data[[#This Row],[Bonus Amount]]</f>
        <v>127484</v>
      </c>
      <c r="T946" t="str">
        <f>IF(HR_Data[[#This Row],[Attrition]]="Yes","Inactive","Active")</f>
        <v>Active</v>
      </c>
      <c r="U946" t="str">
        <f t="array" ref="U946">_xlfn.IFS(HR_Data[[#This Row],[Salary]]&gt;=100000,"A",HR_Data[[#This Row],[Salary]]&gt;=70000,"B",HR_Data[[#This Row],[Salary]]&gt;=50000,"C",TRUE(),"D")</f>
        <v>A</v>
      </c>
      <c r="V946" t="str">
        <f t="array" ref="V946">_xlfn.IFS(HR_Data[[#This Row],[Experience]]&gt;=15,"Expert",HR_Data[[#This Row],[Experience]]&gt;=8,"Senior",HR_Data[[#This Row],[Experience]]&gt;=3,"Mid-Level",TRUE(),"Junior")</f>
        <v>Expert</v>
      </c>
    </row>
    <row r="947" spans="1:22" ht="14.25" customHeight="1" x14ac:dyDescent="0.3">
      <c r="A947" t="s">
        <v>2050</v>
      </c>
      <c r="B947" t="s">
        <v>478</v>
      </c>
      <c r="C947" t="s">
        <v>40</v>
      </c>
      <c r="D947" t="s">
        <v>25</v>
      </c>
      <c r="E947">
        <v>54</v>
      </c>
      <c r="F947">
        <v>104426</v>
      </c>
      <c r="G947">
        <v>26</v>
      </c>
      <c r="H947" t="s">
        <v>2051</v>
      </c>
      <c r="I947" t="s">
        <v>45</v>
      </c>
      <c r="J947" t="s">
        <v>28</v>
      </c>
      <c r="K947" t="s">
        <v>29</v>
      </c>
      <c r="L947" t="str">
        <f t="array" ref="L947">_xlfn.IFS(HR_Data[[#This Row],[Experience]]&lt;2,"0-2 Years",HR_Data[[#This Row],[Experience]]&lt;5,"2-5 Years",HR_Data[[#This Row],[Experience]]&lt;10,"5-10 Years",TRUE(),"10+ Years")</f>
        <v>10+ Years</v>
      </c>
      <c r="M947" t="str">
        <f t="array" ref="M947">_xlfn.IFS(HR_Data[[#This Row],[Salary]]&lt;40000,"Low",HR_Data[[#This Row],[Salary]]&lt;70000,"Medium",HR_Data[[#This Row],[Salary]]&lt;100000,"High",TRUE(),"Very High")</f>
        <v>Very High</v>
      </c>
      <c r="N947" t="str">
        <f t="array" ref="N947">_xlfn.IFS(HR_Data[[#This Row],[Age]]&lt;25,"18-24",HR_Data[[#This Row],[Age]]&lt;35,"25-34",HR_Data[[#This Row],[Age]]&lt;45,"35-44",TRUE(),"45+")</f>
        <v>45+</v>
      </c>
      <c r="O947">
        <f>YEAR(HR_Data[[#This Row],[Joining Date]])</f>
        <v>2024</v>
      </c>
      <c r="P947" t="str">
        <f>TEXT(HR_Data[[#This Row],[Joining Date]],"mmmm")</f>
        <v>November</v>
      </c>
      <c r="Q947">
        <f t="array" ref="Q94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47">
        <f>HR_Data[[#This Row],[Salary]]*HR_Data[[#This Row],[Bonus %]]</f>
        <v>15663.9</v>
      </c>
      <c r="S947">
        <f>HR_Data[[#This Row],[Salary]]+HR_Data[[#This Row],[Bonus Amount]]</f>
        <v>120089.9</v>
      </c>
      <c r="T947" t="str">
        <f>IF(HR_Data[[#This Row],[Attrition]]="Yes","Inactive","Active")</f>
        <v>Active</v>
      </c>
      <c r="U947" t="str">
        <f t="array" ref="U947">_xlfn.IFS(HR_Data[[#This Row],[Salary]]&gt;=100000,"A",HR_Data[[#This Row],[Salary]]&gt;=70000,"B",HR_Data[[#This Row],[Salary]]&gt;=50000,"C",TRUE(),"D")</f>
        <v>A</v>
      </c>
      <c r="V947" t="str">
        <f t="array" ref="V947">_xlfn.IFS(HR_Data[[#This Row],[Experience]]&gt;=15,"Expert",HR_Data[[#This Row],[Experience]]&gt;=8,"Senior",HR_Data[[#This Row],[Experience]]&gt;=3,"Mid-Level",TRUE(),"Junior")</f>
        <v>Expert</v>
      </c>
    </row>
    <row r="948" spans="1:22" ht="14.25" customHeight="1" x14ac:dyDescent="0.3">
      <c r="A948" t="s">
        <v>2052</v>
      </c>
      <c r="B948" t="s">
        <v>828</v>
      </c>
      <c r="C948" t="s">
        <v>70</v>
      </c>
      <c r="D948" t="s">
        <v>33</v>
      </c>
      <c r="E948">
        <v>51</v>
      </c>
      <c r="F948">
        <v>107998</v>
      </c>
      <c r="G948">
        <v>28</v>
      </c>
      <c r="H948" t="s">
        <v>2053</v>
      </c>
      <c r="I948" t="s">
        <v>80</v>
      </c>
      <c r="J948" t="s">
        <v>36</v>
      </c>
      <c r="K948" t="s">
        <v>29</v>
      </c>
      <c r="L948" t="str">
        <f t="array" ref="L948">_xlfn.IFS(HR_Data[[#This Row],[Experience]]&lt;2,"0-2 Years",HR_Data[[#This Row],[Experience]]&lt;5,"2-5 Years",HR_Data[[#This Row],[Experience]]&lt;10,"5-10 Years",TRUE(),"10+ Years")</f>
        <v>10+ Years</v>
      </c>
      <c r="M948" t="str">
        <f t="array" ref="M948">_xlfn.IFS(HR_Data[[#This Row],[Salary]]&lt;40000,"Low",HR_Data[[#This Row],[Salary]]&lt;70000,"Medium",HR_Data[[#This Row],[Salary]]&lt;100000,"High",TRUE(),"Very High")</f>
        <v>Very High</v>
      </c>
      <c r="N948" t="str">
        <f t="array" ref="N948">_xlfn.IFS(HR_Data[[#This Row],[Age]]&lt;25,"18-24",HR_Data[[#This Row],[Age]]&lt;35,"25-34",HR_Data[[#This Row],[Age]]&lt;45,"35-44",TRUE(),"45+")</f>
        <v>45+</v>
      </c>
      <c r="O948">
        <f>YEAR(HR_Data[[#This Row],[Joining Date]])</f>
        <v>2016</v>
      </c>
      <c r="P948" t="str">
        <f>TEXT(HR_Data[[#This Row],[Joining Date]],"mmmm")</f>
        <v>April</v>
      </c>
      <c r="Q948">
        <f t="array" ref="Q94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48">
        <f>HR_Data[[#This Row],[Salary]]*HR_Data[[#This Row],[Bonus %]]</f>
        <v>10799.800000000001</v>
      </c>
      <c r="S948">
        <f>HR_Data[[#This Row],[Salary]]+HR_Data[[#This Row],[Bonus Amount]]</f>
        <v>118797.8</v>
      </c>
      <c r="T948" t="str">
        <f>IF(HR_Data[[#This Row],[Attrition]]="Yes","Inactive","Active")</f>
        <v>Active</v>
      </c>
      <c r="U948" t="str">
        <f t="array" ref="U948">_xlfn.IFS(HR_Data[[#This Row],[Salary]]&gt;=100000,"A",HR_Data[[#This Row],[Salary]]&gt;=70000,"B",HR_Data[[#This Row],[Salary]]&gt;=50000,"C",TRUE(),"D")</f>
        <v>A</v>
      </c>
      <c r="V948" t="str">
        <f t="array" ref="V948">_xlfn.IFS(HR_Data[[#This Row],[Experience]]&gt;=15,"Expert",HR_Data[[#This Row],[Experience]]&gt;=8,"Senior",HR_Data[[#This Row],[Experience]]&gt;=3,"Mid-Level",TRUE(),"Junior")</f>
        <v>Expert</v>
      </c>
    </row>
    <row r="949" spans="1:22" ht="14.25" customHeight="1" x14ac:dyDescent="0.3">
      <c r="A949" t="s">
        <v>2054</v>
      </c>
      <c r="B949" t="s">
        <v>1073</v>
      </c>
      <c r="C949" t="s">
        <v>55</v>
      </c>
      <c r="D949" t="s">
        <v>25</v>
      </c>
      <c r="E949">
        <v>45</v>
      </c>
      <c r="F949">
        <v>112482</v>
      </c>
      <c r="G949">
        <v>24</v>
      </c>
      <c r="H949" t="s">
        <v>2055</v>
      </c>
      <c r="I949" t="s">
        <v>35</v>
      </c>
      <c r="J949" t="s">
        <v>46</v>
      </c>
      <c r="K949" t="s">
        <v>29</v>
      </c>
      <c r="L949" t="str">
        <f t="array" ref="L949">_xlfn.IFS(HR_Data[[#This Row],[Experience]]&lt;2,"0-2 Years",HR_Data[[#This Row],[Experience]]&lt;5,"2-5 Years",HR_Data[[#This Row],[Experience]]&lt;10,"5-10 Years",TRUE(),"10+ Years")</f>
        <v>10+ Years</v>
      </c>
      <c r="M949" t="str">
        <f t="array" ref="M949">_xlfn.IFS(HR_Data[[#This Row],[Salary]]&lt;40000,"Low",HR_Data[[#This Row],[Salary]]&lt;70000,"Medium",HR_Data[[#This Row],[Salary]]&lt;100000,"High",TRUE(),"Very High")</f>
        <v>Very High</v>
      </c>
      <c r="N949" t="str">
        <f t="array" ref="N949">_xlfn.IFS(HR_Data[[#This Row],[Age]]&lt;25,"18-24",HR_Data[[#This Row],[Age]]&lt;35,"25-34",HR_Data[[#This Row],[Age]]&lt;45,"35-44",TRUE(),"45+")</f>
        <v>45+</v>
      </c>
      <c r="O949">
        <f>YEAR(HR_Data[[#This Row],[Joining Date]])</f>
        <v>2023</v>
      </c>
      <c r="P949" t="str">
        <f>TEXT(HR_Data[[#This Row],[Joining Date]],"mmmm")</f>
        <v>December</v>
      </c>
      <c r="Q949">
        <f t="array" ref="Q949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949">
        <f>HR_Data[[#This Row],[Salary]]*HR_Data[[#This Row],[Bonus %]]</f>
        <v>5624.1</v>
      </c>
      <c r="S949">
        <f>HR_Data[[#This Row],[Salary]]+HR_Data[[#This Row],[Bonus Amount]]</f>
        <v>118106.1</v>
      </c>
      <c r="T949" t="str">
        <f>IF(HR_Data[[#This Row],[Attrition]]="Yes","Inactive","Active")</f>
        <v>Active</v>
      </c>
      <c r="U949" t="str">
        <f t="array" ref="U949">_xlfn.IFS(HR_Data[[#This Row],[Salary]]&gt;=100000,"A",HR_Data[[#This Row],[Salary]]&gt;=70000,"B",HR_Data[[#This Row],[Salary]]&gt;=50000,"C",TRUE(),"D")</f>
        <v>A</v>
      </c>
      <c r="V949" t="str">
        <f t="array" ref="V949">_xlfn.IFS(HR_Data[[#This Row],[Experience]]&gt;=15,"Expert",HR_Data[[#This Row],[Experience]]&gt;=8,"Senior",HR_Data[[#This Row],[Experience]]&gt;=3,"Mid-Level",TRUE(),"Junior")</f>
        <v>Expert</v>
      </c>
    </row>
    <row r="950" spans="1:22" ht="14.25" customHeight="1" x14ac:dyDescent="0.3">
      <c r="A950" t="s">
        <v>2056</v>
      </c>
      <c r="B950" t="s">
        <v>409</v>
      </c>
      <c r="C950" t="s">
        <v>60</v>
      </c>
      <c r="D950" t="s">
        <v>25</v>
      </c>
      <c r="E950">
        <v>60</v>
      </c>
      <c r="F950">
        <v>129375</v>
      </c>
      <c r="G950">
        <v>34</v>
      </c>
      <c r="H950" t="s">
        <v>2057</v>
      </c>
      <c r="I950" t="s">
        <v>67</v>
      </c>
      <c r="J950" t="s">
        <v>28</v>
      </c>
      <c r="K950" t="s">
        <v>37</v>
      </c>
      <c r="L950" t="str">
        <f t="array" ref="L950">_xlfn.IFS(HR_Data[[#This Row],[Experience]]&lt;2,"0-2 Years",HR_Data[[#This Row],[Experience]]&lt;5,"2-5 Years",HR_Data[[#This Row],[Experience]]&lt;10,"5-10 Years",TRUE(),"10+ Years")</f>
        <v>10+ Years</v>
      </c>
      <c r="M950" t="str">
        <f t="array" ref="M950">_xlfn.IFS(HR_Data[[#This Row],[Salary]]&lt;40000,"Low",HR_Data[[#This Row],[Salary]]&lt;70000,"Medium",HR_Data[[#This Row],[Salary]]&lt;100000,"High",TRUE(),"Very High")</f>
        <v>Very High</v>
      </c>
      <c r="N950" t="str">
        <f t="array" ref="N950">_xlfn.IFS(HR_Data[[#This Row],[Age]]&lt;25,"18-24",HR_Data[[#This Row],[Age]]&lt;35,"25-34",HR_Data[[#This Row],[Age]]&lt;45,"35-44",TRUE(),"45+")</f>
        <v>45+</v>
      </c>
      <c r="O950">
        <f>YEAR(HR_Data[[#This Row],[Joining Date]])</f>
        <v>2016</v>
      </c>
      <c r="P950" t="str">
        <f>TEXT(HR_Data[[#This Row],[Joining Date]],"mmmm")</f>
        <v>December</v>
      </c>
      <c r="Q950">
        <f t="array" ref="Q950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50">
        <f>HR_Data[[#This Row],[Salary]]*HR_Data[[#This Row],[Bonus %]]</f>
        <v>19406.25</v>
      </c>
      <c r="S950">
        <f>HR_Data[[#This Row],[Salary]]+HR_Data[[#This Row],[Bonus Amount]]</f>
        <v>148781.25</v>
      </c>
      <c r="T950" t="str">
        <f>IF(HR_Data[[#This Row],[Attrition]]="Yes","Inactive","Active")</f>
        <v>Inactive</v>
      </c>
      <c r="U950" t="str">
        <f t="array" ref="U950">_xlfn.IFS(HR_Data[[#This Row],[Salary]]&gt;=100000,"A",HR_Data[[#This Row],[Salary]]&gt;=70000,"B",HR_Data[[#This Row],[Salary]]&gt;=50000,"C",TRUE(),"D")</f>
        <v>A</v>
      </c>
      <c r="V950" t="str">
        <f t="array" ref="V950">_xlfn.IFS(HR_Data[[#This Row],[Experience]]&gt;=15,"Expert",HR_Data[[#This Row],[Experience]]&gt;=8,"Senior",HR_Data[[#This Row],[Experience]]&gt;=3,"Mid-Level",TRUE(),"Junior")</f>
        <v>Expert</v>
      </c>
    </row>
    <row r="951" spans="1:22" ht="14.25" customHeight="1" x14ac:dyDescent="0.3">
      <c r="A951" t="s">
        <v>2058</v>
      </c>
      <c r="B951" t="s">
        <v>1079</v>
      </c>
      <c r="C951" t="s">
        <v>93</v>
      </c>
      <c r="D951" t="s">
        <v>33</v>
      </c>
      <c r="E951">
        <v>28</v>
      </c>
      <c r="F951">
        <v>41020</v>
      </c>
      <c r="G951">
        <v>4</v>
      </c>
      <c r="H951" t="s">
        <v>2059</v>
      </c>
      <c r="I951" t="s">
        <v>45</v>
      </c>
      <c r="J951" t="s">
        <v>28</v>
      </c>
      <c r="K951" t="s">
        <v>29</v>
      </c>
      <c r="L951" t="str">
        <f t="array" ref="L951">_xlfn.IFS(HR_Data[[#This Row],[Experience]]&lt;2,"0-2 Years",HR_Data[[#This Row],[Experience]]&lt;5,"2-5 Years",HR_Data[[#This Row],[Experience]]&lt;10,"5-10 Years",TRUE(),"10+ Years")</f>
        <v>2-5 Years</v>
      </c>
      <c r="M951" t="str">
        <f t="array" ref="M951">_xlfn.IFS(HR_Data[[#This Row],[Salary]]&lt;40000,"Low",HR_Data[[#This Row],[Salary]]&lt;70000,"Medium",HR_Data[[#This Row],[Salary]]&lt;100000,"High",TRUE(),"Very High")</f>
        <v>Medium</v>
      </c>
      <c r="N951" t="str">
        <f t="array" ref="N951">_xlfn.IFS(HR_Data[[#This Row],[Age]]&lt;25,"18-24",HR_Data[[#This Row],[Age]]&lt;35,"25-34",HR_Data[[#This Row],[Age]]&lt;45,"35-44",TRUE(),"45+")</f>
        <v>25-34</v>
      </c>
      <c r="O951">
        <f>YEAR(HR_Data[[#This Row],[Joining Date]])</f>
        <v>2025</v>
      </c>
      <c r="P951" t="str">
        <f>TEXT(HR_Data[[#This Row],[Joining Date]],"mmmm")</f>
        <v>November</v>
      </c>
      <c r="Q951">
        <f t="array" ref="Q951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51">
        <f>HR_Data[[#This Row],[Salary]]*HR_Data[[#This Row],[Bonus %]]</f>
        <v>6153</v>
      </c>
      <c r="S951">
        <f>HR_Data[[#This Row],[Salary]]+HR_Data[[#This Row],[Bonus Amount]]</f>
        <v>47173</v>
      </c>
      <c r="T951" t="str">
        <f>IF(HR_Data[[#This Row],[Attrition]]="Yes","Inactive","Active")</f>
        <v>Active</v>
      </c>
      <c r="U951" t="str">
        <f t="array" ref="U951">_xlfn.IFS(HR_Data[[#This Row],[Salary]]&gt;=100000,"A",HR_Data[[#This Row],[Salary]]&gt;=70000,"B",HR_Data[[#This Row],[Salary]]&gt;=50000,"C",TRUE(),"D")</f>
        <v>D</v>
      </c>
      <c r="V951" t="str">
        <f t="array" ref="V951">_xlfn.IFS(HR_Data[[#This Row],[Experience]]&gt;=15,"Expert",HR_Data[[#This Row],[Experience]]&gt;=8,"Senior",HR_Data[[#This Row],[Experience]]&gt;=3,"Mid-Level",TRUE(),"Junior")</f>
        <v>Mid-Level</v>
      </c>
    </row>
    <row r="952" spans="1:22" ht="14.25" customHeight="1" x14ac:dyDescent="0.3">
      <c r="A952" t="s">
        <v>2060</v>
      </c>
      <c r="B952" t="s">
        <v>647</v>
      </c>
      <c r="C952" t="s">
        <v>112</v>
      </c>
      <c r="D952" t="s">
        <v>25</v>
      </c>
      <c r="E952">
        <v>35</v>
      </c>
      <c r="F952">
        <v>50568</v>
      </c>
      <c r="G952">
        <v>9</v>
      </c>
      <c r="H952" t="s">
        <v>2061</v>
      </c>
      <c r="I952" t="s">
        <v>62</v>
      </c>
      <c r="J952" t="s">
        <v>28</v>
      </c>
      <c r="K952" t="s">
        <v>37</v>
      </c>
      <c r="L952" t="str">
        <f t="array" ref="L952">_xlfn.IFS(HR_Data[[#This Row],[Experience]]&lt;2,"0-2 Years",HR_Data[[#This Row],[Experience]]&lt;5,"2-5 Years",HR_Data[[#This Row],[Experience]]&lt;10,"5-10 Years",TRUE(),"10+ Years")</f>
        <v>5-10 Years</v>
      </c>
      <c r="M952" t="str">
        <f t="array" ref="M952">_xlfn.IFS(HR_Data[[#This Row],[Salary]]&lt;40000,"Low",HR_Data[[#This Row],[Salary]]&lt;70000,"Medium",HR_Data[[#This Row],[Salary]]&lt;100000,"High",TRUE(),"Very High")</f>
        <v>Medium</v>
      </c>
      <c r="N952" t="str">
        <f t="array" ref="N952">_xlfn.IFS(HR_Data[[#This Row],[Age]]&lt;25,"18-24",HR_Data[[#This Row],[Age]]&lt;35,"25-34",HR_Data[[#This Row],[Age]]&lt;45,"35-44",TRUE(),"45+")</f>
        <v>35-44</v>
      </c>
      <c r="O952">
        <f>YEAR(HR_Data[[#This Row],[Joining Date]])</f>
        <v>2019</v>
      </c>
      <c r="P952" t="str">
        <f>TEXT(HR_Data[[#This Row],[Joining Date]],"mmmm")</f>
        <v>October</v>
      </c>
      <c r="Q952">
        <f t="array" ref="Q952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52">
        <f>HR_Data[[#This Row],[Salary]]*HR_Data[[#This Row],[Bonus %]]</f>
        <v>7585.2</v>
      </c>
      <c r="S952">
        <f>HR_Data[[#This Row],[Salary]]+HR_Data[[#This Row],[Bonus Amount]]</f>
        <v>58153.2</v>
      </c>
      <c r="T952" t="str">
        <f>IF(HR_Data[[#This Row],[Attrition]]="Yes","Inactive","Active")</f>
        <v>Inactive</v>
      </c>
      <c r="U952" t="str">
        <f t="array" ref="U952">_xlfn.IFS(HR_Data[[#This Row],[Salary]]&gt;=100000,"A",HR_Data[[#This Row],[Salary]]&gt;=70000,"B",HR_Data[[#This Row],[Salary]]&gt;=50000,"C",TRUE(),"D")</f>
        <v>C</v>
      </c>
      <c r="V952" t="str">
        <f t="array" ref="V952">_xlfn.IFS(HR_Data[[#This Row],[Experience]]&gt;=15,"Expert",HR_Data[[#This Row],[Experience]]&gt;=8,"Senior",HR_Data[[#This Row],[Experience]]&gt;=3,"Mid-Level",TRUE(),"Junior")</f>
        <v>Senior</v>
      </c>
    </row>
    <row r="953" spans="1:22" ht="14.25" customHeight="1" x14ac:dyDescent="0.3">
      <c r="A953" t="s">
        <v>2062</v>
      </c>
      <c r="B953" t="s">
        <v>741</v>
      </c>
      <c r="C953" t="s">
        <v>134</v>
      </c>
      <c r="D953" t="s">
        <v>33</v>
      </c>
      <c r="E953">
        <v>52</v>
      </c>
      <c r="F953">
        <v>114772</v>
      </c>
      <c r="G953">
        <v>30</v>
      </c>
      <c r="H953" t="s">
        <v>2063</v>
      </c>
      <c r="I953" t="s">
        <v>42</v>
      </c>
      <c r="J953" t="s">
        <v>46</v>
      </c>
      <c r="K953" t="s">
        <v>29</v>
      </c>
      <c r="L953" t="str">
        <f t="array" ref="L953">_xlfn.IFS(HR_Data[[#This Row],[Experience]]&lt;2,"0-2 Years",HR_Data[[#This Row],[Experience]]&lt;5,"2-5 Years",HR_Data[[#This Row],[Experience]]&lt;10,"5-10 Years",TRUE(),"10+ Years")</f>
        <v>10+ Years</v>
      </c>
      <c r="M953" t="str">
        <f t="array" ref="M953">_xlfn.IFS(HR_Data[[#This Row],[Salary]]&lt;40000,"Low",HR_Data[[#This Row],[Salary]]&lt;70000,"Medium",HR_Data[[#This Row],[Salary]]&lt;100000,"High",TRUE(),"Very High")</f>
        <v>Very High</v>
      </c>
      <c r="N953" t="str">
        <f t="array" ref="N953">_xlfn.IFS(HR_Data[[#This Row],[Age]]&lt;25,"18-24",HR_Data[[#This Row],[Age]]&lt;35,"25-34",HR_Data[[#This Row],[Age]]&lt;45,"35-44",TRUE(),"45+")</f>
        <v>45+</v>
      </c>
      <c r="O953">
        <f>YEAR(HR_Data[[#This Row],[Joining Date]])</f>
        <v>2019</v>
      </c>
      <c r="P953" t="str">
        <f>TEXT(HR_Data[[#This Row],[Joining Date]],"mmmm")</f>
        <v>September</v>
      </c>
      <c r="Q953">
        <f t="array" ref="Q953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953">
        <f>HR_Data[[#This Row],[Salary]]*HR_Data[[#This Row],[Bonus %]]</f>
        <v>5738.6</v>
      </c>
      <c r="S953">
        <f>HR_Data[[#This Row],[Salary]]+HR_Data[[#This Row],[Bonus Amount]]</f>
        <v>120510.6</v>
      </c>
      <c r="T953" t="str">
        <f>IF(HR_Data[[#This Row],[Attrition]]="Yes","Inactive","Active")</f>
        <v>Active</v>
      </c>
      <c r="U953" t="str">
        <f t="array" ref="U953">_xlfn.IFS(HR_Data[[#This Row],[Salary]]&gt;=100000,"A",HR_Data[[#This Row],[Salary]]&gt;=70000,"B",HR_Data[[#This Row],[Salary]]&gt;=50000,"C",TRUE(),"D")</f>
        <v>A</v>
      </c>
      <c r="V953" t="str">
        <f t="array" ref="V953">_xlfn.IFS(HR_Data[[#This Row],[Experience]]&gt;=15,"Expert",HR_Data[[#This Row],[Experience]]&gt;=8,"Senior",HR_Data[[#This Row],[Experience]]&gt;=3,"Mid-Level",TRUE(),"Junior")</f>
        <v>Expert</v>
      </c>
    </row>
    <row r="954" spans="1:22" ht="14.25" customHeight="1" x14ac:dyDescent="0.3">
      <c r="A954" t="s">
        <v>2064</v>
      </c>
      <c r="B954" t="s">
        <v>894</v>
      </c>
      <c r="C954" t="s">
        <v>75</v>
      </c>
      <c r="D954" t="s">
        <v>33</v>
      </c>
      <c r="E954">
        <v>29</v>
      </c>
      <c r="F954">
        <v>54775</v>
      </c>
      <c r="G954">
        <v>9</v>
      </c>
      <c r="H954" t="s">
        <v>2065</v>
      </c>
      <c r="I954" t="s">
        <v>80</v>
      </c>
      <c r="J954" t="s">
        <v>63</v>
      </c>
      <c r="K954" t="s">
        <v>29</v>
      </c>
      <c r="L954" t="str">
        <f t="array" ref="L954">_xlfn.IFS(HR_Data[[#This Row],[Experience]]&lt;2,"0-2 Years",HR_Data[[#This Row],[Experience]]&lt;5,"2-5 Years",HR_Data[[#This Row],[Experience]]&lt;10,"5-10 Years",TRUE(),"10+ Years")</f>
        <v>5-10 Years</v>
      </c>
      <c r="M954" t="str">
        <f t="array" ref="M954">_xlfn.IFS(HR_Data[[#This Row],[Salary]]&lt;40000,"Low",HR_Data[[#This Row],[Salary]]&lt;70000,"Medium",HR_Data[[#This Row],[Salary]]&lt;100000,"High",TRUE(),"Very High")</f>
        <v>Medium</v>
      </c>
      <c r="N954" t="str">
        <f t="array" ref="N954">_xlfn.IFS(HR_Data[[#This Row],[Age]]&lt;25,"18-24",HR_Data[[#This Row],[Age]]&lt;35,"25-34",HR_Data[[#This Row],[Age]]&lt;45,"35-44",TRUE(),"45+")</f>
        <v>25-34</v>
      </c>
      <c r="O954">
        <f>YEAR(HR_Data[[#This Row],[Joining Date]])</f>
        <v>2024</v>
      </c>
      <c r="P954" t="str">
        <f>TEXT(HR_Data[[#This Row],[Joining Date]],"mmmm")</f>
        <v>February</v>
      </c>
      <c r="Q954">
        <f t="array" ref="Q954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954">
        <f>HR_Data[[#This Row],[Salary]]*HR_Data[[#This Row],[Bonus %]]</f>
        <v>10955</v>
      </c>
      <c r="S954">
        <f>HR_Data[[#This Row],[Salary]]+HR_Data[[#This Row],[Bonus Amount]]</f>
        <v>65730</v>
      </c>
      <c r="T954" t="str">
        <f>IF(HR_Data[[#This Row],[Attrition]]="Yes","Inactive","Active")</f>
        <v>Active</v>
      </c>
      <c r="U954" t="str">
        <f t="array" ref="U954">_xlfn.IFS(HR_Data[[#This Row],[Salary]]&gt;=100000,"A",HR_Data[[#This Row],[Salary]]&gt;=70000,"B",HR_Data[[#This Row],[Salary]]&gt;=50000,"C",TRUE(),"D")</f>
        <v>C</v>
      </c>
      <c r="V954" t="str">
        <f t="array" ref="V954">_xlfn.IFS(HR_Data[[#This Row],[Experience]]&gt;=15,"Expert",HR_Data[[#This Row],[Experience]]&gt;=8,"Senior",HR_Data[[#This Row],[Experience]]&gt;=3,"Mid-Level",TRUE(),"Junior")</f>
        <v>Senior</v>
      </c>
    </row>
    <row r="955" spans="1:22" ht="14.25" customHeight="1" x14ac:dyDescent="0.3">
      <c r="A955" t="s">
        <v>2066</v>
      </c>
      <c r="B955" t="s">
        <v>1015</v>
      </c>
      <c r="C955" t="s">
        <v>55</v>
      </c>
      <c r="D955" t="s">
        <v>25</v>
      </c>
      <c r="E955">
        <v>30</v>
      </c>
      <c r="F955">
        <v>55229</v>
      </c>
      <c r="G955">
        <v>11</v>
      </c>
      <c r="H955" t="s">
        <v>2067</v>
      </c>
      <c r="I955" t="s">
        <v>35</v>
      </c>
      <c r="J955" t="s">
        <v>28</v>
      </c>
      <c r="K955" t="s">
        <v>29</v>
      </c>
      <c r="L955" t="str">
        <f t="array" ref="L955">_xlfn.IFS(HR_Data[[#This Row],[Experience]]&lt;2,"0-2 Years",HR_Data[[#This Row],[Experience]]&lt;5,"2-5 Years",HR_Data[[#This Row],[Experience]]&lt;10,"5-10 Years",TRUE(),"10+ Years")</f>
        <v>10+ Years</v>
      </c>
      <c r="M955" t="str">
        <f t="array" ref="M955">_xlfn.IFS(HR_Data[[#This Row],[Salary]]&lt;40000,"Low",HR_Data[[#This Row],[Salary]]&lt;70000,"Medium",HR_Data[[#This Row],[Salary]]&lt;100000,"High",TRUE(),"Very High")</f>
        <v>Medium</v>
      </c>
      <c r="N955" t="str">
        <f t="array" ref="N955">_xlfn.IFS(HR_Data[[#This Row],[Age]]&lt;25,"18-24",HR_Data[[#This Row],[Age]]&lt;35,"25-34",HR_Data[[#This Row],[Age]]&lt;45,"35-44",TRUE(),"45+")</f>
        <v>25-34</v>
      </c>
      <c r="O955">
        <f>YEAR(HR_Data[[#This Row],[Joining Date]])</f>
        <v>2024</v>
      </c>
      <c r="P955" t="str">
        <f>TEXT(HR_Data[[#This Row],[Joining Date]],"mmmm")</f>
        <v>August</v>
      </c>
      <c r="Q955">
        <f t="array" ref="Q955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55">
        <f>HR_Data[[#This Row],[Salary]]*HR_Data[[#This Row],[Bonus %]]</f>
        <v>8284.35</v>
      </c>
      <c r="S955">
        <f>HR_Data[[#This Row],[Salary]]+HR_Data[[#This Row],[Bonus Amount]]</f>
        <v>63513.35</v>
      </c>
      <c r="T955" t="str">
        <f>IF(HR_Data[[#This Row],[Attrition]]="Yes","Inactive","Active")</f>
        <v>Active</v>
      </c>
      <c r="U955" t="str">
        <f t="array" ref="U955">_xlfn.IFS(HR_Data[[#This Row],[Salary]]&gt;=100000,"A",HR_Data[[#This Row],[Salary]]&gt;=70000,"B",HR_Data[[#This Row],[Salary]]&gt;=50000,"C",TRUE(),"D")</f>
        <v>C</v>
      </c>
      <c r="V955" t="str">
        <f t="array" ref="V955">_xlfn.IFS(HR_Data[[#This Row],[Experience]]&gt;=15,"Expert",HR_Data[[#This Row],[Experience]]&gt;=8,"Senior",HR_Data[[#This Row],[Experience]]&gt;=3,"Mid-Level",TRUE(),"Junior")</f>
        <v>Senior</v>
      </c>
    </row>
    <row r="956" spans="1:22" ht="14.25" customHeight="1" x14ac:dyDescent="0.3">
      <c r="A956" t="s">
        <v>2068</v>
      </c>
      <c r="B956" t="s">
        <v>152</v>
      </c>
      <c r="C956" t="s">
        <v>75</v>
      </c>
      <c r="D956" t="s">
        <v>33</v>
      </c>
      <c r="E956">
        <v>57</v>
      </c>
      <c r="F956">
        <v>118265</v>
      </c>
      <c r="G956">
        <v>30</v>
      </c>
      <c r="H956" t="s">
        <v>2069</v>
      </c>
      <c r="I956" t="s">
        <v>42</v>
      </c>
      <c r="J956" t="s">
        <v>28</v>
      </c>
      <c r="K956" t="s">
        <v>29</v>
      </c>
      <c r="L956" t="str">
        <f t="array" ref="L956">_xlfn.IFS(HR_Data[[#This Row],[Experience]]&lt;2,"0-2 Years",HR_Data[[#This Row],[Experience]]&lt;5,"2-5 Years",HR_Data[[#This Row],[Experience]]&lt;10,"5-10 Years",TRUE(),"10+ Years")</f>
        <v>10+ Years</v>
      </c>
      <c r="M956" t="str">
        <f t="array" ref="M956">_xlfn.IFS(HR_Data[[#This Row],[Salary]]&lt;40000,"Low",HR_Data[[#This Row],[Salary]]&lt;70000,"Medium",HR_Data[[#This Row],[Salary]]&lt;100000,"High",TRUE(),"Very High")</f>
        <v>Very High</v>
      </c>
      <c r="N956" t="str">
        <f t="array" ref="N956">_xlfn.IFS(HR_Data[[#This Row],[Age]]&lt;25,"18-24",HR_Data[[#This Row],[Age]]&lt;35,"25-34",HR_Data[[#This Row],[Age]]&lt;45,"35-44",TRUE(),"45+")</f>
        <v>45+</v>
      </c>
      <c r="O956">
        <f>YEAR(HR_Data[[#This Row],[Joining Date]])</f>
        <v>2024</v>
      </c>
      <c r="P956" t="str">
        <f>TEXT(HR_Data[[#This Row],[Joining Date]],"mmmm")</f>
        <v>October</v>
      </c>
      <c r="Q956">
        <f t="array" ref="Q956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56">
        <f>HR_Data[[#This Row],[Salary]]*HR_Data[[#This Row],[Bonus %]]</f>
        <v>17739.75</v>
      </c>
      <c r="S956">
        <f>HR_Data[[#This Row],[Salary]]+HR_Data[[#This Row],[Bonus Amount]]</f>
        <v>136004.75</v>
      </c>
      <c r="T956" t="str">
        <f>IF(HR_Data[[#This Row],[Attrition]]="Yes","Inactive","Active")</f>
        <v>Active</v>
      </c>
      <c r="U956" t="str">
        <f t="array" ref="U956">_xlfn.IFS(HR_Data[[#This Row],[Salary]]&gt;=100000,"A",HR_Data[[#This Row],[Salary]]&gt;=70000,"B",HR_Data[[#This Row],[Salary]]&gt;=50000,"C",TRUE(),"D")</f>
        <v>A</v>
      </c>
      <c r="V956" t="str">
        <f t="array" ref="V956">_xlfn.IFS(HR_Data[[#This Row],[Experience]]&gt;=15,"Expert",HR_Data[[#This Row],[Experience]]&gt;=8,"Senior",HR_Data[[#This Row],[Experience]]&gt;=3,"Mid-Level",TRUE(),"Junior")</f>
        <v>Expert</v>
      </c>
    </row>
    <row r="957" spans="1:22" ht="14.25" customHeight="1" x14ac:dyDescent="0.3">
      <c r="A957" t="s">
        <v>2070</v>
      </c>
      <c r="B957" t="s">
        <v>182</v>
      </c>
      <c r="C957" t="s">
        <v>55</v>
      </c>
      <c r="D957" t="s">
        <v>33</v>
      </c>
      <c r="E957">
        <v>33</v>
      </c>
      <c r="F957">
        <v>56171</v>
      </c>
      <c r="G957">
        <v>9</v>
      </c>
      <c r="H957" t="s">
        <v>2071</v>
      </c>
      <c r="I957" t="s">
        <v>62</v>
      </c>
      <c r="J957" t="s">
        <v>28</v>
      </c>
      <c r="K957" t="s">
        <v>29</v>
      </c>
      <c r="L957" t="str">
        <f t="array" ref="L957">_xlfn.IFS(HR_Data[[#This Row],[Experience]]&lt;2,"0-2 Years",HR_Data[[#This Row],[Experience]]&lt;5,"2-5 Years",HR_Data[[#This Row],[Experience]]&lt;10,"5-10 Years",TRUE(),"10+ Years")</f>
        <v>5-10 Years</v>
      </c>
      <c r="M957" t="str">
        <f t="array" ref="M957">_xlfn.IFS(HR_Data[[#This Row],[Salary]]&lt;40000,"Low",HR_Data[[#This Row],[Salary]]&lt;70000,"Medium",HR_Data[[#This Row],[Salary]]&lt;100000,"High",TRUE(),"Very High")</f>
        <v>Medium</v>
      </c>
      <c r="N957" t="str">
        <f t="array" ref="N957">_xlfn.IFS(HR_Data[[#This Row],[Age]]&lt;25,"18-24",HR_Data[[#This Row],[Age]]&lt;35,"25-34",HR_Data[[#This Row],[Age]]&lt;45,"35-44",TRUE(),"45+")</f>
        <v>25-34</v>
      </c>
      <c r="O957">
        <f>YEAR(HR_Data[[#This Row],[Joining Date]])</f>
        <v>2015</v>
      </c>
      <c r="P957" t="str">
        <f>TEXT(HR_Data[[#This Row],[Joining Date]],"mmmm")</f>
        <v>April</v>
      </c>
      <c r="Q957">
        <f t="array" ref="Q95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57">
        <f>HR_Data[[#This Row],[Salary]]*HR_Data[[#This Row],[Bonus %]]</f>
        <v>8425.65</v>
      </c>
      <c r="S957">
        <f>HR_Data[[#This Row],[Salary]]+HR_Data[[#This Row],[Bonus Amount]]</f>
        <v>64596.65</v>
      </c>
      <c r="T957" t="str">
        <f>IF(HR_Data[[#This Row],[Attrition]]="Yes","Inactive","Active")</f>
        <v>Active</v>
      </c>
      <c r="U957" t="str">
        <f t="array" ref="U957">_xlfn.IFS(HR_Data[[#This Row],[Salary]]&gt;=100000,"A",HR_Data[[#This Row],[Salary]]&gt;=70000,"B",HR_Data[[#This Row],[Salary]]&gt;=50000,"C",TRUE(),"D")</f>
        <v>C</v>
      </c>
      <c r="V957" t="str">
        <f t="array" ref="V957">_xlfn.IFS(HR_Data[[#This Row],[Experience]]&gt;=15,"Expert",HR_Data[[#This Row],[Experience]]&gt;=8,"Senior",HR_Data[[#This Row],[Experience]]&gt;=3,"Mid-Level",TRUE(),"Junior")</f>
        <v>Senior</v>
      </c>
    </row>
    <row r="958" spans="1:22" ht="14.25" customHeight="1" x14ac:dyDescent="0.3">
      <c r="A958" t="s">
        <v>2072</v>
      </c>
      <c r="B958" t="s">
        <v>561</v>
      </c>
      <c r="C958" t="s">
        <v>40</v>
      </c>
      <c r="D958" t="s">
        <v>33</v>
      </c>
      <c r="E958">
        <v>43</v>
      </c>
      <c r="F958">
        <v>68320</v>
      </c>
      <c r="G958">
        <v>16</v>
      </c>
      <c r="H958" t="s">
        <v>633</v>
      </c>
      <c r="I958" t="s">
        <v>57</v>
      </c>
      <c r="J958" t="s">
        <v>90</v>
      </c>
      <c r="K958" t="s">
        <v>29</v>
      </c>
      <c r="L958" t="str">
        <f t="array" ref="L958">_xlfn.IFS(HR_Data[[#This Row],[Experience]]&lt;2,"0-2 Years",HR_Data[[#This Row],[Experience]]&lt;5,"2-5 Years",HR_Data[[#This Row],[Experience]]&lt;10,"5-10 Years",TRUE(),"10+ Years")</f>
        <v>10+ Years</v>
      </c>
      <c r="M958" t="str">
        <f t="array" ref="M958">_xlfn.IFS(HR_Data[[#This Row],[Salary]]&lt;40000,"Low",HR_Data[[#This Row],[Salary]]&lt;70000,"Medium",HR_Data[[#This Row],[Salary]]&lt;100000,"High",TRUE(),"Very High")</f>
        <v>Medium</v>
      </c>
      <c r="N958" t="str">
        <f t="array" ref="N958">_xlfn.IFS(HR_Data[[#This Row],[Age]]&lt;25,"18-24",HR_Data[[#This Row],[Age]]&lt;35,"25-34",HR_Data[[#This Row],[Age]]&lt;45,"35-44",TRUE(),"45+")</f>
        <v>35-44</v>
      </c>
      <c r="O958">
        <f>YEAR(HR_Data[[#This Row],[Joining Date]])</f>
        <v>2025</v>
      </c>
      <c r="P958" t="str">
        <f>TEXT(HR_Data[[#This Row],[Joining Date]],"mmmm")</f>
        <v>February</v>
      </c>
      <c r="Q958">
        <f t="array" ref="Q958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958">
        <f>HR_Data[[#This Row],[Salary]]*HR_Data[[#This Row],[Bonus %]]</f>
        <v>0</v>
      </c>
      <c r="S958">
        <f>HR_Data[[#This Row],[Salary]]+HR_Data[[#This Row],[Bonus Amount]]</f>
        <v>68320</v>
      </c>
      <c r="T958" t="str">
        <f>IF(HR_Data[[#This Row],[Attrition]]="Yes","Inactive","Active")</f>
        <v>Active</v>
      </c>
      <c r="U958" t="str">
        <f t="array" ref="U958">_xlfn.IFS(HR_Data[[#This Row],[Salary]]&gt;=100000,"A",HR_Data[[#This Row],[Salary]]&gt;=70000,"B",HR_Data[[#This Row],[Salary]]&gt;=50000,"C",TRUE(),"D")</f>
        <v>C</v>
      </c>
      <c r="V958" t="str">
        <f t="array" ref="V958">_xlfn.IFS(HR_Data[[#This Row],[Experience]]&gt;=15,"Expert",HR_Data[[#This Row],[Experience]]&gt;=8,"Senior",HR_Data[[#This Row],[Experience]]&gt;=3,"Mid-Level",TRUE(),"Junior")</f>
        <v>Expert</v>
      </c>
    </row>
    <row r="959" spans="1:22" ht="14.25" customHeight="1" x14ac:dyDescent="0.3">
      <c r="A959" t="s">
        <v>2073</v>
      </c>
      <c r="B959" t="s">
        <v>940</v>
      </c>
      <c r="C959" t="s">
        <v>24</v>
      </c>
      <c r="D959" t="s">
        <v>33</v>
      </c>
      <c r="E959">
        <v>37</v>
      </c>
      <c r="F959">
        <v>73294</v>
      </c>
      <c r="G959">
        <v>12</v>
      </c>
      <c r="H959" t="s">
        <v>2074</v>
      </c>
      <c r="I959" t="s">
        <v>67</v>
      </c>
      <c r="J959" t="s">
        <v>36</v>
      </c>
      <c r="K959" t="s">
        <v>29</v>
      </c>
      <c r="L959" t="str">
        <f t="array" ref="L959">_xlfn.IFS(HR_Data[[#This Row],[Experience]]&lt;2,"0-2 Years",HR_Data[[#This Row],[Experience]]&lt;5,"2-5 Years",HR_Data[[#This Row],[Experience]]&lt;10,"5-10 Years",TRUE(),"10+ Years")</f>
        <v>10+ Years</v>
      </c>
      <c r="M959" t="str">
        <f t="array" ref="M959">_xlfn.IFS(HR_Data[[#This Row],[Salary]]&lt;40000,"Low",HR_Data[[#This Row],[Salary]]&lt;70000,"Medium",HR_Data[[#This Row],[Salary]]&lt;100000,"High",TRUE(),"Very High")</f>
        <v>High</v>
      </c>
      <c r="N959" t="str">
        <f t="array" ref="N959">_xlfn.IFS(HR_Data[[#This Row],[Age]]&lt;25,"18-24",HR_Data[[#This Row],[Age]]&lt;35,"25-34",HR_Data[[#This Row],[Age]]&lt;45,"35-44",TRUE(),"45+")</f>
        <v>35-44</v>
      </c>
      <c r="O959">
        <f>YEAR(HR_Data[[#This Row],[Joining Date]])</f>
        <v>2018</v>
      </c>
      <c r="P959" t="str">
        <f>TEXT(HR_Data[[#This Row],[Joining Date]],"mmmm")</f>
        <v>September</v>
      </c>
      <c r="Q959">
        <f t="array" ref="Q95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59">
        <f>HR_Data[[#This Row],[Salary]]*HR_Data[[#This Row],[Bonus %]]</f>
        <v>7329.4000000000005</v>
      </c>
      <c r="S959">
        <f>HR_Data[[#This Row],[Salary]]+HR_Data[[#This Row],[Bonus Amount]]</f>
        <v>80623.399999999994</v>
      </c>
      <c r="T959" t="str">
        <f>IF(HR_Data[[#This Row],[Attrition]]="Yes","Inactive","Active")</f>
        <v>Active</v>
      </c>
      <c r="U959" t="str">
        <f t="array" ref="U959">_xlfn.IFS(HR_Data[[#This Row],[Salary]]&gt;=100000,"A",HR_Data[[#This Row],[Salary]]&gt;=70000,"B",HR_Data[[#This Row],[Salary]]&gt;=50000,"C",TRUE(),"D")</f>
        <v>B</v>
      </c>
      <c r="V959" t="str">
        <f t="array" ref="V959">_xlfn.IFS(HR_Data[[#This Row],[Experience]]&gt;=15,"Expert",HR_Data[[#This Row],[Experience]]&gt;=8,"Senior",HR_Data[[#This Row],[Experience]]&gt;=3,"Mid-Level",TRUE(),"Junior")</f>
        <v>Senior</v>
      </c>
    </row>
    <row r="960" spans="1:22" ht="14.25" customHeight="1" x14ac:dyDescent="0.3">
      <c r="A960" t="s">
        <v>2075</v>
      </c>
      <c r="B960" t="s">
        <v>185</v>
      </c>
      <c r="C960" t="s">
        <v>32</v>
      </c>
      <c r="D960" t="s">
        <v>25</v>
      </c>
      <c r="E960">
        <v>42</v>
      </c>
      <c r="F960">
        <v>100494</v>
      </c>
      <c r="G960">
        <v>23</v>
      </c>
      <c r="H960" t="s">
        <v>2076</v>
      </c>
      <c r="I960" t="s">
        <v>67</v>
      </c>
      <c r="J960" t="s">
        <v>36</v>
      </c>
      <c r="K960" t="s">
        <v>29</v>
      </c>
      <c r="L960" t="str">
        <f t="array" ref="L960">_xlfn.IFS(HR_Data[[#This Row],[Experience]]&lt;2,"0-2 Years",HR_Data[[#This Row],[Experience]]&lt;5,"2-5 Years",HR_Data[[#This Row],[Experience]]&lt;10,"5-10 Years",TRUE(),"10+ Years")</f>
        <v>10+ Years</v>
      </c>
      <c r="M960" t="str">
        <f t="array" ref="M960">_xlfn.IFS(HR_Data[[#This Row],[Salary]]&lt;40000,"Low",HR_Data[[#This Row],[Salary]]&lt;70000,"Medium",HR_Data[[#This Row],[Salary]]&lt;100000,"High",TRUE(),"Very High")</f>
        <v>Very High</v>
      </c>
      <c r="N960" t="str">
        <f t="array" ref="N960">_xlfn.IFS(HR_Data[[#This Row],[Age]]&lt;25,"18-24",HR_Data[[#This Row],[Age]]&lt;35,"25-34",HR_Data[[#This Row],[Age]]&lt;45,"35-44",TRUE(),"45+")</f>
        <v>35-44</v>
      </c>
      <c r="O960">
        <f>YEAR(HR_Data[[#This Row],[Joining Date]])</f>
        <v>2021</v>
      </c>
      <c r="P960" t="str">
        <f>TEXT(HR_Data[[#This Row],[Joining Date]],"mmmm")</f>
        <v>November</v>
      </c>
      <c r="Q960">
        <f t="array" ref="Q960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60">
        <f>HR_Data[[#This Row],[Salary]]*HR_Data[[#This Row],[Bonus %]]</f>
        <v>10049.400000000001</v>
      </c>
      <c r="S960">
        <f>HR_Data[[#This Row],[Salary]]+HR_Data[[#This Row],[Bonus Amount]]</f>
        <v>110543.4</v>
      </c>
      <c r="T960" t="str">
        <f>IF(HR_Data[[#This Row],[Attrition]]="Yes","Inactive","Active")</f>
        <v>Active</v>
      </c>
      <c r="U960" t="str">
        <f t="array" ref="U960">_xlfn.IFS(HR_Data[[#This Row],[Salary]]&gt;=100000,"A",HR_Data[[#This Row],[Salary]]&gt;=70000,"B",HR_Data[[#This Row],[Salary]]&gt;=50000,"C",TRUE(),"D")</f>
        <v>A</v>
      </c>
      <c r="V960" t="str">
        <f t="array" ref="V960">_xlfn.IFS(HR_Data[[#This Row],[Experience]]&gt;=15,"Expert",HR_Data[[#This Row],[Experience]]&gt;=8,"Senior",HR_Data[[#This Row],[Experience]]&gt;=3,"Mid-Level",TRUE(),"Junior")</f>
        <v>Expert</v>
      </c>
    </row>
    <row r="961" spans="1:22" ht="14.25" customHeight="1" x14ac:dyDescent="0.3">
      <c r="A961" t="s">
        <v>2077</v>
      </c>
      <c r="B961" t="s">
        <v>102</v>
      </c>
      <c r="C961" t="s">
        <v>70</v>
      </c>
      <c r="D961" t="s">
        <v>33</v>
      </c>
      <c r="E961">
        <v>49</v>
      </c>
      <c r="F961">
        <v>101354</v>
      </c>
      <c r="G961">
        <v>22</v>
      </c>
      <c r="H961" t="s">
        <v>2078</v>
      </c>
      <c r="I961" t="s">
        <v>45</v>
      </c>
      <c r="J961" t="s">
        <v>63</v>
      </c>
      <c r="K961" t="s">
        <v>29</v>
      </c>
      <c r="L961" t="str">
        <f t="array" ref="L961">_xlfn.IFS(HR_Data[[#This Row],[Experience]]&lt;2,"0-2 Years",HR_Data[[#This Row],[Experience]]&lt;5,"2-5 Years",HR_Data[[#This Row],[Experience]]&lt;10,"5-10 Years",TRUE(),"10+ Years")</f>
        <v>10+ Years</v>
      </c>
      <c r="M961" t="str">
        <f t="array" ref="M961">_xlfn.IFS(HR_Data[[#This Row],[Salary]]&lt;40000,"Low",HR_Data[[#This Row],[Salary]]&lt;70000,"Medium",HR_Data[[#This Row],[Salary]]&lt;100000,"High",TRUE(),"Very High")</f>
        <v>Very High</v>
      </c>
      <c r="N961" t="str">
        <f t="array" ref="N961">_xlfn.IFS(HR_Data[[#This Row],[Age]]&lt;25,"18-24",HR_Data[[#This Row],[Age]]&lt;35,"25-34",HR_Data[[#This Row],[Age]]&lt;45,"35-44",TRUE(),"45+")</f>
        <v>45+</v>
      </c>
      <c r="O961">
        <f>YEAR(HR_Data[[#This Row],[Joining Date]])</f>
        <v>2022</v>
      </c>
      <c r="P961" t="str">
        <f>TEXT(HR_Data[[#This Row],[Joining Date]],"mmmm")</f>
        <v>July</v>
      </c>
      <c r="Q961">
        <f t="array" ref="Q961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961">
        <f>HR_Data[[#This Row],[Salary]]*HR_Data[[#This Row],[Bonus %]]</f>
        <v>20270.800000000003</v>
      </c>
      <c r="S961">
        <f>HR_Data[[#This Row],[Salary]]+HR_Data[[#This Row],[Bonus Amount]]</f>
        <v>121624.8</v>
      </c>
      <c r="T961" t="str">
        <f>IF(HR_Data[[#This Row],[Attrition]]="Yes","Inactive","Active")</f>
        <v>Active</v>
      </c>
      <c r="U961" t="str">
        <f t="array" ref="U961">_xlfn.IFS(HR_Data[[#This Row],[Salary]]&gt;=100000,"A",HR_Data[[#This Row],[Salary]]&gt;=70000,"B",HR_Data[[#This Row],[Salary]]&gt;=50000,"C",TRUE(),"D")</f>
        <v>A</v>
      </c>
      <c r="V961" t="str">
        <f t="array" ref="V961">_xlfn.IFS(HR_Data[[#This Row],[Experience]]&gt;=15,"Expert",HR_Data[[#This Row],[Experience]]&gt;=8,"Senior",HR_Data[[#This Row],[Experience]]&gt;=3,"Mid-Level",TRUE(),"Junior")</f>
        <v>Expert</v>
      </c>
    </row>
    <row r="962" spans="1:22" ht="14.25" customHeight="1" x14ac:dyDescent="0.3">
      <c r="A962" t="s">
        <v>2079</v>
      </c>
      <c r="B962" t="s">
        <v>718</v>
      </c>
      <c r="C962" t="s">
        <v>40</v>
      </c>
      <c r="D962" t="s">
        <v>33</v>
      </c>
      <c r="E962">
        <v>52</v>
      </c>
      <c r="F962">
        <v>112739</v>
      </c>
      <c r="G962">
        <v>27</v>
      </c>
      <c r="H962" t="s">
        <v>2080</v>
      </c>
      <c r="I962" t="s">
        <v>27</v>
      </c>
      <c r="J962" t="s">
        <v>36</v>
      </c>
      <c r="K962" t="s">
        <v>29</v>
      </c>
      <c r="L962" t="str">
        <f t="array" ref="L962">_xlfn.IFS(HR_Data[[#This Row],[Experience]]&lt;2,"0-2 Years",HR_Data[[#This Row],[Experience]]&lt;5,"2-5 Years",HR_Data[[#This Row],[Experience]]&lt;10,"5-10 Years",TRUE(),"10+ Years")</f>
        <v>10+ Years</v>
      </c>
      <c r="M962" t="str">
        <f t="array" ref="M962">_xlfn.IFS(HR_Data[[#This Row],[Salary]]&lt;40000,"Low",HR_Data[[#This Row],[Salary]]&lt;70000,"Medium",HR_Data[[#This Row],[Salary]]&lt;100000,"High",TRUE(),"Very High")</f>
        <v>Very High</v>
      </c>
      <c r="N962" t="str">
        <f t="array" ref="N962">_xlfn.IFS(HR_Data[[#This Row],[Age]]&lt;25,"18-24",HR_Data[[#This Row],[Age]]&lt;35,"25-34",HR_Data[[#This Row],[Age]]&lt;45,"35-44",TRUE(),"45+")</f>
        <v>45+</v>
      </c>
      <c r="O962">
        <f>YEAR(HR_Data[[#This Row],[Joining Date]])</f>
        <v>2024</v>
      </c>
      <c r="P962" t="str">
        <f>TEXT(HR_Data[[#This Row],[Joining Date]],"mmmm")</f>
        <v>October</v>
      </c>
      <c r="Q962">
        <f t="array" ref="Q962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62">
        <f>HR_Data[[#This Row],[Salary]]*HR_Data[[#This Row],[Bonus %]]</f>
        <v>11273.900000000001</v>
      </c>
      <c r="S962">
        <f>HR_Data[[#This Row],[Salary]]+HR_Data[[#This Row],[Bonus Amount]]</f>
        <v>124012.9</v>
      </c>
      <c r="T962" t="str">
        <f>IF(HR_Data[[#This Row],[Attrition]]="Yes","Inactive","Active")</f>
        <v>Active</v>
      </c>
      <c r="U962" t="str">
        <f t="array" ref="U962">_xlfn.IFS(HR_Data[[#This Row],[Salary]]&gt;=100000,"A",HR_Data[[#This Row],[Salary]]&gt;=70000,"B",HR_Data[[#This Row],[Salary]]&gt;=50000,"C",TRUE(),"D")</f>
        <v>A</v>
      </c>
      <c r="V962" t="str">
        <f t="array" ref="V962">_xlfn.IFS(HR_Data[[#This Row],[Experience]]&gt;=15,"Expert",HR_Data[[#This Row],[Experience]]&gt;=8,"Senior",HR_Data[[#This Row],[Experience]]&gt;=3,"Mid-Level",TRUE(),"Junior")</f>
        <v>Expert</v>
      </c>
    </row>
    <row r="963" spans="1:22" ht="14.25" customHeight="1" x14ac:dyDescent="0.3">
      <c r="A963" t="s">
        <v>2081</v>
      </c>
      <c r="B963" t="s">
        <v>316</v>
      </c>
      <c r="C963" t="s">
        <v>32</v>
      </c>
      <c r="D963" t="s">
        <v>33</v>
      </c>
      <c r="E963">
        <v>46</v>
      </c>
      <c r="F963">
        <v>116466</v>
      </c>
      <c r="G963">
        <v>26</v>
      </c>
      <c r="H963" t="s">
        <v>2082</v>
      </c>
      <c r="I963" t="s">
        <v>57</v>
      </c>
      <c r="J963" t="s">
        <v>36</v>
      </c>
      <c r="K963" t="s">
        <v>29</v>
      </c>
      <c r="L963" t="str">
        <f t="array" ref="L963">_xlfn.IFS(HR_Data[[#This Row],[Experience]]&lt;2,"0-2 Years",HR_Data[[#This Row],[Experience]]&lt;5,"2-5 Years",HR_Data[[#This Row],[Experience]]&lt;10,"5-10 Years",TRUE(),"10+ Years")</f>
        <v>10+ Years</v>
      </c>
      <c r="M963" t="str">
        <f t="array" ref="M963">_xlfn.IFS(HR_Data[[#This Row],[Salary]]&lt;40000,"Low",HR_Data[[#This Row],[Salary]]&lt;70000,"Medium",HR_Data[[#This Row],[Salary]]&lt;100000,"High",TRUE(),"Very High")</f>
        <v>Very High</v>
      </c>
      <c r="N963" t="str">
        <f t="array" ref="N963">_xlfn.IFS(HR_Data[[#This Row],[Age]]&lt;25,"18-24",HR_Data[[#This Row],[Age]]&lt;35,"25-34",HR_Data[[#This Row],[Age]]&lt;45,"35-44",TRUE(),"45+")</f>
        <v>45+</v>
      </c>
      <c r="O963">
        <f>YEAR(HR_Data[[#This Row],[Joining Date]])</f>
        <v>2017</v>
      </c>
      <c r="P963" t="str">
        <f>TEXT(HR_Data[[#This Row],[Joining Date]],"mmmm")</f>
        <v>March</v>
      </c>
      <c r="Q963">
        <f t="array" ref="Q963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63">
        <f>HR_Data[[#This Row],[Salary]]*HR_Data[[#This Row],[Bonus %]]</f>
        <v>11646.6</v>
      </c>
      <c r="S963">
        <f>HR_Data[[#This Row],[Salary]]+HR_Data[[#This Row],[Bonus Amount]]</f>
        <v>128112.6</v>
      </c>
      <c r="T963" t="str">
        <f>IF(HR_Data[[#This Row],[Attrition]]="Yes","Inactive","Active")</f>
        <v>Active</v>
      </c>
      <c r="U963" t="str">
        <f t="array" ref="U963">_xlfn.IFS(HR_Data[[#This Row],[Salary]]&gt;=100000,"A",HR_Data[[#This Row],[Salary]]&gt;=70000,"B",HR_Data[[#This Row],[Salary]]&gt;=50000,"C",TRUE(),"D")</f>
        <v>A</v>
      </c>
      <c r="V963" t="str">
        <f t="array" ref="V963">_xlfn.IFS(HR_Data[[#This Row],[Experience]]&gt;=15,"Expert",HR_Data[[#This Row],[Experience]]&gt;=8,"Senior",HR_Data[[#This Row],[Experience]]&gt;=3,"Mid-Level",TRUE(),"Junior")</f>
        <v>Expert</v>
      </c>
    </row>
    <row r="964" spans="1:22" ht="14.25" customHeight="1" x14ac:dyDescent="0.3">
      <c r="A964" t="s">
        <v>2083</v>
      </c>
      <c r="B964" t="s">
        <v>943</v>
      </c>
      <c r="C964" t="s">
        <v>93</v>
      </c>
      <c r="D964" t="s">
        <v>25</v>
      </c>
      <c r="E964">
        <v>56</v>
      </c>
      <c r="F964">
        <v>122287</v>
      </c>
      <c r="G964">
        <v>29</v>
      </c>
      <c r="H964" t="s">
        <v>2084</v>
      </c>
      <c r="I964" t="s">
        <v>62</v>
      </c>
      <c r="J964" t="s">
        <v>28</v>
      </c>
      <c r="K964" t="s">
        <v>29</v>
      </c>
      <c r="L964" t="str">
        <f t="array" ref="L964">_xlfn.IFS(HR_Data[[#This Row],[Experience]]&lt;2,"0-2 Years",HR_Data[[#This Row],[Experience]]&lt;5,"2-5 Years",HR_Data[[#This Row],[Experience]]&lt;10,"5-10 Years",TRUE(),"10+ Years")</f>
        <v>10+ Years</v>
      </c>
      <c r="M964" t="str">
        <f t="array" ref="M964">_xlfn.IFS(HR_Data[[#This Row],[Salary]]&lt;40000,"Low",HR_Data[[#This Row],[Salary]]&lt;70000,"Medium",HR_Data[[#This Row],[Salary]]&lt;100000,"High",TRUE(),"Very High")</f>
        <v>Very High</v>
      </c>
      <c r="N964" t="str">
        <f t="array" ref="N964">_xlfn.IFS(HR_Data[[#This Row],[Age]]&lt;25,"18-24",HR_Data[[#This Row],[Age]]&lt;35,"25-34",HR_Data[[#This Row],[Age]]&lt;45,"35-44",TRUE(),"45+")</f>
        <v>45+</v>
      </c>
      <c r="O964">
        <f>YEAR(HR_Data[[#This Row],[Joining Date]])</f>
        <v>2017</v>
      </c>
      <c r="P964" t="str">
        <f>TEXT(HR_Data[[#This Row],[Joining Date]],"mmmm")</f>
        <v>July</v>
      </c>
      <c r="Q964">
        <f t="array" ref="Q964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64">
        <f>HR_Data[[#This Row],[Salary]]*HR_Data[[#This Row],[Bonus %]]</f>
        <v>18343.05</v>
      </c>
      <c r="S964">
        <f>HR_Data[[#This Row],[Salary]]+HR_Data[[#This Row],[Bonus Amount]]</f>
        <v>140630.04999999999</v>
      </c>
      <c r="T964" t="str">
        <f>IF(HR_Data[[#This Row],[Attrition]]="Yes","Inactive","Active")</f>
        <v>Active</v>
      </c>
      <c r="U964" t="str">
        <f t="array" ref="U964">_xlfn.IFS(HR_Data[[#This Row],[Salary]]&gt;=100000,"A",HR_Data[[#This Row],[Salary]]&gt;=70000,"B",HR_Data[[#This Row],[Salary]]&gt;=50000,"C",TRUE(),"D")</f>
        <v>A</v>
      </c>
      <c r="V964" t="str">
        <f t="array" ref="V964">_xlfn.IFS(HR_Data[[#This Row],[Experience]]&gt;=15,"Expert",HR_Data[[#This Row],[Experience]]&gt;=8,"Senior",HR_Data[[#This Row],[Experience]]&gt;=3,"Mid-Level",TRUE(),"Junior")</f>
        <v>Expert</v>
      </c>
    </row>
    <row r="965" spans="1:22" ht="14.25" customHeight="1" x14ac:dyDescent="0.3">
      <c r="A965" t="s">
        <v>2085</v>
      </c>
      <c r="B965" t="s">
        <v>1010</v>
      </c>
      <c r="C965" t="s">
        <v>32</v>
      </c>
      <c r="D965" t="s">
        <v>33</v>
      </c>
      <c r="E965">
        <v>24</v>
      </c>
      <c r="F965">
        <v>25000</v>
      </c>
      <c r="G965">
        <v>0</v>
      </c>
      <c r="H965" t="s">
        <v>2086</v>
      </c>
      <c r="I965" t="s">
        <v>27</v>
      </c>
      <c r="J965" t="s">
        <v>28</v>
      </c>
      <c r="K965" t="s">
        <v>29</v>
      </c>
      <c r="L965" t="str">
        <f t="array" ref="L965">_xlfn.IFS(HR_Data[[#This Row],[Experience]]&lt;2,"0-2 Years",HR_Data[[#This Row],[Experience]]&lt;5,"2-5 Years",HR_Data[[#This Row],[Experience]]&lt;10,"5-10 Years",TRUE(),"10+ Years")</f>
        <v>0-2 Years</v>
      </c>
      <c r="M965" t="str">
        <f t="array" ref="M965">_xlfn.IFS(HR_Data[[#This Row],[Salary]]&lt;40000,"Low",HR_Data[[#This Row],[Salary]]&lt;70000,"Medium",HR_Data[[#This Row],[Salary]]&lt;100000,"High",TRUE(),"Very High")</f>
        <v>Low</v>
      </c>
      <c r="N965" t="str">
        <f t="array" ref="N965">_xlfn.IFS(HR_Data[[#This Row],[Age]]&lt;25,"18-24",HR_Data[[#This Row],[Age]]&lt;35,"25-34",HR_Data[[#This Row],[Age]]&lt;45,"35-44",TRUE(),"45+")</f>
        <v>18-24</v>
      </c>
      <c r="O965">
        <f>YEAR(HR_Data[[#This Row],[Joining Date]])</f>
        <v>2026</v>
      </c>
      <c r="P965" t="str">
        <f>TEXT(HR_Data[[#This Row],[Joining Date]],"mmmm")</f>
        <v>May</v>
      </c>
      <c r="Q965">
        <f t="array" ref="Q965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65">
        <f>HR_Data[[#This Row],[Salary]]*HR_Data[[#This Row],[Bonus %]]</f>
        <v>3750</v>
      </c>
      <c r="S965">
        <f>HR_Data[[#This Row],[Salary]]+HR_Data[[#This Row],[Bonus Amount]]</f>
        <v>28750</v>
      </c>
      <c r="T965" t="str">
        <f>IF(HR_Data[[#This Row],[Attrition]]="Yes","Inactive","Active")</f>
        <v>Active</v>
      </c>
      <c r="U965" t="str">
        <f t="array" ref="U965">_xlfn.IFS(HR_Data[[#This Row],[Salary]]&gt;=100000,"A",HR_Data[[#This Row],[Salary]]&gt;=70000,"B",HR_Data[[#This Row],[Salary]]&gt;=50000,"C",TRUE(),"D")</f>
        <v>D</v>
      </c>
      <c r="V965" t="str">
        <f t="array" ref="V965">_xlfn.IFS(HR_Data[[#This Row],[Experience]]&gt;=15,"Expert",HR_Data[[#This Row],[Experience]]&gt;=8,"Senior",HR_Data[[#This Row],[Experience]]&gt;=3,"Mid-Level",TRUE(),"Junior")</f>
        <v>Junior</v>
      </c>
    </row>
    <row r="966" spans="1:22" ht="14.25" customHeight="1" x14ac:dyDescent="0.3">
      <c r="A966" t="s">
        <v>2087</v>
      </c>
      <c r="B966" t="s">
        <v>88</v>
      </c>
      <c r="C966" t="s">
        <v>55</v>
      </c>
      <c r="D966" t="s">
        <v>25</v>
      </c>
      <c r="E966">
        <v>45</v>
      </c>
      <c r="F966">
        <v>100708</v>
      </c>
      <c r="G966">
        <v>26</v>
      </c>
      <c r="H966" t="s">
        <v>2088</v>
      </c>
      <c r="I966" t="s">
        <v>132</v>
      </c>
      <c r="J966" t="s">
        <v>28</v>
      </c>
      <c r="K966" t="s">
        <v>29</v>
      </c>
      <c r="L966" t="str">
        <f t="array" ref="L966">_xlfn.IFS(HR_Data[[#This Row],[Experience]]&lt;2,"0-2 Years",HR_Data[[#This Row],[Experience]]&lt;5,"2-5 Years",HR_Data[[#This Row],[Experience]]&lt;10,"5-10 Years",TRUE(),"10+ Years")</f>
        <v>10+ Years</v>
      </c>
      <c r="M966" t="str">
        <f t="array" ref="M966">_xlfn.IFS(HR_Data[[#This Row],[Salary]]&lt;40000,"Low",HR_Data[[#This Row],[Salary]]&lt;70000,"Medium",HR_Data[[#This Row],[Salary]]&lt;100000,"High",TRUE(),"Very High")</f>
        <v>Very High</v>
      </c>
      <c r="N966" t="str">
        <f t="array" ref="N966">_xlfn.IFS(HR_Data[[#This Row],[Age]]&lt;25,"18-24",HR_Data[[#This Row],[Age]]&lt;35,"25-34",HR_Data[[#This Row],[Age]]&lt;45,"35-44",TRUE(),"45+")</f>
        <v>45+</v>
      </c>
      <c r="O966">
        <f>YEAR(HR_Data[[#This Row],[Joining Date]])</f>
        <v>2015</v>
      </c>
      <c r="P966" t="str">
        <f>TEXT(HR_Data[[#This Row],[Joining Date]],"mmmm")</f>
        <v>August</v>
      </c>
      <c r="Q966">
        <f t="array" ref="Q966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66">
        <f>HR_Data[[#This Row],[Salary]]*HR_Data[[#This Row],[Bonus %]]</f>
        <v>15106.199999999999</v>
      </c>
      <c r="S966">
        <f>HR_Data[[#This Row],[Salary]]+HR_Data[[#This Row],[Bonus Amount]]</f>
        <v>115814.2</v>
      </c>
      <c r="T966" t="str">
        <f>IF(HR_Data[[#This Row],[Attrition]]="Yes","Inactive","Active")</f>
        <v>Active</v>
      </c>
      <c r="U966" t="str">
        <f t="array" ref="U966">_xlfn.IFS(HR_Data[[#This Row],[Salary]]&gt;=100000,"A",HR_Data[[#This Row],[Salary]]&gt;=70000,"B",HR_Data[[#This Row],[Salary]]&gt;=50000,"C",TRUE(),"D")</f>
        <v>A</v>
      </c>
      <c r="V966" t="str">
        <f t="array" ref="V966">_xlfn.IFS(HR_Data[[#This Row],[Experience]]&gt;=15,"Expert",HR_Data[[#This Row],[Experience]]&gt;=8,"Senior",HR_Data[[#This Row],[Experience]]&gt;=3,"Mid-Level",TRUE(),"Junior")</f>
        <v>Expert</v>
      </c>
    </row>
    <row r="967" spans="1:22" ht="14.25" customHeight="1" x14ac:dyDescent="0.3">
      <c r="A967" t="s">
        <v>2089</v>
      </c>
      <c r="B967" t="s">
        <v>864</v>
      </c>
      <c r="C967" t="s">
        <v>32</v>
      </c>
      <c r="D967" t="s">
        <v>33</v>
      </c>
      <c r="E967">
        <v>49</v>
      </c>
      <c r="F967">
        <v>121610</v>
      </c>
      <c r="G967">
        <v>27</v>
      </c>
      <c r="H967" t="s">
        <v>2090</v>
      </c>
      <c r="I967" t="s">
        <v>62</v>
      </c>
      <c r="J967" t="s">
        <v>28</v>
      </c>
      <c r="K967" t="s">
        <v>29</v>
      </c>
      <c r="L967" t="str">
        <f t="array" ref="L967">_xlfn.IFS(HR_Data[[#This Row],[Experience]]&lt;2,"0-2 Years",HR_Data[[#This Row],[Experience]]&lt;5,"2-5 Years",HR_Data[[#This Row],[Experience]]&lt;10,"5-10 Years",TRUE(),"10+ Years")</f>
        <v>10+ Years</v>
      </c>
      <c r="M967" t="str">
        <f t="array" ref="M967">_xlfn.IFS(HR_Data[[#This Row],[Salary]]&lt;40000,"Low",HR_Data[[#This Row],[Salary]]&lt;70000,"Medium",HR_Data[[#This Row],[Salary]]&lt;100000,"High",TRUE(),"Very High")</f>
        <v>Very High</v>
      </c>
      <c r="N967" t="str">
        <f t="array" ref="N967">_xlfn.IFS(HR_Data[[#This Row],[Age]]&lt;25,"18-24",HR_Data[[#This Row],[Age]]&lt;35,"25-34",HR_Data[[#This Row],[Age]]&lt;45,"35-44",TRUE(),"45+")</f>
        <v>45+</v>
      </c>
      <c r="O967">
        <f>YEAR(HR_Data[[#This Row],[Joining Date]])</f>
        <v>2023</v>
      </c>
      <c r="P967" t="str">
        <f>TEXT(HR_Data[[#This Row],[Joining Date]],"mmmm")</f>
        <v>October</v>
      </c>
      <c r="Q967">
        <f t="array" ref="Q96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67">
        <f>HR_Data[[#This Row],[Salary]]*HR_Data[[#This Row],[Bonus %]]</f>
        <v>18241.5</v>
      </c>
      <c r="S967">
        <f>HR_Data[[#This Row],[Salary]]+HR_Data[[#This Row],[Bonus Amount]]</f>
        <v>139851.5</v>
      </c>
      <c r="T967" t="str">
        <f>IF(HR_Data[[#This Row],[Attrition]]="Yes","Inactive","Active")</f>
        <v>Active</v>
      </c>
      <c r="U967" t="str">
        <f t="array" ref="U967">_xlfn.IFS(HR_Data[[#This Row],[Salary]]&gt;=100000,"A",HR_Data[[#This Row],[Salary]]&gt;=70000,"B",HR_Data[[#This Row],[Salary]]&gt;=50000,"C",TRUE(),"D")</f>
        <v>A</v>
      </c>
      <c r="V967" t="str">
        <f t="array" ref="V967">_xlfn.IFS(HR_Data[[#This Row],[Experience]]&gt;=15,"Expert",HR_Data[[#This Row],[Experience]]&gt;=8,"Senior",HR_Data[[#This Row],[Experience]]&gt;=3,"Mid-Level",TRUE(),"Junior")</f>
        <v>Expert</v>
      </c>
    </row>
    <row r="968" spans="1:22" ht="14.25" customHeight="1" x14ac:dyDescent="0.3">
      <c r="A968" t="s">
        <v>2091</v>
      </c>
      <c r="B968" t="s">
        <v>143</v>
      </c>
      <c r="C968" t="s">
        <v>40</v>
      </c>
      <c r="D968" t="s">
        <v>25</v>
      </c>
      <c r="E968">
        <v>36</v>
      </c>
      <c r="F968">
        <v>62624</v>
      </c>
      <c r="G968">
        <v>11</v>
      </c>
      <c r="H968" t="s">
        <v>2092</v>
      </c>
      <c r="I968" t="s">
        <v>80</v>
      </c>
      <c r="J968" t="s">
        <v>36</v>
      </c>
      <c r="K968" t="s">
        <v>37</v>
      </c>
      <c r="L968" t="str">
        <f t="array" ref="L968">_xlfn.IFS(HR_Data[[#This Row],[Experience]]&lt;2,"0-2 Years",HR_Data[[#This Row],[Experience]]&lt;5,"2-5 Years",HR_Data[[#This Row],[Experience]]&lt;10,"5-10 Years",TRUE(),"10+ Years")</f>
        <v>10+ Years</v>
      </c>
      <c r="M968" t="str">
        <f t="array" ref="M968">_xlfn.IFS(HR_Data[[#This Row],[Salary]]&lt;40000,"Low",HR_Data[[#This Row],[Salary]]&lt;70000,"Medium",HR_Data[[#This Row],[Salary]]&lt;100000,"High",TRUE(),"Very High")</f>
        <v>Medium</v>
      </c>
      <c r="N968" t="str">
        <f t="array" ref="N968">_xlfn.IFS(HR_Data[[#This Row],[Age]]&lt;25,"18-24",HR_Data[[#This Row],[Age]]&lt;35,"25-34",HR_Data[[#This Row],[Age]]&lt;45,"35-44",TRUE(),"45+")</f>
        <v>35-44</v>
      </c>
      <c r="O968">
        <f>YEAR(HR_Data[[#This Row],[Joining Date]])</f>
        <v>2018</v>
      </c>
      <c r="P968" t="str">
        <f>TEXT(HR_Data[[#This Row],[Joining Date]],"mmmm")</f>
        <v>July</v>
      </c>
      <c r="Q968">
        <f t="array" ref="Q96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68">
        <f>HR_Data[[#This Row],[Salary]]*HR_Data[[#This Row],[Bonus %]]</f>
        <v>6262.4000000000005</v>
      </c>
      <c r="S968">
        <f>HR_Data[[#This Row],[Salary]]+HR_Data[[#This Row],[Bonus Amount]]</f>
        <v>68886.399999999994</v>
      </c>
      <c r="T968" t="str">
        <f>IF(HR_Data[[#This Row],[Attrition]]="Yes","Inactive","Active")</f>
        <v>Inactive</v>
      </c>
      <c r="U968" t="str">
        <f t="array" ref="U968">_xlfn.IFS(HR_Data[[#This Row],[Salary]]&gt;=100000,"A",HR_Data[[#This Row],[Salary]]&gt;=70000,"B",HR_Data[[#This Row],[Salary]]&gt;=50000,"C",TRUE(),"D")</f>
        <v>C</v>
      </c>
      <c r="V968" t="str">
        <f t="array" ref="V968">_xlfn.IFS(HR_Data[[#This Row],[Experience]]&gt;=15,"Expert",HR_Data[[#This Row],[Experience]]&gt;=8,"Senior",HR_Data[[#This Row],[Experience]]&gt;=3,"Mid-Level",TRUE(),"Junior")</f>
        <v>Senior</v>
      </c>
    </row>
    <row r="969" spans="1:22" ht="14.25" customHeight="1" x14ac:dyDescent="0.3">
      <c r="A969" t="s">
        <v>2093</v>
      </c>
      <c r="B969" t="s">
        <v>444</v>
      </c>
      <c r="C969" t="s">
        <v>70</v>
      </c>
      <c r="D969" t="s">
        <v>33</v>
      </c>
      <c r="E969">
        <v>56</v>
      </c>
      <c r="F969">
        <v>139564</v>
      </c>
      <c r="G969">
        <v>35</v>
      </c>
      <c r="H969" t="s">
        <v>2094</v>
      </c>
      <c r="I969" t="s">
        <v>72</v>
      </c>
      <c r="J969" t="s">
        <v>63</v>
      </c>
      <c r="K969" t="s">
        <v>37</v>
      </c>
      <c r="L969" t="str">
        <f t="array" ref="L969">_xlfn.IFS(HR_Data[[#This Row],[Experience]]&lt;2,"0-2 Years",HR_Data[[#This Row],[Experience]]&lt;5,"2-5 Years",HR_Data[[#This Row],[Experience]]&lt;10,"5-10 Years",TRUE(),"10+ Years")</f>
        <v>10+ Years</v>
      </c>
      <c r="M969" t="str">
        <f t="array" ref="M969">_xlfn.IFS(HR_Data[[#This Row],[Salary]]&lt;40000,"Low",HR_Data[[#This Row],[Salary]]&lt;70000,"Medium",HR_Data[[#This Row],[Salary]]&lt;100000,"High",TRUE(),"Very High")</f>
        <v>Very High</v>
      </c>
      <c r="N969" t="str">
        <f t="array" ref="N969">_xlfn.IFS(HR_Data[[#This Row],[Age]]&lt;25,"18-24",HR_Data[[#This Row],[Age]]&lt;35,"25-34",HR_Data[[#This Row],[Age]]&lt;45,"35-44",TRUE(),"45+")</f>
        <v>45+</v>
      </c>
      <c r="O969">
        <f>YEAR(HR_Data[[#This Row],[Joining Date]])</f>
        <v>2019</v>
      </c>
      <c r="P969" t="str">
        <f>TEXT(HR_Data[[#This Row],[Joining Date]],"mmmm")</f>
        <v>July</v>
      </c>
      <c r="Q969">
        <f t="array" ref="Q969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969">
        <f>HR_Data[[#This Row],[Salary]]*HR_Data[[#This Row],[Bonus %]]</f>
        <v>27912.800000000003</v>
      </c>
      <c r="S969">
        <f>HR_Data[[#This Row],[Salary]]+HR_Data[[#This Row],[Bonus Amount]]</f>
        <v>167476.79999999999</v>
      </c>
      <c r="T969" t="str">
        <f>IF(HR_Data[[#This Row],[Attrition]]="Yes","Inactive","Active")</f>
        <v>Inactive</v>
      </c>
      <c r="U969" t="str">
        <f t="array" ref="U969">_xlfn.IFS(HR_Data[[#This Row],[Salary]]&gt;=100000,"A",HR_Data[[#This Row],[Salary]]&gt;=70000,"B",HR_Data[[#This Row],[Salary]]&gt;=50000,"C",TRUE(),"D")</f>
        <v>A</v>
      </c>
      <c r="V969" t="str">
        <f t="array" ref="V969">_xlfn.IFS(HR_Data[[#This Row],[Experience]]&gt;=15,"Expert",HR_Data[[#This Row],[Experience]]&gt;=8,"Senior",HR_Data[[#This Row],[Experience]]&gt;=3,"Mid-Level",TRUE(),"Junior")</f>
        <v>Expert</v>
      </c>
    </row>
    <row r="970" spans="1:22" ht="14.25" customHeight="1" x14ac:dyDescent="0.3">
      <c r="A970" t="s">
        <v>2095</v>
      </c>
      <c r="B970" t="s">
        <v>1426</v>
      </c>
      <c r="C970" t="s">
        <v>70</v>
      </c>
      <c r="D970" t="s">
        <v>33</v>
      </c>
      <c r="E970">
        <v>54</v>
      </c>
      <c r="F970">
        <v>144536</v>
      </c>
      <c r="G970">
        <v>34</v>
      </c>
      <c r="H970" t="s">
        <v>2096</v>
      </c>
      <c r="I970" t="s">
        <v>57</v>
      </c>
      <c r="J970" t="s">
        <v>63</v>
      </c>
      <c r="K970" t="s">
        <v>29</v>
      </c>
      <c r="L970" t="str">
        <f t="array" ref="L970">_xlfn.IFS(HR_Data[[#This Row],[Experience]]&lt;2,"0-2 Years",HR_Data[[#This Row],[Experience]]&lt;5,"2-5 Years",HR_Data[[#This Row],[Experience]]&lt;10,"5-10 Years",TRUE(),"10+ Years")</f>
        <v>10+ Years</v>
      </c>
      <c r="M970" t="str">
        <f t="array" ref="M970">_xlfn.IFS(HR_Data[[#This Row],[Salary]]&lt;40000,"Low",HR_Data[[#This Row],[Salary]]&lt;70000,"Medium",HR_Data[[#This Row],[Salary]]&lt;100000,"High",TRUE(),"Very High")</f>
        <v>Very High</v>
      </c>
      <c r="N970" t="str">
        <f t="array" ref="N970">_xlfn.IFS(HR_Data[[#This Row],[Age]]&lt;25,"18-24",HR_Data[[#This Row],[Age]]&lt;35,"25-34",HR_Data[[#This Row],[Age]]&lt;45,"35-44",TRUE(),"45+")</f>
        <v>45+</v>
      </c>
      <c r="O970">
        <f>YEAR(HR_Data[[#This Row],[Joining Date]])</f>
        <v>2023</v>
      </c>
      <c r="P970" t="str">
        <f>TEXT(HR_Data[[#This Row],[Joining Date]],"mmmm")</f>
        <v>July</v>
      </c>
      <c r="Q970">
        <f t="array" ref="Q970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970">
        <f>HR_Data[[#This Row],[Salary]]*HR_Data[[#This Row],[Bonus %]]</f>
        <v>28907.200000000001</v>
      </c>
      <c r="S970">
        <f>HR_Data[[#This Row],[Salary]]+HR_Data[[#This Row],[Bonus Amount]]</f>
        <v>173443.20000000001</v>
      </c>
      <c r="T970" t="str">
        <f>IF(HR_Data[[#This Row],[Attrition]]="Yes","Inactive","Active")</f>
        <v>Active</v>
      </c>
      <c r="U970" t="str">
        <f t="array" ref="U970">_xlfn.IFS(HR_Data[[#This Row],[Salary]]&gt;=100000,"A",HR_Data[[#This Row],[Salary]]&gt;=70000,"B",HR_Data[[#This Row],[Salary]]&gt;=50000,"C",TRUE(),"D")</f>
        <v>A</v>
      </c>
      <c r="V970" t="str">
        <f t="array" ref="V970">_xlfn.IFS(HR_Data[[#This Row],[Experience]]&gt;=15,"Expert",HR_Data[[#This Row],[Experience]]&gt;=8,"Senior",HR_Data[[#This Row],[Experience]]&gt;=3,"Mid-Level",TRUE(),"Junior")</f>
        <v>Expert</v>
      </c>
    </row>
    <row r="971" spans="1:22" ht="14.25" customHeight="1" x14ac:dyDescent="0.3">
      <c r="A971" t="s">
        <v>2097</v>
      </c>
      <c r="B971" t="s">
        <v>1099</v>
      </c>
      <c r="C971" t="s">
        <v>112</v>
      </c>
      <c r="D971" t="s">
        <v>25</v>
      </c>
      <c r="E971">
        <v>41</v>
      </c>
      <c r="F971">
        <v>95344</v>
      </c>
      <c r="G971">
        <v>19</v>
      </c>
      <c r="H971" t="s">
        <v>2098</v>
      </c>
      <c r="I971" t="s">
        <v>42</v>
      </c>
      <c r="J971" t="s">
        <v>36</v>
      </c>
      <c r="K971" t="s">
        <v>29</v>
      </c>
      <c r="L971" t="str">
        <f t="array" ref="L971">_xlfn.IFS(HR_Data[[#This Row],[Experience]]&lt;2,"0-2 Years",HR_Data[[#This Row],[Experience]]&lt;5,"2-5 Years",HR_Data[[#This Row],[Experience]]&lt;10,"5-10 Years",TRUE(),"10+ Years")</f>
        <v>10+ Years</v>
      </c>
      <c r="M971" t="str">
        <f t="array" ref="M971">_xlfn.IFS(HR_Data[[#This Row],[Salary]]&lt;40000,"Low",HR_Data[[#This Row],[Salary]]&lt;70000,"Medium",HR_Data[[#This Row],[Salary]]&lt;100000,"High",TRUE(),"Very High")</f>
        <v>High</v>
      </c>
      <c r="N971" t="str">
        <f t="array" ref="N971">_xlfn.IFS(HR_Data[[#This Row],[Age]]&lt;25,"18-24",HR_Data[[#This Row],[Age]]&lt;35,"25-34",HR_Data[[#This Row],[Age]]&lt;45,"35-44",TRUE(),"45+")</f>
        <v>35-44</v>
      </c>
      <c r="O971">
        <f>YEAR(HR_Data[[#This Row],[Joining Date]])</f>
        <v>2020</v>
      </c>
      <c r="P971" t="str">
        <f>TEXT(HR_Data[[#This Row],[Joining Date]],"mmmm")</f>
        <v>July</v>
      </c>
      <c r="Q971">
        <f t="array" ref="Q97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71">
        <f>HR_Data[[#This Row],[Salary]]*HR_Data[[#This Row],[Bonus %]]</f>
        <v>9534.4</v>
      </c>
      <c r="S971">
        <f>HR_Data[[#This Row],[Salary]]+HR_Data[[#This Row],[Bonus Amount]]</f>
        <v>104878.39999999999</v>
      </c>
      <c r="T971" t="str">
        <f>IF(HR_Data[[#This Row],[Attrition]]="Yes","Inactive","Active")</f>
        <v>Active</v>
      </c>
      <c r="U971" t="str">
        <f t="array" ref="U971">_xlfn.IFS(HR_Data[[#This Row],[Salary]]&gt;=100000,"A",HR_Data[[#This Row],[Salary]]&gt;=70000,"B",HR_Data[[#This Row],[Salary]]&gt;=50000,"C",TRUE(),"D")</f>
        <v>B</v>
      </c>
      <c r="V971" t="str">
        <f t="array" ref="V971">_xlfn.IFS(HR_Data[[#This Row],[Experience]]&gt;=15,"Expert",HR_Data[[#This Row],[Experience]]&gt;=8,"Senior",HR_Data[[#This Row],[Experience]]&gt;=3,"Mid-Level",TRUE(),"Junior")</f>
        <v>Expert</v>
      </c>
    </row>
    <row r="972" spans="1:22" ht="14.25" customHeight="1" x14ac:dyDescent="0.3">
      <c r="A972" t="s">
        <v>2099</v>
      </c>
      <c r="B972" t="s">
        <v>718</v>
      </c>
      <c r="C972" t="s">
        <v>70</v>
      </c>
      <c r="D972" t="s">
        <v>25</v>
      </c>
      <c r="E972">
        <v>38</v>
      </c>
      <c r="F972">
        <v>46558</v>
      </c>
      <c r="G972">
        <v>9</v>
      </c>
      <c r="H972" t="s">
        <v>407</v>
      </c>
      <c r="I972" t="s">
        <v>80</v>
      </c>
      <c r="J972" t="s">
        <v>63</v>
      </c>
      <c r="K972" t="s">
        <v>29</v>
      </c>
      <c r="L972" t="str">
        <f t="array" ref="L972">_xlfn.IFS(HR_Data[[#This Row],[Experience]]&lt;2,"0-2 Years",HR_Data[[#This Row],[Experience]]&lt;5,"2-5 Years",HR_Data[[#This Row],[Experience]]&lt;10,"5-10 Years",TRUE(),"10+ Years")</f>
        <v>5-10 Years</v>
      </c>
      <c r="M972" t="str">
        <f t="array" ref="M972">_xlfn.IFS(HR_Data[[#This Row],[Salary]]&lt;40000,"Low",HR_Data[[#This Row],[Salary]]&lt;70000,"Medium",HR_Data[[#This Row],[Salary]]&lt;100000,"High",TRUE(),"Very High")</f>
        <v>Medium</v>
      </c>
      <c r="N972" t="str">
        <f t="array" ref="N972">_xlfn.IFS(HR_Data[[#This Row],[Age]]&lt;25,"18-24",HR_Data[[#This Row],[Age]]&lt;35,"25-34",HR_Data[[#This Row],[Age]]&lt;45,"35-44",TRUE(),"45+")</f>
        <v>35-44</v>
      </c>
      <c r="O972">
        <f>YEAR(HR_Data[[#This Row],[Joining Date]])</f>
        <v>2017</v>
      </c>
      <c r="P972" t="str">
        <f>TEXT(HR_Data[[#This Row],[Joining Date]],"mmmm")</f>
        <v>April</v>
      </c>
      <c r="Q972">
        <f t="array" ref="Q972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972">
        <f>HR_Data[[#This Row],[Salary]]*HR_Data[[#This Row],[Bonus %]]</f>
        <v>9311.6</v>
      </c>
      <c r="S972">
        <f>HR_Data[[#This Row],[Salary]]+HR_Data[[#This Row],[Bonus Amount]]</f>
        <v>55869.599999999999</v>
      </c>
      <c r="T972" t="str">
        <f>IF(HR_Data[[#This Row],[Attrition]]="Yes","Inactive","Active")</f>
        <v>Active</v>
      </c>
      <c r="U972" t="str">
        <f t="array" ref="U972">_xlfn.IFS(HR_Data[[#This Row],[Salary]]&gt;=100000,"A",HR_Data[[#This Row],[Salary]]&gt;=70000,"B",HR_Data[[#This Row],[Salary]]&gt;=50000,"C",TRUE(),"D")</f>
        <v>D</v>
      </c>
      <c r="V972" t="str">
        <f t="array" ref="V972">_xlfn.IFS(HR_Data[[#This Row],[Experience]]&gt;=15,"Expert",HR_Data[[#This Row],[Experience]]&gt;=8,"Senior",HR_Data[[#This Row],[Experience]]&gt;=3,"Mid-Level",TRUE(),"Junior")</f>
        <v>Senior</v>
      </c>
    </row>
    <row r="973" spans="1:22" ht="14.25" customHeight="1" x14ac:dyDescent="0.3">
      <c r="A973" t="s">
        <v>2100</v>
      </c>
      <c r="B973" t="s">
        <v>111</v>
      </c>
      <c r="C973" t="s">
        <v>40</v>
      </c>
      <c r="D973" t="s">
        <v>25</v>
      </c>
      <c r="E973">
        <v>31</v>
      </c>
      <c r="F973">
        <v>54735</v>
      </c>
      <c r="G973">
        <v>11</v>
      </c>
      <c r="H973" t="s">
        <v>2101</v>
      </c>
      <c r="I973" t="s">
        <v>27</v>
      </c>
      <c r="J973" t="s">
        <v>46</v>
      </c>
      <c r="K973" t="s">
        <v>29</v>
      </c>
      <c r="L973" t="str">
        <f t="array" ref="L973">_xlfn.IFS(HR_Data[[#This Row],[Experience]]&lt;2,"0-2 Years",HR_Data[[#This Row],[Experience]]&lt;5,"2-5 Years",HR_Data[[#This Row],[Experience]]&lt;10,"5-10 Years",TRUE(),"10+ Years")</f>
        <v>10+ Years</v>
      </c>
      <c r="M973" t="str">
        <f t="array" ref="M973">_xlfn.IFS(HR_Data[[#This Row],[Salary]]&lt;40000,"Low",HR_Data[[#This Row],[Salary]]&lt;70000,"Medium",HR_Data[[#This Row],[Salary]]&lt;100000,"High",TRUE(),"Very High")</f>
        <v>Medium</v>
      </c>
      <c r="N973" t="str">
        <f t="array" ref="N973">_xlfn.IFS(HR_Data[[#This Row],[Age]]&lt;25,"18-24",HR_Data[[#This Row],[Age]]&lt;35,"25-34",HR_Data[[#This Row],[Age]]&lt;45,"35-44",TRUE(),"45+")</f>
        <v>25-34</v>
      </c>
      <c r="O973">
        <f>YEAR(HR_Data[[#This Row],[Joining Date]])</f>
        <v>2026</v>
      </c>
      <c r="P973" t="str">
        <f>TEXT(HR_Data[[#This Row],[Joining Date]],"mmmm")</f>
        <v>January</v>
      </c>
      <c r="Q973">
        <f t="array" ref="Q973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973">
        <f>HR_Data[[#This Row],[Salary]]*HR_Data[[#This Row],[Bonus %]]</f>
        <v>2736.75</v>
      </c>
      <c r="S973">
        <f>HR_Data[[#This Row],[Salary]]+HR_Data[[#This Row],[Bonus Amount]]</f>
        <v>57471.75</v>
      </c>
      <c r="T973" t="str">
        <f>IF(HR_Data[[#This Row],[Attrition]]="Yes","Inactive","Active")</f>
        <v>Active</v>
      </c>
      <c r="U973" t="str">
        <f t="array" ref="U973">_xlfn.IFS(HR_Data[[#This Row],[Salary]]&gt;=100000,"A",HR_Data[[#This Row],[Salary]]&gt;=70000,"B",HR_Data[[#This Row],[Salary]]&gt;=50000,"C",TRUE(),"D")</f>
        <v>C</v>
      </c>
      <c r="V973" t="str">
        <f t="array" ref="V973">_xlfn.IFS(HR_Data[[#This Row],[Experience]]&gt;=15,"Expert",HR_Data[[#This Row],[Experience]]&gt;=8,"Senior",HR_Data[[#This Row],[Experience]]&gt;=3,"Mid-Level",TRUE(),"Junior")</f>
        <v>Senior</v>
      </c>
    </row>
    <row r="974" spans="1:22" ht="14.25" customHeight="1" x14ac:dyDescent="0.3">
      <c r="A974" t="s">
        <v>2102</v>
      </c>
      <c r="B974" t="s">
        <v>1068</v>
      </c>
      <c r="C974" t="s">
        <v>70</v>
      </c>
      <c r="D974" t="s">
        <v>33</v>
      </c>
      <c r="E974">
        <v>46</v>
      </c>
      <c r="F974">
        <v>116142</v>
      </c>
      <c r="G974">
        <v>26</v>
      </c>
      <c r="H974" t="s">
        <v>2103</v>
      </c>
      <c r="I974" t="s">
        <v>80</v>
      </c>
      <c r="J974" t="s">
        <v>28</v>
      </c>
      <c r="K974" t="s">
        <v>29</v>
      </c>
      <c r="L974" t="str">
        <f t="array" ref="L974">_xlfn.IFS(HR_Data[[#This Row],[Experience]]&lt;2,"0-2 Years",HR_Data[[#This Row],[Experience]]&lt;5,"2-5 Years",HR_Data[[#This Row],[Experience]]&lt;10,"5-10 Years",TRUE(),"10+ Years")</f>
        <v>10+ Years</v>
      </c>
      <c r="M974" t="str">
        <f t="array" ref="M974">_xlfn.IFS(HR_Data[[#This Row],[Salary]]&lt;40000,"Low",HR_Data[[#This Row],[Salary]]&lt;70000,"Medium",HR_Data[[#This Row],[Salary]]&lt;100000,"High",TRUE(),"Very High")</f>
        <v>Very High</v>
      </c>
      <c r="N974" t="str">
        <f t="array" ref="N974">_xlfn.IFS(HR_Data[[#This Row],[Age]]&lt;25,"18-24",HR_Data[[#This Row],[Age]]&lt;35,"25-34",HR_Data[[#This Row],[Age]]&lt;45,"35-44",TRUE(),"45+")</f>
        <v>45+</v>
      </c>
      <c r="O974">
        <f>YEAR(HR_Data[[#This Row],[Joining Date]])</f>
        <v>2016</v>
      </c>
      <c r="P974" t="str">
        <f>TEXT(HR_Data[[#This Row],[Joining Date]],"mmmm")</f>
        <v>September</v>
      </c>
      <c r="Q974">
        <f t="array" ref="Q974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74">
        <f>HR_Data[[#This Row],[Salary]]*HR_Data[[#This Row],[Bonus %]]</f>
        <v>17421.3</v>
      </c>
      <c r="S974">
        <f>HR_Data[[#This Row],[Salary]]+HR_Data[[#This Row],[Bonus Amount]]</f>
        <v>133563.29999999999</v>
      </c>
      <c r="T974" t="str">
        <f>IF(HR_Data[[#This Row],[Attrition]]="Yes","Inactive","Active")</f>
        <v>Active</v>
      </c>
      <c r="U974" t="str">
        <f t="array" ref="U974">_xlfn.IFS(HR_Data[[#This Row],[Salary]]&gt;=100000,"A",HR_Data[[#This Row],[Salary]]&gt;=70000,"B",HR_Data[[#This Row],[Salary]]&gt;=50000,"C",TRUE(),"D")</f>
        <v>A</v>
      </c>
      <c r="V974" t="str">
        <f t="array" ref="V974">_xlfn.IFS(HR_Data[[#This Row],[Experience]]&gt;=15,"Expert",HR_Data[[#This Row],[Experience]]&gt;=8,"Senior",HR_Data[[#This Row],[Experience]]&gt;=3,"Mid-Level",TRUE(),"Junior")</f>
        <v>Expert</v>
      </c>
    </row>
    <row r="975" spans="1:22" ht="14.25" customHeight="1" x14ac:dyDescent="0.3">
      <c r="A975" t="s">
        <v>2104</v>
      </c>
      <c r="B975" t="s">
        <v>703</v>
      </c>
      <c r="C975" t="s">
        <v>24</v>
      </c>
      <c r="D975" t="s">
        <v>33</v>
      </c>
      <c r="E975">
        <v>21</v>
      </c>
      <c r="F975">
        <v>35589</v>
      </c>
      <c r="G975">
        <v>0</v>
      </c>
      <c r="H975" t="s">
        <v>2105</v>
      </c>
      <c r="I975" t="s">
        <v>132</v>
      </c>
      <c r="J975" t="s">
        <v>63</v>
      </c>
      <c r="K975" t="s">
        <v>29</v>
      </c>
      <c r="L975" t="str">
        <f t="array" ref="L975">_xlfn.IFS(HR_Data[[#This Row],[Experience]]&lt;2,"0-2 Years",HR_Data[[#This Row],[Experience]]&lt;5,"2-5 Years",HR_Data[[#This Row],[Experience]]&lt;10,"5-10 Years",TRUE(),"10+ Years")</f>
        <v>0-2 Years</v>
      </c>
      <c r="M975" t="str">
        <f t="array" ref="M975">_xlfn.IFS(HR_Data[[#This Row],[Salary]]&lt;40000,"Low",HR_Data[[#This Row],[Salary]]&lt;70000,"Medium",HR_Data[[#This Row],[Salary]]&lt;100000,"High",TRUE(),"Very High")</f>
        <v>Low</v>
      </c>
      <c r="N975" t="str">
        <f t="array" ref="N975">_xlfn.IFS(HR_Data[[#This Row],[Age]]&lt;25,"18-24",HR_Data[[#This Row],[Age]]&lt;35,"25-34",HR_Data[[#This Row],[Age]]&lt;45,"35-44",TRUE(),"45+")</f>
        <v>18-24</v>
      </c>
      <c r="O975">
        <f>YEAR(HR_Data[[#This Row],[Joining Date]])</f>
        <v>2015</v>
      </c>
      <c r="P975" t="str">
        <f>TEXT(HR_Data[[#This Row],[Joining Date]],"mmmm")</f>
        <v>September</v>
      </c>
      <c r="Q975">
        <f t="array" ref="Q975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975">
        <f>HR_Data[[#This Row],[Salary]]*HR_Data[[#This Row],[Bonus %]]</f>
        <v>7117.8</v>
      </c>
      <c r="S975">
        <f>HR_Data[[#This Row],[Salary]]+HR_Data[[#This Row],[Bonus Amount]]</f>
        <v>42706.8</v>
      </c>
      <c r="T975" t="str">
        <f>IF(HR_Data[[#This Row],[Attrition]]="Yes","Inactive","Active")</f>
        <v>Active</v>
      </c>
      <c r="U975" t="str">
        <f t="array" ref="U975">_xlfn.IFS(HR_Data[[#This Row],[Salary]]&gt;=100000,"A",HR_Data[[#This Row],[Salary]]&gt;=70000,"B",HR_Data[[#This Row],[Salary]]&gt;=50000,"C",TRUE(),"D")</f>
        <v>D</v>
      </c>
      <c r="V975" t="str">
        <f t="array" ref="V975">_xlfn.IFS(HR_Data[[#This Row],[Experience]]&gt;=15,"Expert",HR_Data[[#This Row],[Experience]]&gt;=8,"Senior",HR_Data[[#This Row],[Experience]]&gt;=3,"Mid-Level",TRUE(),"Junior")</f>
        <v>Junior</v>
      </c>
    </row>
    <row r="976" spans="1:22" ht="14.25" customHeight="1" x14ac:dyDescent="0.3">
      <c r="A976" t="s">
        <v>2106</v>
      </c>
      <c r="B976" t="s">
        <v>946</v>
      </c>
      <c r="C976" t="s">
        <v>75</v>
      </c>
      <c r="D976" t="s">
        <v>33</v>
      </c>
      <c r="E976">
        <v>60</v>
      </c>
      <c r="F976">
        <v>130939</v>
      </c>
      <c r="G976">
        <v>33</v>
      </c>
      <c r="H976" t="s">
        <v>2107</v>
      </c>
      <c r="I976" t="s">
        <v>57</v>
      </c>
      <c r="J976" t="s">
        <v>28</v>
      </c>
      <c r="K976" t="s">
        <v>37</v>
      </c>
      <c r="L976" t="str">
        <f t="array" ref="L976">_xlfn.IFS(HR_Data[[#This Row],[Experience]]&lt;2,"0-2 Years",HR_Data[[#This Row],[Experience]]&lt;5,"2-5 Years",HR_Data[[#This Row],[Experience]]&lt;10,"5-10 Years",TRUE(),"10+ Years")</f>
        <v>10+ Years</v>
      </c>
      <c r="M976" t="str">
        <f t="array" ref="M976">_xlfn.IFS(HR_Data[[#This Row],[Salary]]&lt;40000,"Low",HR_Data[[#This Row],[Salary]]&lt;70000,"Medium",HR_Data[[#This Row],[Salary]]&lt;100000,"High",TRUE(),"Very High")</f>
        <v>Very High</v>
      </c>
      <c r="N976" t="str">
        <f t="array" ref="N976">_xlfn.IFS(HR_Data[[#This Row],[Age]]&lt;25,"18-24",HR_Data[[#This Row],[Age]]&lt;35,"25-34",HR_Data[[#This Row],[Age]]&lt;45,"35-44",TRUE(),"45+")</f>
        <v>45+</v>
      </c>
      <c r="O976">
        <f>YEAR(HR_Data[[#This Row],[Joining Date]])</f>
        <v>2017</v>
      </c>
      <c r="P976" t="str">
        <f>TEXT(HR_Data[[#This Row],[Joining Date]],"mmmm")</f>
        <v>September</v>
      </c>
      <c r="Q976">
        <f t="array" ref="Q976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76">
        <f>HR_Data[[#This Row],[Salary]]*HR_Data[[#This Row],[Bonus %]]</f>
        <v>19640.849999999999</v>
      </c>
      <c r="S976">
        <f>HR_Data[[#This Row],[Salary]]+HR_Data[[#This Row],[Bonus Amount]]</f>
        <v>150579.85</v>
      </c>
      <c r="T976" t="str">
        <f>IF(HR_Data[[#This Row],[Attrition]]="Yes","Inactive","Active")</f>
        <v>Inactive</v>
      </c>
      <c r="U976" t="str">
        <f t="array" ref="U976">_xlfn.IFS(HR_Data[[#This Row],[Salary]]&gt;=100000,"A",HR_Data[[#This Row],[Salary]]&gt;=70000,"B",HR_Data[[#This Row],[Salary]]&gt;=50000,"C",TRUE(),"D")</f>
        <v>A</v>
      </c>
      <c r="V976" t="str">
        <f t="array" ref="V976">_xlfn.IFS(HR_Data[[#This Row],[Experience]]&gt;=15,"Expert",HR_Data[[#This Row],[Experience]]&gt;=8,"Senior",HR_Data[[#This Row],[Experience]]&gt;=3,"Mid-Level",TRUE(),"Junior")</f>
        <v>Expert</v>
      </c>
    </row>
    <row r="977" spans="1:22" ht="14.25" customHeight="1" x14ac:dyDescent="0.3">
      <c r="A977" t="s">
        <v>2108</v>
      </c>
      <c r="B977" t="s">
        <v>140</v>
      </c>
      <c r="C977" t="s">
        <v>134</v>
      </c>
      <c r="D977" t="s">
        <v>25</v>
      </c>
      <c r="E977">
        <v>43</v>
      </c>
      <c r="F977">
        <v>97709</v>
      </c>
      <c r="G977">
        <v>23</v>
      </c>
      <c r="H977" t="s">
        <v>2109</v>
      </c>
      <c r="I977" t="s">
        <v>57</v>
      </c>
      <c r="J977" t="s">
        <v>28</v>
      </c>
      <c r="K977" t="s">
        <v>29</v>
      </c>
      <c r="L977" t="str">
        <f t="array" ref="L977">_xlfn.IFS(HR_Data[[#This Row],[Experience]]&lt;2,"0-2 Years",HR_Data[[#This Row],[Experience]]&lt;5,"2-5 Years",HR_Data[[#This Row],[Experience]]&lt;10,"5-10 Years",TRUE(),"10+ Years")</f>
        <v>10+ Years</v>
      </c>
      <c r="M977" t="str">
        <f t="array" ref="M977">_xlfn.IFS(HR_Data[[#This Row],[Salary]]&lt;40000,"Low",HR_Data[[#This Row],[Salary]]&lt;70000,"Medium",HR_Data[[#This Row],[Salary]]&lt;100000,"High",TRUE(),"Very High")</f>
        <v>High</v>
      </c>
      <c r="N977" t="str">
        <f t="array" ref="N977">_xlfn.IFS(HR_Data[[#This Row],[Age]]&lt;25,"18-24",HR_Data[[#This Row],[Age]]&lt;35,"25-34",HR_Data[[#This Row],[Age]]&lt;45,"35-44",TRUE(),"45+")</f>
        <v>35-44</v>
      </c>
      <c r="O977">
        <f>YEAR(HR_Data[[#This Row],[Joining Date]])</f>
        <v>2015</v>
      </c>
      <c r="P977" t="str">
        <f>TEXT(HR_Data[[#This Row],[Joining Date]],"mmmm")</f>
        <v>August</v>
      </c>
      <c r="Q977">
        <f t="array" ref="Q97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77">
        <f>HR_Data[[#This Row],[Salary]]*HR_Data[[#This Row],[Bonus %]]</f>
        <v>14656.35</v>
      </c>
      <c r="S977">
        <f>HR_Data[[#This Row],[Salary]]+HR_Data[[#This Row],[Bonus Amount]]</f>
        <v>112365.35</v>
      </c>
      <c r="T977" t="str">
        <f>IF(HR_Data[[#This Row],[Attrition]]="Yes","Inactive","Active")</f>
        <v>Active</v>
      </c>
      <c r="U977" t="str">
        <f t="array" ref="U977">_xlfn.IFS(HR_Data[[#This Row],[Salary]]&gt;=100000,"A",HR_Data[[#This Row],[Salary]]&gt;=70000,"B",HR_Data[[#This Row],[Salary]]&gt;=50000,"C",TRUE(),"D")</f>
        <v>B</v>
      </c>
      <c r="V977" t="str">
        <f t="array" ref="V977">_xlfn.IFS(HR_Data[[#This Row],[Experience]]&gt;=15,"Expert",HR_Data[[#This Row],[Experience]]&gt;=8,"Senior",HR_Data[[#This Row],[Experience]]&gt;=3,"Mid-Level",TRUE(),"Junior")</f>
        <v>Expert</v>
      </c>
    </row>
    <row r="978" spans="1:22" ht="14.25" customHeight="1" x14ac:dyDescent="0.3">
      <c r="A978" t="s">
        <v>2110</v>
      </c>
      <c r="B978" t="s">
        <v>196</v>
      </c>
      <c r="C978" t="s">
        <v>32</v>
      </c>
      <c r="D978" t="s">
        <v>33</v>
      </c>
      <c r="E978">
        <v>29</v>
      </c>
      <c r="F978">
        <v>51071</v>
      </c>
      <c r="G978">
        <v>5</v>
      </c>
      <c r="H978" t="s">
        <v>2111</v>
      </c>
      <c r="I978" t="s">
        <v>80</v>
      </c>
      <c r="J978" t="s">
        <v>36</v>
      </c>
      <c r="K978" t="s">
        <v>29</v>
      </c>
      <c r="L978" t="str">
        <f t="array" ref="L978">_xlfn.IFS(HR_Data[[#This Row],[Experience]]&lt;2,"0-2 Years",HR_Data[[#This Row],[Experience]]&lt;5,"2-5 Years",HR_Data[[#This Row],[Experience]]&lt;10,"5-10 Years",TRUE(),"10+ Years")</f>
        <v>5-10 Years</v>
      </c>
      <c r="M978" t="str">
        <f t="array" ref="M978">_xlfn.IFS(HR_Data[[#This Row],[Salary]]&lt;40000,"Low",HR_Data[[#This Row],[Salary]]&lt;70000,"Medium",HR_Data[[#This Row],[Salary]]&lt;100000,"High",TRUE(),"Very High")</f>
        <v>Medium</v>
      </c>
      <c r="N978" t="str">
        <f t="array" ref="N978">_xlfn.IFS(HR_Data[[#This Row],[Age]]&lt;25,"18-24",HR_Data[[#This Row],[Age]]&lt;35,"25-34",HR_Data[[#This Row],[Age]]&lt;45,"35-44",TRUE(),"45+")</f>
        <v>25-34</v>
      </c>
      <c r="O978">
        <f>YEAR(HR_Data[[#This Row],[Joining Date]])</f>
        <v>2021</v>
      </c>
      <c r="P978" t="str">
        <f>TEXT(HR_Data[[#This Row],[Joining Date]],"mmmm")</f>
        <v>August</v>
      </c>
      <c r="Q978">
        <f t="array" ref="Q978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78">
        <f>HR_Data[[#This Row],[Salary]]*HR_Data[[#This Row],[Bonus %]]</f>
        <v>5107.1000000000004</v>
      </c>
      <c r="S978">
        <f>HR_Data[[#This Row],[Salary]]+HR_Data[[#This Row],[Bonus Amount]]</f>
        <v>56178.1</v>
      </c>
      <c r="T978" t="str">
        <f>IF(HR_Data[[#This Row],[Attrition]]="Yes","Inactive","Active")</f>
        <v>Active</v>
      </c>
      <c r="U978" t="str">
        <f t="array" ref="U978">_xlfn.IFS(HR_Data[[#This Row],[Salary]]&gt;=100000,"A",HR_Data[[#This Row],[Salary]]&gt;=70000,"B",HR_Data[[#This Row],[Salary]]&gt;=50000,"C",TRUE(),"D")</f>
        <v>C</v>
      </c>
      <c r="V978" t="str">
        <f t="array" ref="V978">_xlfn.IFS(HR_Data[[#This Row],[Experience]]&gt;=15,"Expert",HR_Data[[#This Row],[Experience]]&gt;=8,"Senior",HR_Data[[#This Row],[Experience]]&gt;=3,"Mid-Level",TRUE(),"Junior")</f>
        <v>Mid-Level</v>
      </c>
    </row>
    <row r="979" spans="1:22" ht="14.25" customHeight="1" x14ac:dyDescent="0.3">
      <c r="A979" t="s">
        <v>2112</v>
      </c>
      <c r="B979" t="s">
        <v>307</v>
      </c>
      <c r="C979" t="s">
        <v>70</v>
      </c>
      <c r="D979" t="s">
        <v>33</v>
      </c>
      <c r="E979">
        <v>33</v>
      </c>
      <c r="F979">
        <v>61410</v>
      </c>
      <c r="G979">
        <v>11</v>
      </c>
      <c r="H979" t="s">
        <v>2113</v>
      </c>
      <c r="I979" t="s">
        <v>35</v>
      </c>
      <c r="J979" t="s">
        <v>63</v>
      </c>
      <c r="K979" t="s">
        <v>29</v>
      </c>
      <c r="L979" t="str">
        <f t="array" ref="L979">_xlfn.IFS(HR_Data[[#This Row],[Experience]]&lt;2,"0-2 Years",HR_Data[[#This Row],[Experience]]&lt;5,"2-5 Years",HR_Data[[#This Row],[Experience]]&lt;10,"5-10 Years",TRUE(),"10+ Years")</f>
        <v>10+ Years</v>
      </c>
      <c r="M979" t="str">
        <f t="array" ref="M979">_xlfn.IFS(HR_Data[[#This Row],[Salary]]&lt;40000,"Low",HR_Data[[#This Row],[Salary]]&lt;70000,"Medium",HR_Data[[#This Row],[Salary]]&lt;100000,"High",TRUE(),"Very High")</f>
        <v>Medium</v>
      </c>
      <c r="N979" t="str">
        <f t="array" ref="N979">_xlfn.IFS(HR_Data[[#This Row],[Age]]&lt;25,"18-24",HR_Data[[#This Row],[Age]]&lt;35,"25-34",HR_Data[[#This Row],[Age]]&lt;45,"35-44",TRUE(),"45+")</f>
        <v>25-34</v>
      </c>
      <c r="O979">
        <f>YEAR(HR_Data[[#This Row],[Joining Date]])</f>
        <v>2023</v>
      </c>
      <c r="P979" t="str">
        <f>TEXT(HR_Data[[#This Row],[Joining Date]],"mmmm")</f>
        <v>October</v>
      </c>
      <c r="Q979">
        <f t="array" ref="Q979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979">
        <f>HR_Data[[#This Row],[Salary]]*HR_Data[[#This Row],[Bonus %]]</f>
        <v>12282</v>
      </c>
      <c r="S979">
        <f>HR_Data[[#This Row],[Salary]]+HR_Data[[#This Row],[Bonus Amount]]</f>
        <v>73692</v>
      </c>
      <c r="T979" t="str">
        <f>IF(HR_Data[[#This Row],[Attrition]]="Yes","Inactive","Active")</f>
        <v>Active</v>
      </c>
      <c r="U979" t="str">
        <f t="array" ref="U979">_xlfn.IFS(HR_Data[[#This Row],[Salary]]&gt;=100000,"A",HR_Data[[#This Row],[Salary]]&gt;=70000,"B",HR_Data[[#This Row],[Salary]]&gt;=50000,"C",TRUE(),"D")</f>
        <v>C</v>
      </c>
      <c r="V979" t="str">
        <f t="array" ref="V979">_xlfn.IFS(HR_Data[[#This Row],[Experience]]&gt;=15,"Expert",HR_Data[[#This Row],[Experience]]&gt;=8,"Senior",HR_Data[[#This Row],[Experience]]&gt;=3,"Mid-Level",TRUE(),"Junior")</f>
        <v>Senior</v>
      </c>
    </row>
    <row r="980" spans="1:22" ht="14.25" customHeight="1" x14ac:dyDescent="0.3">
      <c r="A980" t="s">
        <v>2114</v>
      </c>
      <c r="B980" t="s">
        <v>647</v>
      </c>
      <c r="C980" t="s">
        <v>32</v>
      </c>
      <c r="D980" t="s">
        <v>33</v>
      </c>
      <c r="E980">
        <v>53</v>
      </c>
      <c r="F980">
        <v>117285</v>
      </c>
      <c r="G980">
        <v>27</v>
      </c>
      <c r="H980" t="s">
        <v>2115</v>
      </c>
      <c r="I980" t="s">
        <v>72</v>
      </c>
      <c r="J980" t="s">
        <v>46</v>
      </c>
      <c r="K980" t="s">
        <v>29</v>
      </c>
      <c r="L980" t="str">
        <f t="array" ref="L980">_xlfn.IFS(HR_Data[[#This Row],[Experience]]&lt;2,"0-2 Years",HR_Data[[#This Row],[Experience]]&lt;5,"2-5 Years",HR_Data[[#This Row],[Experience]]&lt;10,"5-10 Years",TRUE(),"10+ Years")</f>
        <v>10+ Years</v>
      </c>
      <c r="M980" t="str">
        <f t="array" ref="M980">_xlfn.IFS(HR_Data[[#This Row],[Salary]]&lt;40000,"Low",HR_Data[[#This Row],[Salary]]&lt;70000,"Medium",HR_Data[[#This Row],[Salary]]&lt;100000,"High",TRUE(),"Very High")</f>
        <v>Very High</v>
      </c>
      <c r="N980" t="str">
        <f t="array" ref="N980">_xlfn.IFS(HR_Data[[#This Row],[Age]]&lt;25,"18-24",HR_Data[[#This Row],[Age]]&lt;35,"25-34",HR_Data[[#This Row],[Age]]&lt;45,"35-44",TRUE(),"45+")</f>
        <v>45+</v>
      </c>
      <c r="O980">
        <f>YEAR(HR_Data[[#This Row],[Joining Date]])</f>
        <v>2021</v>
      </c>
      <c r="P980" t="str">
        <f>TEXT(HR_Data[[#This Row],[Joining Date]],"mmmm")</f>
        <v>February</v>
      </c>
      <c r="Q980">
        <f t="array" ref="Q980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980">
        <f>HR_Data[[#This Row],[Salary]]*HR_Data[[#This Row],[Bonus %]]</f>
        <v>5864.25</v>
      </c>
      <c r="S980">
        <f>HR_Data[[#This Row],[Salary]]+HR_Data[[#This Row],[Bonus Amount]]</f>
        <v>123149.25</v>
      </c>
      <c r="T980" t="str">
        <f>IF(HR_Data[[#This Row],[Attrition]]="Yes","Inactive","Active")</f>
        <v>Active</v>
      </c>
      <c r="U980" t="str">
        <f t="array" ref="U980">_xlfn.IFS(HR_Data[[#This Row],[Salary]]&gt;=100000,"A",HR_Data[[#This Row],[Salary]]&gt;=70000,"B",HR_Data[[#This Row],[Salary]]&gt;=50000,"C",TRUE(),"D")</f>
        <v>A</v>
      </c>
      <c r="V980" t="str">
        <f t="array" ref="V980">_xlfn.IFS(HR_Data[[#This Row],[Experience]]&gt;=15,"Expert",HR_Data[[#This Row],[Experience]]&gt;=8,"Senior",HR_Data[[#This Row],[Experience]]&gt;=3,"Mid-Level",TRUE(),"Junior")</f>
        <v>Expert</v>
      </c>
    </row>
    <row r="981" spans="1:22" ht="14.25" customHeight="1" x14ac:dyDescent="0.3">
      <c r="A981" t="s">
        <v>2116</v>
      </c>
      <c r="B981" t="s">
        <v>868</v>
      </c>
      <c r="C981" t="s">
        <v>24</v>
      </c>
      <c r="D981" t="s">
        <v>25</v>
      </c>
      <c r="E981">
        <v>46</v>
      </c>
      <c r="F981">
        <v>89505</v>
      </c>
      <c r="G981">
        <v>22</v>
      </c>
      <c r="H981" t="s">
        <v>2117</v>
      </c>
      <c r="I981" t="s">
        <v>80</v>
      </c>
      <c r="J981" t="s">
        <v>28</v>
      </c>
      <c r="K981" t="s">
        <v>37</v>
      </c>
      <c r="L981" t="str">
        <f t="array" ref="L981">_xlfn.IFS(HR_Data[[#This Row],[Experience]]&lt;2,"0-2 Years",HR_Data[[#This Row],[Experience]]&lt;5,"2-5 Years",HR_Data[[#This Row],[Experience]]&lt;10,"5-10 Years",TRUE(),"10+ Years")</f>
        <v>10+ Years</v>
      </c>
      <c r="M981" t="str">
        <f t="array" ref="M981">_xlfn.IFS(HR_Data[[#This Row],[Salary]]&lt;40000,"Low",HR_Data[[#This Row],[Salary]]&lt;70000,"Medium",HR_Data[[#This Row],[Salary]]&lt;100000,"High",TRUE(),"Very High")</f>
        <v>High</v>
      </c>
      <c r="N981" t="str">
        <f t="array" ref="N981">_xlfn.IFS(HR_Data[[#This Row],[Age]]&lt;25,"18-24",HR_Data[[#This Row],[Age]]&lt;35,"25-34",HR_Data[[#This Row],[Age]]&lt;45,"35-44",TRUE(),"45+")</f>
        <v>45+</v>
      </c>
      <c r="O981">
        <f>YEAR(HR_Data[[#This Row],[Joining Date]])</f>
        <v>2025</v>
      </c>
      <c r="P981" t="str">
        <f>TEXT(HR_Data[[#This Row],[Joining Date]],"mmmm")</f>
        <v>January</v>
      </c>
      <c r="Q981">
        <f t="array" ref="Q981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81">
        <f>HR_Data[[#This Row],[Salary]]*HR_Data[[#This Row],[Bonus %]]</f>
        <v>13425.75</v>
      </c>
      <c r="S981">
        <f>HR_Data[[#This Row],[Salary]]+HR_Data[[#This Row],[Bonus Amount]]</f>
        <v>102930.75</v>
      </c>
      <c r="T981" t="str">
        <f>IF(HR_Data[[#This Row],[Attrition]]="Yes","Inactive","Active")</f>
        <v>Inactive</v>
      </c>
      <c r="U981" t="str">
        <f t="array" ref="U981">_xlfn.IFS(HR_Data[[#This Row],[Salary]]&gt;=100000,"A",HR_Data[[#This Row],[Salary]]&gt;=70000,"B",HR_Data[[#This Row],[Salary]]&gt;=50000,"C",TRUE(),"D")</f>
        <v>B</v>
      </c>
      <c r="V981" t="str">
        <f t="array" ref="V981">_xlfn.IFS(HR_Data[[#This Row],[Experience]]&gt;=15,"Expert",HR_Data[[#This Row],[Experience]]&gt;=8,"Senior",HR_Data[[#This Row],[Experience]]&gt;=3,"Mid-Level",TRUE(),"Junior")</f>
        <v>Expert</v>
      </c>
    </row>
    <row r="982" spans="1:22" ht="14.25" customHeight="1" x14ac:dyDescent="0.3">
      <c r="A982" t="s">
        <v>2118</v>
      </c>
      <c r="B982" t="s">
        <v>319</v>
      </c>
      <c r="C982" t="s">
        <v>55</v>
      </c>
      <c r="D982" t="s">
        <v>33</v>
      </c>
      <c r="E982">
        <v>57</v>
      </c>
      <c r="F982">
        <v>135651</v>
      </c>
      <c r="G982">
        <v>33</v>
      </c>
      <c r="H982" t="s">
        <v>2119</v>
      </c>
      <c r="I982" t="s">
        <v>42</v>
      </c>
      <c r="J982" t="s">
        <v>63</v>
      </c>
      <c r="K982" t="s">
        <v>29</v>
      </c>
      <c r="L982" t="str">
        <f t="array" ref="L982">_xlfn.IFS(HR_Data[[#This Row],[Experience]]&lt;2,"0-2 Years",HR_Data[[#This Row],[Experience]]&lt;5,"2-5 Years",HR_Data[[#This Row],[Experience]]&lt;10,"5-10 Years",TRUE(),"10+ Years")</f>
        <v>10+ Years</v>
      </c>
      <c r="M982" t="str">
        <f t="array" ref="M982">_xlfn.IFS(HR_Data[[#This Row],[Salary]]&lt;40000,"Low",HR_Data[[#This Row],[Salary]]&lt;70000,"Medium",HR_Data[[#This Row],[Salary]]&lt;100000,"High",TRUE(),"Very High")</f>
        <v>Very High</v>
      </c>
      <c r="N982" t="str">
        <f t="array" ref="N982">_xlfn.IFS(HR_Data[[#This Row],[Age]]&lt;25,"18-24",HR_Data[[#This Row],[Age]]&lt;35,"25-34",HR_Data[[#This Row],[Age]]&lt;45,"35-44",TRUE(),"45+")</f>
        <v>45+</v>
      </c>
      <c r="O982">
        <f>YEAR(HR_Data[[#This Row],[Joining Date]])</f>
        <v>2015</v>
      </c>
      <c r="P982" t="str">
        <f>TEXT(HR_Data[[#This Row],[Joining Date]],"mmmm")</f>
        <v>September</v>
      </c>
      <c r="Q982">
        <f t="array" ref="Q982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982">
        <f>HR_Data[[#This Row],[Salary]]*HR_Data[[#This Row],[Bonus %]]</f>
        <v>27130.2</v>
      </c>
      <c r="S982">
        <f>HR_Data[[#This Row],[Salary]]+HR_Data[[#This Row],[Bonus Amount]]</f>
        <v>162781.20000000001</v>
      </c>
      <c r="T982" t="str">
        <f>IF(HR_Data[[#This Row],[Attrition]]="Yes","Inactive","Active")</f>
        <v>Active</v>
      </c>
      <c r="U982" t="str">
        <f t="array" ref="U982">_xlfn.IFS(HR_Data[[#This Row],[Salary]]&gt;=100000,"A",HR_Data[[#This Row],[Salary]]&gt;=70000,"B",HR_Data[[#This Row],[Salary]]&gt;=50000,"C",TRUE(),"D")</f>
        <v>A</v>
      </c>
      <c r="V982" t="str">
        <f t="array" ref="V982">_xlfn.IFS(HR_Data[[#This Row],[Experience]]&gt;=15,"Expert",HR_Data[[#This Row],[Experience]]&gt;=8,"Senior",HR_Data[[#This Row],[Experience]]&gt;=3,"Mid-Level",TRUE(),"Junior")</f>
        <v>Expert</v>
      </c>
    </row>
    <row r="983" spans="1:22" ht="14.25" customHeight="1" x14ac:dyDescent="0.3">
      <c r="A983" t="s">
        <v>2120</v>
      </c>
      <c r="B983" t="s">
        <v>753</v>
      </c>
      <c r="C983" t="s">
        <v>112</v>
      </c>
      <c r="D983" t="s">
        <v>25</v>
      </c>
      <c r="E983">
        <v>42</v>
      </c>
      <c r="F983">
        <v>70778</v>
      </c>
      <c r="G983">
        <v>13</v>
      </c>
      <c r="H983" t="s">
        <v>2121</v>
      </c>
      <c r="I983" t="s">
        <v>57</v>
      </c>
      <c r="J983" t="s">
        <v>63</v>
      </c>
      <c r="K983" t="s">
        <v>29</v>
      </c>
      <c r="L983" t="str">
        <f t="array" ref="L983">_xlfn.IFS(HR_Data[[#This Row],[Experience]]&lt;2,"0-2 Years",HR_Data[[#This Row],[Experience]]&lt;5,"2-5 Years",HR_Data[[#This Row],[Experience]]&lt;10,"5-10 Years",TRUE(),"10+ Years")</f>
        <v>10+ Years</v>
      </c>
      <c r="M983" t="str">
        <f t="array" ref="M983">_xlfn.IFS(HR_Data[[#This Row],[Salary]]&lt;40000,"Low",HR_Data[[#This Row],[Salary]]&lt;70000,"Medium",HR_Data[[#This Row],[Salary]]&lt;100000,"High",TRUE(),"Very High")</f>
        <v>High</v>
      </c>
      <c r="N983" t="str">
        <f t="array" ref="N983">_xlfn.IFS(HR_Data[[#This Row],[Age]]&lt;25,"18-24",HR_Data[[#This Row],[Age]]&lt;35,"25-34",HR_Data[[#This Row],[Age]]&lt;45,"35-44",TRUE(),"45+")</f>
        <v>35-44</v>
      </c>
      <c r="O983">
        <f>YEAR(HR_Data[[#This Row],[Joining Date]])</f>
        <v>2023</v>
      </c>
      <c r="P983" t="str">
        <f>TEXT(HR_Data[[#This Row],[Joining Date]],"mmmm")</f>
        <v>May</v>
      </c>
      <c r="Q983">
        <f t="array" ref="Q983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983">
        <f>HR_Data[[#This Row],[Salary]]*HR_Data[[#This Row],[Bonus %]]</f>
        <v>14155.6</v>
      </c>
      <c r="S983">
        <f>HR_Data[[#This Row],[Salary]]+HR_Data[[#This Row],[Bonus Amount]]</f>
        <v>84933.6</v>
      </c>
      <c r="T983" t="str">
        <f>IF(HR_Data[[#This Row],[Attrition]]="Yes","Inactive","Active")</f>
        <v>Active</v>
      </c>
      <c r="U983" t="str">
        <f t="array" ref="U983">_xlfn.IFS(HR_Data[[#This Row],[Salary]]&gt;=100000,"A",HR_Data[[#This Row],[Salary]]&gt;=70000,"B",HR_Data[[#This Row],[Salary]]&gt;=50000,"C",TRUE(),"D")</f>
        <v>B</v>
      </c>
      <c r="V983" t="str">
        <f t="array" ref="V983">_xlfn.IFS(HR_Data[[#This Row],[Experience]]&gt;=15,"Expert",HR_Data[[#This Row],[Experience]]&gt;=8,"Senior",HR_Data[[#This Row],[Experience]]&gt;=3,"Mid-Level",TRUE(),"Junior")</f>
        <v>Senior</v>
      </c>
    </row>
    <row r="984" spans="1:22" ht="14.25" customHeight="1" x14ac:dyDescent="0.3">
      <c r="A984" t="s">
        <v>2122</v>
      </c>
      <c r="B984" t="s">
        <v>276</v>
      </c>
      <c r="C984" t="s">
        <v>75</v>
      </c>
      <c r="D984" t="s">
        <v>33</v>
      </c>
      <c r="E984">
        <v>57</v>
      </c>
      <c r="F984">
        <v>120336</v>
      </c>
      <c r="G984">
        <v>29</v>
      </c>
      <c r="H984" t="s">
        <v>34</v>
      </c>
      <c r="I984" t="s">
        <v>42</v>
      </c>
      <c r="J984" t="s">
        <v>36</v>
      </c>
      <c r="K984" t="s">
        <v>29</v>
      </c>
      <c r="L984" t="str">
        <f t="array" ref="L984">_xlfn.IFS(HR_Data[[#This Row],[Experience]]&lt;2,"0-2 Years",HR_Data[[#This Row],[Experience]]&lt;5,"2-5 Years",HR_Data[[#This Row],[Experience]]&lt;10,"5-10 Years",TRUE(),"10+ Years")</f>
        <v>10+ Years</v>
      </c>
      <c r="M984" t="str">
        <f t="array" ref="M984">_xlfn.IFS(HR_Data[[#This Row],[Salary]]&lt;40000,"Low",HR_Data[[#This Row],[Salary]]&lt;70000,"Medium",HR_Data[[#This Row],[Salary]]&lt;100000,"High",TRUE(),"Very High")</f>
        <v>Very High</v>
      </c>
      <c r="N984" t="str">
        <f t="array" ref="N984">_xlfn.IFS(HR_Data[[#This Row],[Age]]&lt;25,"18-24",HR_Data[[#This Row],[Age]]&lt;35,"25-34",HR_Data[[#This Row],[Age]]&lt;45,"35-44",TRUE(),"45+")</f>
        <v>45+</v>
      </c>
      <c r="O984">
        <f>YEAR(HR_Data[[#This Row],[Joining Date]])</f>
        <v>2020</v>
      </c>
      <c r="P984" t="str">
        <f>TEXT(HR_Data[[#This Row],[Joining Date]],"mmmm")</f>
        <v>March</v>
      </c>
      <c r="Q984">
        <f t="array" ref="Q984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84">
        <f>HR_Data[[#This Row],[Salary]]*HR_Data[[#This Row],[Bonus %]]</f>
        <v>12033.6</v>
      </c>
      <c r="S984">
        <f>HR_Data[[#This Row],[Salary]]+HR_Data[[#This Row],[Bonus Amount]]</f>
        <v>132369.60000000001</v>
      </c>
      <c r="T984" t="str">
        <f>IF(HR_Data[[#This Row],[Attrition]]="Yes","Inactive","Active")</f>
        <v>Active</v>
      </c>
      <c r="U984" t="str">
        <f t="array" ref="U984">_xlfn.IFS(HR_Data[[#This Row],[Salary]]&gt;=100000,"A",HR_Data[[#This Row],[Salary]]&gt;=70000,"B",HR_Data[[#This Row],[Salary]]&gt;=50000,"C",TRUE(),"D")</f>
        <v>A</v>
      </c>
      <c r="V984" t="str">
        <f t="array" ref="V984">_xlfn.IFS(HR_Data[[#This Row],[Experience]]&gt;=15,"Expert",HR_Data[[#This Row],[Experience]]&gt;=8,"Senior",HR_Data[[#This Row],[Experience]]&gt;=3,"Mid-Level",TRUE(),"Junior")</f>
        <v>Expert</v>
      </c>
    </row>
    <row r="985" spans="1:22" ht="14.25" customHeight="1" x14ac:dyDescent="0.3">
      <c r="A985" t="s">
        <v>2123</v>
      </c>
      <c r="B985" t="s">
        <v>102</v>
      </c>
      <c r="C985" t="s">
        <v>55</v>
      </c>
      <c r="D985" t="s">
        <v>33</v>
      </c>
      <c r="E985">
        <v>58</v>
      </c>
      <c r="F985">
        <v>148919</v>
      </c>
      <c r="G985">
        <v>35</v>
      </c>
      <c r="H985" t="s">
        <v>295</v>
      </c>
      <c r="I985" t="s">
        <v>57</v>
      </c>
      <c r="J985" t="s">
        <v>36</v>
      </c>
      <c r="K985" t="s">
        <v>29</v>
      </c>
      <c r="L985" t="str">
        <f t="array" ref="L985">_xlfn.IFS(HR_Data[[#This Row],[Experience]]&lt;2,"0-2 Years",HR_Data[[#This Row],[Experience]]&lt;5,"2-5 Years",HR_Data[[#This Row],[Experience]]&lt;10,"5-10 Years",TRUE(),"10+ Years")</f>
        <v>10+ Years</v>
      </c>
      <c r="M985" t="str">
        <f t="array" ref="M985">_xlfn.IFS(HR_Data[[#This Row],[Salary]]&lt;40000,"Low",HR_Data[[#This Row],[Salary]]&lt;70000,"Medium",HR_Data[[#This Row],[Salary]]&lt;100000,"High",TRUE(),"Very High")</f>
        <v>Very High</v>
      </c>
      <c r="N985" t="str">
        <f t="array" ref="N985">_xlfn.IFS(HR_Data[[#This Row],[Age]]&lt;25,"18-24",HR_Data[[#This Row],[Age]]&lt;35,"25-34",HR_Data[[#This Row],[Age]]&lt;45,"35-44",TRUE(),"45+")</f>
        <v>45+</v>
      </c>
      <c r="O985">
        <f>YEAR(HR_Data[[#This Row],[Joining Date]])</f>
        <v>2016</v>
      </c>
      <c r="P985" t="str">
        <f>TEXT(HR_Data[[#This Row],[Joining Date]],"mmmm")</f>
        <v>September</v>
      </c>
      <c r="Q985">
        <f t="array" ref="Q98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85">
        <f>HR_Data[[#This Row],[Salary]]*HR_Data[[#This Row],[Bonus %]]</f>
        <v>14891.900000000001</v>
      </c>
      <c r="S985">
        <f>HR_Data[[#This Row],[Salary]]+HR_Data[[#This Row],[Bonus Amount]]</f>
        <v>163810.9</v>
      </c>
      <c r="T985" t="str">
        <f>IF(HR_Data[[#This Row],[Attrition]]="Yes","Inactive","Active")</f>
        <v>Active</v>
      </c>
      <c r="U985" t="str">
        <f t="array" ref="U985">_xlfn.IFS(HR_Data[[#This Row],[Salary]]&gt;=100000,"A",HR_Data[[#This Row],[Salary]]&gt;=70000,"B",HR_Data[[#This Row],[Salary]]&gt;=50000,"C",TRUE(),"D")</f>
        <v>A</v>
      </c>
      <c r="V985" t="str">
        <f t="array" ref="V985">_xlfn.IFS(HR_Data[[#This Row],[Experience]]&gt;=15,"Expert",HR_Data[[#This Row],[Experience]]&gt;=8,"Senior",HR_Data[[#This Row],[Experience]]&gt;=3,"Mid-Level",TRUE(),"Junior")</f>
        <v>Expert</v>
      </c>
    </row>
    <row r="986" spans="1:22" ht="14.25" customHeight="1" x14ac:dyDescent="0.3">
      <c r="A986" t="s">
        <v>2124</v>
      </c>
      <c r="B986" t="s">
        <v>279</v>
      </c>
      <c r="C986" t="s">
        <v>70</v>
      </c>
      <c r="D986" t="s">
        <v>25</v>
      </c>
      <c r="E986">
        <v>29</v>
      </c>
      <c r="F986">
        <v>42939</v>
      </c>
      <c r="G986">
        <v>3</v>
      </c>
      <c r="H986" t="s">
        <v>2125</v>
      </c>
      <c r="I986" t="s">
        <v>72</v>
      </c>
      <c r="J986" t="s">
        <v>90</v>
      </c>
      <c r="K986" t="s">
        <v>29</v>
      </c>
      <c r="L986" t="str">
        <f t="array" ref="L986">_xlfn.IFS(HR_Data[[#This Row],[Experience]]&lt;2,"0-2 Years",HR_Data[[#This Row],[Experience]]&lt;5,"2-5 Years",HR_Data[[#This Row],[Experience]]&lt;10,"5-10 Years",TRUE(),"10+ Years")</f>
        <v>2-5 Years</v>
      </c>
      <c r="M986" t="str">
        <f t="array" ref="M986">_xlfn.IFS(HR_Data[[#This Row],[Salary]]&lt;40000,"Low",HR_Data[[#This Row],[Salary]]&lt;70000,"Medium",HR_Data[[#This Row],[Salary]]&lt;100000,"High",TRUE(),"Very High")</f>
        <v>Medium</v>
      </c>
      <c r="N986" t="str">
        <f t="array" ref="N986">_xlfn.IFS(HR_Data[[#This Row],[Age]]&lt;25,"18-24",HR_Data[[#This Row],[Age]]&lt;35,"25-34",HR_Data[[#This Row],[Age]]&lt;45,"35-44",TRUE(),"45+")</f>
        <v>25-34</v>
      </c>
      <c r="O986">
        <f>YEAR(HR_Data[[#This Row],[Joining Date]])</f>
        <v>2016</v>
      </c>
      <c r="P986" t="str">
        <f>TEXT(HR_Data[[#This Row],[Joining Date]],"mmmm")</f>
        <v>January</v>
      </c>
      <c r="Q986">
        <f t="array" ref="Q986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986">
        <f>HR_Data[[#This Row],[Salary]]*HR_Data[[#This Row],[Bonus %]]</f>
        <v>0</v>
      </c>
      <c r="S986">
        <f>HR_Data[[#This Row],[Salary]]+HR_Data[[#This Row],[Bonus Amount]]</f>
        <v>42939</v>
      </c>
      <c r="T986" t="str">
        <f>IF(HR_Data[[#This Row],[Attrition]]="Yes","Inactive","Active")</f>
        <v>Active</v>
      </c>
      <c r="U986" t="str">
        <f t="array" ref="U986">_xlfn.IFS(HR_Data[[#This Row],[Salary]]&gt;=100000,"A",HR_Data[[#This Row],[Salary]]&gt;=70000,"B",HR_Data[[#This Row],[Salary]]&gt;=50000,"C",TRUE(),"D")</f>
        <v>D</v>
      </c>
      <c r="V986" t="str">
        <f t="array" ref="V986">_xlfn.IFS(HR_Data[[#This Row],[Experience]]&gt;=15,"Expert",HR_Data[[#This Row],[Experience]]&gt;=8,"Senior",HR_Data[[#This Row],[Experience]]&gt;=3,"Mid-Level",TRUE(),"Junior")</f>
        <v>Mid-Level</v>
      </c>
    </row>
    <row r="987" spans="1:22" ht="14.25" customHeight="1" x14ac:dyDescent="0.3">
      <c r="A987" t="s">
        <v>2126</v>
      </c>
      <c r="B987" t="s">
        <v>193</v>
      </c>
      <c r="C987" t="s">
        <v>93</v>
      </c>
      <c r="D987" t="s">
        <v>25</v>
      </c>
      <c r="E987">
        <v>46</v>
      </c>
      <c r="F987">
        <v>112687</v>
      </c>
      <c r="G987">
        <v>24</v>
      </c>
      <c r="H987" t="s">
        <v>2127</v>
      </c>
      <c r="I987" t="s">
        <v>132</v>
      </c>
      <c r="J987" t="s">
        <v>28</v>
      </c>
      <c r="K987" t="s">
        <v>29</v>
      </c>
      <c r="L987" t="str">
        <f t="array" ref="L987">_xlfn.IFS(HR_Data[[#This Row],[Experience]]&lt;2,"0-2 Years",HR_Data[[#This Row],[Experience]]&lt;5,"2-5 Years",HR_Data[[#This Row],[Experience]]&lt;10,"5-10 Years",TRUE(),"10+ Years")</f>
        <v>10+ Years</v>
      </c>
      <c r="M987" t="str">
        <f t="array" ref="M987">_xlfn.IFS(HR_Data[[#This Row],[Salary]]&lt;40000,"Low",HR_Data[[#This Row],[Salary]]&lt;70000,"Medium",HR_Data[[#This Row],[Salary]]&lt;100000,"High",TRUE(),"Very High")</f>
        <v>Very High</v>
      </c>
      <c r="N987" t="str">
        <f t="array" ref="N987">_xlfn.IFS(HR_Data[[#This Row],[Age]]&lt;25,"18-24",HR_Data[[#This Row],[Age]]&lt;35,"25-34",HR_Data[[#This Row],[Age]]&lt;45,"35-44",TRUE(),"45+")</f>
        <v>45+</v>
      </c>
      <c r="O987">
        <f>YEAR(HR_Data[[#This Row],[Joining Date]])</f>
        <v>2015</v>
      </c>
      <c r="P987" t="str">
        <f>TEXT(HR_Data[[#This Row],[Joining Date]],"mmmm")</f>
        <v>June</v>
      </c>
      <c r="Q987">
        <f t="array" ref="Q987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87">
        <f>HR_Data[[#This Row],[Salary]]*HR_Data[[#This Row],[Bonus %]]</f>
        <v>16903.05</v>
      </c>
      <c r="S987">
        <f>HR_Data[[#This Row],[Salary]]+HR_Data[[#This Row],[Bonus Amount]]</f>
        <v>129590.05</v>
      </c>
      <c r="T987" t="str">
        <f>IF(HR_Data[[#This Row],[Attrition]]="Yes","Inactive","Active")</f>
        <v>Active</v>
      </c>
      <c r="U987" t="str">
        <f t="array" ref="U987">_xlfn.IFS(HR_Data[[#This Row],[Salary]]&gt;=100000,"A",HR_Data[[#This Row],[Salary]]&gt;=70000,"B",HR_Data[[#This Row],[Salary]]&gt;=50000,"C",TRUE(),"D")</f>
        <v>A</v>
      </c>
      <c r="V987" t="str">
        <f t="array" ref="V987">_xlfn.IFS(HR_Data[[#This Row],[Experience]]&gt;=15,"Expert",HR_Data[[#This Row],[Experience]]&gt;=8,"Senior",HR_Data[[#This Row],[Experience]]&gt;=3,"Mid-Level",TRUE(),"Junior")</f>
        <v>Expert</v>
      </c>
    </row>
    <row r="988" spans="1:22" ht="14.25" customHeight="1" x14ac:dyDescent="0.3">
      <c r="A988" t="s">
        <v>2128</v>
      </c>
      <c r="B988" t="s">
        <v>245</v>
      </c>
      <c r="C988" t="s">
        <v>32</v>
      </c>
      <c r="D988" t="s">
        <v>25</v>
      </c>
      <c r="E988">
        <v>44</v>
      </c>
      <c r="F988">
        <v>114480</v>
      </c>
      <c r="G988">
        <v>25</v>
      </c>
      <c r="H988" t="s">
        <v>2129</v>
      </c>
      <c r="I988" t="s">
        <v>80</v>
      </c>
      <c r="J988" t="s">
        <v>28</v>
      </c>
      <c r="K988" t="s">
        <v>37</v>
      </c>
      <c r="L988" t="str">
        <f t="array" ref="L988">_xlfn.IFS(HR_Data[[#This Row],[Experience]]&lt;2,"0-2 Years",HR_Data[[#This Row],[Experience]]&lt;5,"2-5 Years",HR_Data[[#This Row],[Experience]]&lt;10,"5-10 Years",TRUE(),"10+ Years")</f>
        <v>10+ Years</v>
      </c>
      <c r="M988" t="str">
        <f t="array" ref="M988">_xlfn.IFS(HR_Data[[#This Row],[Salary]]&lt;40000,"Low",HR_Data[[#This Row],[Salary]]&lt;70000,"Medium",HR_Data[[#This Row],[Salary]]&lt;100000,"High",TRUE(),"Very High")</f>
        <v>Very High</v>
      </c>
      <c r="N988" t="str">
        <f t="array" ref="N988">_xlfn.IFS(HR_Data[[#This Row],[Age]]&lt;25,"18-24",HR_Data[[#This Row],[Age]]&lt;35,"25-34",HR_Data[[#This Row],[Age]]&lt;45,"35-44",TRUE(),"45+")</f>
        <v>35-44</v>
      </c>
      <c r="O988">
        <f>YEAR(HR_Data[[#This Row],[Joining Date]])</f>
        <v>2015</v>
      </c>
      <c r="P988" t="str">
        <f>TEXT(HR_Data[[#This Row],[Joining Date]],"mmmm")</f>
        <v>November</v>
      </c>
      <c r="Q988">
        <f t="array" ref="Q988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88">
        <f>HR_Data[[#This Row],[Salary]]*HR_Data[[#This Row],[Bonus %]]</f>
        <v>17172</v>
      </c>
      <c r="S988">
        <f>HR_Data[[#This Row],[Salary]]+HR_Data[[#This Row],[Bonus Amount]]</f>
        <v>131652</v>
      </c>
      <c r="T988" t="str">
        <f>IF(HR_Data[[#This Row],[Attrition]]="Yes","Inactive","Active")</f>
        <v>Inactive</v>
      </c>
      <c r="U988" t="str">
        <f t="array" ref="U988">_xlfn.IFS(HR_Data[[#This Row],[Salary]]&gt;=100000,"A",HR_Data[[#This Row],[Salary]]&gt;=70000,"B",HR_Data[[#This Row],[Salary]]&gt;=50000,"C",TRUE(),"D")</f>
        <v>A</v>
      </c>
      <c r="V988" t="str">
        <f t="array" ref="V988">_xlfn.IFS(HR_Data[[#This Row],[Experience]]&gt;=15,"Expert",HR_Data[[#This Row],[Experience]]&gt;=8,"Senior",HR_Data[[#This Row],[Experience]]&gt;=3,"Mid-Level",TRUE(),"Junior")</f>
        <v>Expert</v>
      </c>
    </row>
    <row r="989" spans="1:22" ht="14.25" customHeight="1" x14ac:dyDescent="0.3">
      <c r="A989" t="s">
        <v>2130</v>
      </c>
      <c r="B989" t="s">
        <v>582</v>
      </c>
      <c r="C989" t="s">
        <v>32</v>
      </c>
      <c r="D989" t="s">
        <v>25</v>
      </c>
      <c r="E989">
        <v>44</v>
      </c>
      <c r="F989">
        <v>94118</v>
      </c>
      <c r="G989">
        <v>20</v>
      </c>
      <c r="H989" t="s">
        <v>2131</v>
      </c>
      <c r="I989" t="s">
        <v>35</v>
      </c>
      <c r="J989" t="s">
        <v>36</v>
      </c>
      <c r="K989" t="s">
        <v>29</v>
      </c>
      <c r="L989" t="str">
        <f t="array" ref="L989">_xlfn.IFS(HR_Data[[#This Row],[Experience]]&lt;2,"0-2 Years",HR_Data[[#This Row],[Experience]]&lt;5,"2-5 Years",HR_Data[[#This Row],[Experience]]&lt;10,"5-10 Years",TRUE(),"10+ Years")</f>
        <v>10+ Years</v>
      </c>
      <c r="M989" t="str">
        <f t="array" ref="M989">_xlfn.IFS(HR_Data[[#This Row],[Salary]]&lt;40000,"Low",HR_Data[[#This Row],[Salary]]&lt;70000,"Medium",HR_Data[[#This Row],[Salary]]&lt;100000,"High",TRUE(),"Very High")</f>
        <v>High</v>
      </c>
      <c r="N989" t="str">
        <f t="array" ref="N989">_xlfn.IFS(HR_Data[[#This Row],[Age]]&lt;25,"18-24",HR_Data[[#This Row],[Age]]&lt;35,"25-34",HR_Data[[#This Row],[Age]]&lt;45,"35-44",TRUE(),"45+")</f>
        <v>35-44</v>
      </c>
      <c r="O989">
        <f>YEAR(HR_Data[[#This Row],[Joining Date]])</f>
        <v>2016</v>
      </c>
      <c r="P989" t="str">
        <f>TEXT(HR_Data[[#This Row],[Joining Date]],"mmmm")</f>
        <v>October</v>
      </c>
      <c r="Q989">
        <f t="array" ref="Q989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89">
        <f>HR_Data[[#This Row],[Salary]]*HR_Data[[#This Row],[Bonus %]]</f>
        <v>9411.8000000000011</v>
      </c>
      <c r="S989">
        <f>HR_Data[[#This Row],[Salary]]+HR_Data[[#This Row],[Bonus Amount]]</f>
        <v>103529.8</v>
      </c>
      <c r="T989" t="str">
        <f>IF(HR_Data[[#This Row],[Attrition]]="Yes","Inactive","Active")</f>
        <v>Active</v>
      </c>
      <c r="U989" t="str">
        <f t="array" ref="U989">_xlfn.IFS(HR_Data[[#This Row],[Salary]]&gt;=100000,"A",HR_Data[[#This Row],[Salary]]&gt;=70000,"B",HR_Data[[#This Row],[Salary]]&gt;=50000,"C",TRUE(),"D")</f>
        <v>B</v>
      </c>
      <c r="V989" t="str">
        <f t="array" ref="V989">_xlfn.IFS(HR_Data[[#This Row],[Experience]]&gt;=15,"Expert",HR_Data[[#This Row],[Experience]]&gt;=8,"Senior",HR_Data[[#This Row],[Experience]]&gt;=3,"Mid-Level",TRUE(),"Junior")</f>
        <v>Expert</v>
      </c>
    </row>
    <row r="990" spans="1:22" ht="14.25" customHeight="1" x14ac:dyDescent="0.3">
      <c r="A990" t="s">
        <v>2132</v>
      </c>
      <c r="B990" t="s">
        <v>96</v>
      </c>
      <c r="C990" t="s">
        <v>112</v>
      </c>
      <c r="D990" t="s">
        <v>33</v>
      </c>
      <c r="E990">
        <v>60</v>
      </c>
      <c r="F990">
        <v>120178</v>
      </c>
      <c r="G990">
        <v>31</v>
      </c>
      <c r="H990" t="s">
        <v>2133</v>
      </c>
      <c r="I990" t="s">
        <v>42</v>
      </c>
      <c r="J990" t="s">
        <v>90</v>
      </c>
      <c r="K990" t="s">
        <v>37</v>
      </c>
      <c r="L990" t="str">
        <f t="array" ref="L990">_xlfn.IFS(HR_Data[[#This Row],[Experience]]&lt;2,"0-2 Years",HR_Data[[#This Row],[Experience]]&lt;5,"2-5 Years",HR_Data[[#This Row],[Experience]]&lt;10,"5-10 Years",TRUE(),"10+ Years")</f>
        <v>10+ Years</v>
      </c>
      <c r="M990" t="str">
        <f t="array" ref="M990">_xlfn.IFS(HR_Data[[#This Row],[Salary]]&lt;40000,"Low",HR_Data[[#This Row],[Salary]]&lt;70000,"Medium",HR_Data[[#This Row],[Salary]]&lt;100000,"High",TRUE(),"Very High")</f>
        <v>Very High</v>
      </c>
      <c r="N990" t="str">
        <f t="array" ref="N990">_xlfn.IFS(HR_Data[[#This Row],[Age]]&lt;25,"18-24",HR_Data[[#This Row],[Age]]&lt;35,"25-34",HR_Data[[#This Row],[Age]]&lt;45,"35-44",TRUE(),"45+")</f>
        <v>45+</v>
      </c>
      <c r="O990">
        <f>YEAR(HR_Data[[#This Row],[Joining Date]])</f>
        <v>2023</v>
      </c>
      <c r="P990" t="str">
        <f>TEXT(HR_Data[[#This Row],[Joining Date]],"mmmm")</f>
        <v>May</v>
      </c>
      <c r="Q990">
        <f t="array" ref="Q990">_xlfn.IFS(HR_Data[[#This Row],[Performance Rating]]="Excellent",20%,HR_Data[[#This Row],[Performance Rating]]="Very Good",15%,HR_Data[[#This Row],[Performance Rating]]="Good",10%,HR_Data[[#This Row],[Performance Rating]]="Average",5%,TRUE(),0%)</f>
        <v>0</v>
      </c>
      <c r="R990">
        <f>HR_Data[[#This Row],[Salary]]*HR_Data[[#This Row],[Bonus %]]</f>
        <v>0</v>
      </c>
      <c r="S990">
        <f>HR_Data[[#This Row],[Salary]]+HR_Data[[#This Row],[Bonus Amount]]</f>
        <v>120178</v>
      </c>
      <c r="T990" t="str">
        <f>IF(HR_Data[[#This Row],[Attrition]]="Yes","Inactive","Active")</f>
        <v>Inactive</v>
      </c>
      <c r="U990" t="str">
        <f t="array" ref="U990">_xlfn.IFS(HR_Data[[#This Row],[Salary]]&gt;=100000,"A",HR_Data[[#This Row],[Salary]]&gt;=70000,"B",HR_Data[[#This Row],[Salary]]&gt;=50000,"C",TRUE(),"D")</f>
        <v>A</v>
      </c>
      <c r="V990" t="str">
        <f t="array" ref="V990">_xlfn.IFS(HR_Data[[#This Row],[Experience]]&gt;=15,"Expert",HR_Data[[#This Row],[Experience]]&gt;=8,"Senior",HR_Data[[#This Row],[Experience]]&gt;=3,"Mid-Level",TRUE(),"Junior")</f>
        <v>Expert</v>
      </c>
    </row>
    <row r="991" spans="1:22" ht="14.25" customHeight="1" x14ac:dyDescent="0.3">
      <c r="A991" t="s">
        <v>2134</v>
      </c>
      <c r="B991" t="s">
        <v>349</v>
      </c>
      <c r="C991" t="s">
        <v>112</v>
      </c>
      <c r="D991" t="s">
        <v>33</v>
      </c>
      <c r="E991">
        <v>50</v>
      </c>
      <c r="F991">
        <v>95276</v>
      </c>
      <c r="G991">
        <v>20</v>
      </c>
      <c r="H991" t="s">
        <v>2135</v>
      </c>
      <c r="I991" t="s">
        <v>80</v>
      </c>
      <c r="J991" t="s">
        <v>28</v>
      </c>
      <c r="K991" t="s">
        <v>29</v>
      </c>
      <c r="L991" t="str">
        <f t="array" ref="L991">_xlfn.IFS(HR_Data[[#This Row],[Experience]]&lt;2,"0-2 Years",HR_Data[[#This Row],[Experience]]&lt;5,"2-5 Years",HR_Data[[#This Row],[Experience]]&lt;10,"5-10 Years",TRUE(),"10+ Years")</f>
        <v>10+ Years</v>
      </c>
      <c r="M991" t="str">
        <f t="array" ref="M991">_xlfn.IFS(HR_Data[[#This Row],[Salary]]&lt;40000,"Low",HR_Data[[#This Row],[Salary]]&lt;70000,"Medium",HR_Data[[#This Row],[Salary]]&lt;100000,"High",TRUE(),"Very High")</f>
        <v>High</v>
      </c>
      <c r="N991" t="str">
        <f t="array" ref="N991">_xlfn.IFS(HR_Data[[#This Row],[Age]]&lt;25,"18-24",HR_Data[[#This Row],[Age]]&lt;35,"25-34",HR_Data[[#This Row],[Age]]&lt;45,"35-44",TRUE(),"45+")</f>
        <v>45+</v>
      </c>
      <c r="O991">
        <f>YEAR(HR_Data[[#This Row],[Joining Date]])</f>
        <v>2020</v>
      </c>
      <c r="P991" t="str">
        <f>TEXT(HR_Data[[#This Row],[Joining Date]],"mmmm")</f>
        <v>January</v>
      </c>
      <c r="Q991">
        <f t="array" ref="Q991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91">
        <f>HR_Data[[#This Row],[Salary]]*HR_Data[[#This Row],[Bonus %]]</f>
        <v>14291.4</v>
      </c>
      <c r="S991">
        <f>HR_Data[[#This Row],[Salary]]+HR_Data[[#This Row],[Bonus Amount]]</f>
        <v>109567.4</v>
      </c>
      <c r="T991" t="str">
        <f>IF(HR_Data[[#This Row],[Attrition]]="Yes","Inactive","Active")</f>
        <v>Active</v>
      </c>
      <c r="U991" t="str">
        <f t="array" ref="U991">_xlfn.IFS(HR_Data[[#This Row],[Salary]]&gt;=100000,"A",HR_Data[[#This Row],[Salary]]&gt;=70000,"B",HR_Data[[#This Row],[Salary]]&gt;=50000,"C",TRUE(),"D")</f>
        <v>B</v>
      </c>
      <c r="V991" t="str">
        <f t="array" ref="V991">_xlfn.IFS(HR_Data[[#This Row],[Experience]]&gt;=15,"Expert",HR_Data[[#This Row],[Experience]]&gt;=8,"Senior",HR_Data[[#This Row],[Experience]]&gt;=3,"Mid-Level",TRUE(),"Junior")</f>
        <v>Expert</v>
      </c>
    </row>
    <row r="992" spans="1:22" ht="14.25" customHeight="1" x14ac:dyDescent="0.3">
      <c r="A992" t="s">
        <v>2136</v>
      </c>
      <c r="B992" t="s">
        <v>647</v>
      </c>
      <c r="C992" t="s">
        <v>134</v>
      </c>
      <c r="D992" t="s">
        <v>33</v>
      </c>
      <c r="E992">
        <v>22</v>
      </c>
      <c r="F992">
        <v>25000</v>
      </c>
      <c r="G992">
        <v>2</v>
      </c>
      <c r="H992" t="s">
        <v>2137</v>
      </c>
      <c r="I992" t="s">
        <v>132</v>
      </c>
      <c r="J992" t="s">
        <v>63</v>
      </c>
      <c r="K992" t="s">
        <v>29</v>
      </c>
      <c r="L992" t="str">
        <f t="array" ref="L992">_xlfn.IFS(HR_Data[[#This Row],[Experience]]&lt;2,"0-2 Years",HR_Data[[#This Row],[Experience]]&lt;5,"2-5 Years",HR_Data[[#This Row],[Experience]]&lt;10,"5-10 Years",TRUE(),"10+ Years")</f>
        <v>2-5 Years</v>
      </c>
      <c r="M992" t="str">
        <f t="array" ref="M992">_xlfn.IFS(HR_Data[[#This Row],[Salary]]&lt;40000,"Low",HR_Data[[#This Row],[Salary]]&lt;70000,"Medium",HR_Data[[#This Row],[Salary]]&lt;100000,"High",TRUE(),"Very High")</f>
        <v>Low</v>
      </c>
      <c r="N992" t="str">
        <f t="array" ref="N992">_xlfn.IFS(HR_Data[[#This Row],[Age]]&lt;25,"18-24",HR_Data[[#This Row],[Age]]&lt;35,"25-34",HR_Data[[#This Row],[Age]]&lt;45,"35-44",TRUE(),"45+")</f>
        <v>18-24</v>
      </c>
      <c r="O992">
        <f>YEAR(HR_Data[[#This Row],[Joining Date]])</f>
        <v>2021</v>
      </c>
      <c r="P992" t="str">
        <f>TEXT(HR_Data[[#This Row],[Joining Date]],"mmmm")</f>
        <v>October</v>
      </c>
      <c r="Q992">
        <f t="array" ref="Q992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992">
        <f>HR_Data[[#This Row],[Salary]]*HR_Data[[#This Row],[Bonus %]]</f>
        <v>5000</v>
      </c>
      <c r="S992">
        <f>HR_Data[[#This Row],[Salary]]+HR_Data[[#This Row],[Bonus Amount]]</f>
        <v>30000</v>
      </c>
      <c r="T992" t="str">
        <f>IF(HR_Data[[#This Row],[Attrition]]="Yes","Inactive","Active")</f>
        <v>Active</v>
      </c>
      <c r="U992" t="str">
        <f t="array" ref="U992">_xlfn.IFS(HR_Data[[#This Row],[Salary]]&gt;=100000,"A",HR_Data[[#This Row],[Salary]]&gt;=70000,"B",HR_Data[[#This Row],[Salary]]&gt;=50000,"C",TRUE(),"D")</f>
        <v>D</v>
      </c>
      <c r="V992" t="str">
        <f t="array" ref="V992">_xlfn.IFS(HR_Data[[#This Row],[Experience]]&gt;=15,"Expert",HR_Data[[#This Row],[Experience]]&gt;=8,"Senior",HR_Data[[#This Row],[Experience]]&gt;=3,"Mid-Level",TRUE(),"Junior")</f>
        <v>Junior</v>
      </c>
    </row>
    <row r="993" spans="1:22" ht="14.25" customHeight="1" x14ac:dyDescent="0.3">
      <c r="A993" t="s">
        <v>2138</v>
      </c>
      <c r="B993" t="s">
        <v>798</v>
      </c>
      <c r="C993" t="s">
        <v>40</v>
      </c>
      <c r="D993" t="s">
        <v>33</v>
      </c>
      <c r="E993">
        <v>49</v>
      </c>
      <c r="F993">
        <v>113938</v>
      </c>
      <c r="G993">
        <v>29</v>
      </c>
      <c r="H993" t="s">
        <v>2139</v>
      </c>
      <c r="I993" t="s">
        <v>72</v>
      </c>
      <c r="J993" t="s">
        <v>46</v>
      </c>
      <c r="K993" t="s">
        <v>29</v>
      </c>
      <c r="L993" t="str">
        <f t="array" ref="L993">_xlfn.IFS(HR_Data[[#This Row],[Experience]]&lt;2,"0-2 Years",HR_Data[[#This Row],[Experience]]&lt;5,"2-5 Years",HR_Data[[#This Row],[Experience]]&lt;10,"5-10 Years",TRUE(),"10+ Years")</f>
        <v>10+ Years</v>
      </c>
      <c r="M993" t="str">
        <f t="array" ref="M993">_xlfn.IFS(HR_Data[[#This Row],[Salary]]&lt;40000,"Low",HR_Data[[#This Row],[Salary]]&lt;70000,"Medium",HR_Data[[#This Row],[Salary]]&lt;100000,"High",TRUE(),"Very High")</f>
        <v>Very High</v>
      </c>
      <c r="N993" t="str">
        <f t="array" ref="N993">_xlfn.IFS(HR_Data[[#This Row],[Age]]&lt;25,"18-24",HR_Data[[#This Row],[Age]]&lt;35,"25-34",HR_Data[[#This Row],[Age]]&lt;45,"35-44",TRUE(),"45+")</f>
        <v>45+</v>
      </c>
      <c r="O993">
        <f>YEAR(HR_Data[[#This Row],[Joining Date]])</f>
        <v>2022</v>
      </c>
      <c r="P993" t="str">
        <f>TEXT(HR_Data[[#This Row],[Joining Date]],"mmmm")</f>
        <v>February</v>
      </c>
      <c r="Q993">
        <f t="array" ref="Q993">_xlfn.IFS(HR_Data[[#This Row],[Performance Rating]]="Excellent",20%,HR_Data[[#This Row],[Performance Rating]]="Very Good",15%,HR_Data[[#This Row],[Performance Rating]]="Good",10%,HR_Data[[#This Row],[Performance Rating]]="Average",5%,TRUE(),0%)</f>
        <v>0.05</v>
      </c>
      <c r="R993">
        <f>HR_Data[[#This Row],[Salary]]*HR_Data[[#This Row],[Bonus %]]</f>
        <v>5696.9000000000005</v>
      </c>
      <c r="S993">
        <f>HR_Data[[#This Row],[Salary]]+HR_Data[[#This Row],[Bonus Amount]]</f>
        <v>119634.9</v>
      </c>
      <c r="T993" t="str">
        <f>IF(HR_Data[[#This Row],[Attrition]]="Yes","Inactive","Active")</f>
        <v>Active</v>
      </c>
      <c r="U993" t="str">
        <f t="array" ref="U993">_xlfn.IFS(HR_Data[[#This Row],[Salary]]&gt;=100000,"A",HR_Data[[#This Row],[Salary]]&gt;=70000,"B",HR_Data[[#This Row],[Salary]]&gt;=50000,"C",TRUE(),"D")</f>
        <v>A</v>
      </c>
      <c r="V993" t="str">
        <f t="array" ref="V993">_xlfn.IFS(HR_Data[[#This Row],[Experience]]&gt;=15,"Expert",HR_Data[[#This Row],[Experience]]&gt;=8,"Senior",HR_Data[[#This Row],[Experience]]&gt;=3,"Mid-Level",TRUE(),"Junior")</f>
        <v>Expert</v>
      </c>
    </row>
    <row r="994" spans="1:22" ht="14.25" customHeight="1" x14ac:dyDescent="0.3">
      <c r="A994" t="s">
        <v>2140</v>
      </c>
      <c r="B994" t="s">
        <v>216</v>
      </c>
      <c r="C994" t="s">
        <v>134</v>
      </c>
      <c r="D994" t="s">
        <v>25</v>
      </c>
      <c r="E994">
        <v>59</v>
      </c>
      <c r="F994">
        <v>129059</v>
      </c>
      <c r="G994">
        <v>30</v>
      </c>
      <c r="H994" t="s">
        <v>2141</v>
      </c>
      <c r="I994" t="s">
        <v>42</v>
      </c>
      <c r="J994" t="s">
        <v>28</v>
      </c>
      <c r="K994" t="s">
        <v>29</v>
      </c>
      <c r="L994" t="str">
        <f t="array" ref="L994">_xlfn.IFS(HR_Data[[#This Row],[Experience]]&lt;2,"0-2 Years",HR_Data[[#This Row],[Experience]]&lt;5,"2-5 Years",HR_Data[[#This Row],[Experience]]&lt;10,"5-10 Years",TRUE(),"10+ Years")</f>
        <v>10+ Years</v>
      </c>
      <c r="M994" t="str">
        <f t="array" ref="M994">_xlfn.IFS(HR_Data[[#This Row],[Salary]]&lt;40000,"Low",HR_Data[[#This Row],[Salary]]&lt;70000,"Medium",HR_Data[[#This Row],[Salary]]&lt;100000,"High",TRUE(),"Very High")</f>
        <v>Very High</v>
      </c>
      <c r="N994" t="str">
        <f t="array" ref="N994">_xlfn.IFS(HR_Data[[#This Row],[Age]]&lt;25,"18-24",HR_Data[[#This Row],[Age]]&lt;35,"25-34",HR_Data[[#This Row],[Age]]&lt;45,"35-44",TRUE(),"45+")</f>
        <v>45+</v>
      </c>
      <c r="O994">
        <f>YEAR(HR_Data[[#This Row],[Joining Date]])</f>
        <v>2021</v>
      </c>
      <c r="P994" t="str">
        <f>TEXT(HR_Data[[#This Row],[Joining Date]],"mmmm")</f>
        <v>April</v>
      </c>
      <c r="Q994">
        <f t="array" ref="Q994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94">
        <f>HR_Data[[#This Row],[Salary]]*HR_Data[[#This Row],[Bonus %]]</f>
        <v>19358.849999999999</v>
      </c>
      <c r="S994">
        <f>HR_Data[[#This Row],[Salary]]+HR_Data[[#This Row],[Bonus Amount]]</f>
        <v>148417.85</v>
      </c>
      <c r="T994" t="str">
        <f>IF(HR_Data[[#This Row],[Attrition]]="Yes","Inactive","Active")</f>
        <v>Active</v>
      </c>
      <c r="U994" t="str">
        <f t="array" ref="U994">_xlfn.IFS(HR_Data[[#This Row],[Salary]]&gt;=100000,"A",HR_Data[[#This Row],[Salary]]&gt;=70000,"B",HR_Data[[#This Row],[Salary]]&gt;=50000,"C",TRUE(),"D")</f>
        <v>A</v>
      </c>
      <c r="V994" t="str">
        <f t="array" ref="V994">_xlfn.IFS(HR_Data[[#This Row],[Experience]]&gt;=15,"Expert",HR_Data[[#This Row],[Experience]]&gt;=8,"Senior",HR_Data[[#This Row],[Experience]]&gt;=3,"Mid-Level",TRUE(),"Junior")</f>
        <v>Expert</v>
      </c>
    </row>
    <row r="995" spans="1:22" ht="14.25" customHeight="1" x14ac:dyDescent="0.3">
      <c r="A995" t="s">
        <v>2142</v>
      </c>
      <c r="B995" t="s">
        <v>573</v>
      </c>
      <c r="C995" t="s">
        <v>60</v>
      </c>
      <c r="D995" t="s">
        <v>33</v>
      </c>
      <c r="E995">
        <v>49</v>
      </c>
      <c r="F995">
        <v>95342</v>
      </c>
      <c r="G995">
        <v>22</v>
      </c>
      <c r="H995" t="s">
        <v>2143</v>
      </c>
      <c r="I995" t="s">
        <v>57</v>
      </c>
      <c r="J995" t="s">
        <v>36</v>
      </c>
      <c r="K995" t="s">
        <v>37</v>
      </c>
      <c r="L995" t="str">
        <f t="array" ref="L995">_xlfn.IFS(HR_Data[[#This Row],[Experience]]&lt;2,"0-2 Years",HR_Data[[#This Row],[Experience]]&lt;5,"2-5 Years",HR_Data[[#This Row],[Experience]]&lt;10,"5-10 Years",TRUE(),"10+ Years")</f>
        <v>10+ Years</v>
      </c>
      <c r="M995" t="str">
        <f t="array" ref="M995">_xlfn.IFS(HR_Data[[#This Row],[Salary]]&lt;40000,"Low",HR_Data[[#This Row],[Salary]]&lt;70000,"Medium",HR_Data[[#This Row],[Salary]]&lt;100000,"High",TRUE(),"Very High")</f>
        <v>High</v>
      </c>
      <c r="N995" t="str">
        <f t="array" ref="N995">_xlfn.IFS(HR_Data[[#This Row],[Age]]&lt;25,"18-24",HR_Data[[#This Row],[Age]]&lt;35,"25-34",HR_Data[[#This Row],[Age]]&lt;45,"35-44",TRUE(),"45+")</f>
        <v>45+</v>
      </c>
      <c r="O995">
        <f>YEAR(HR_Data[[#This Row],[Joining Date]])</f>
        <v>2019</v>
      </c>
      <c r="P995" t="str">
        <f>TEXT(HR_Data[[#This Row],[Joining Date]],"mmmm")</f>
        <v>August</v>
      </c>
      <c r="Q995">
        <f t="array" ref="Q995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995">
        <f>HR_Data[[#This Row],[Salary]]*HR_Data[[#This Row],[Bonus %]]</f>
        <v>9534.2000000000007</v>
      </c>
      <c r="S995">
        <f>HR_Data[[#This Row],[Salary]]+HR_Data[[#This Row],[Bonus Amount]]</f>
        <v>104876.2</v>
      </c>
      <c r="T995" t="str">
        <f>IF(HR_Data[[#This Row],[Attrition]]="Yes","Inactive","Active")</f>
        <v>Inactive</v>
      </c>
      <c r="U995" t="str">
        <f t="array" ref="U995">_xlfn.IFS(HR_Data[[#This Row],[Salary]]&gt;=100000,"A",HR_Data[[#This Row],[Salary]]&gt;=70000,"B",HR_Data[[#This Row],[Salary]]&gt;=50000,"C",TRUE(),"D")</f>
        <v>B</v>
      </c>
      <c r="V995" t="str">
        <f t="array" ref="V995">_xlfn.IFS(HR_Data[[#This Row],[Experience]]&gt;=15,"Expert",HR_Data[[#This Row],[Experience]]&gt;=8,"Senior",HR_Data[[#This Row],[Experience]]&gt;=3,"Mid-Level",TRUE(),"Junior")</f>
        <v>Expert</v>
      </c>
    </row>
    <row r="996" spans="1:22" ht="14.25" customHeight="1" x14ac:dyDescent="0.3">
      <c r="A996" t="s">
        <v>2144</v>
      </c>
      <c r="B996" t="s">
        <v>363</v>
      </c>
      <c r="C996" t="s">
        <v>75</v>
      </c>
      <c r="D996" t="s">
        <v>25</v>
      </c>
      <c r="E996">
        <v>54</v>
      </c>
      <c r="F996">
        <v>115957</v>
      </c>
      <c r="G996">
        <v>29</v>
      </c>
      <c r="H996" t="s">
        <v>2145</v>
      </c>
      <c r="I996" t="s">
        <v>80</v>
      </c>
      <c r="J996" t="s">
        <v>63</v>
      </c>
      <c r="K996" t="s">
        <v>29</v>
      </c>
      <c r="L996" t="str">
        <f t="array" ref="L996">_xlfn.IFS(HR_Data[[#This Row],[Experience]]&lt;2,"0-2 Years",HR_Data[[#This Row],[Experience]]&lt;5,"2-5 Years",HR_Data[[#This Row],[Experience]]&lt;10,"5-10 Years",TRUE(),"10+ Years")</f>
        <v>10+ Years</v>
      </c>
      <c r="M996" t="str">
        <f t="array" ref="M996">_xlfn.IFS(HR_Data[[#This Row],[Salary]]&lt;40000,"Low",HR_Data[[#This Row],[Salary]]&lt;70000,"Medium",HR_Data[[#This Row],[Salary]]&lt;100000,"High",TRUE(),"Very High")</f>
        <v>Very High</v>
      </c>
      <c r="N996" t="str">
        <f t="array" ref="N996">_xlfn.IFS(HR_Data[[#This Row],[Age]]&lt;25,"18-24",HR_Data[[#This Row],[Age]]&lt;35,"25-34",HR_Data[[#This Row],[Age]]&lt;45,"35-44",TRUE(),"45+")</f>
        <v>45+</v>
      </c>
      <c r="O996">
        <f>YEAR(HR_Data[[#This Row],[Joining Date]])</f>
        <v>2025</v>
      </c>
      <c r="P996" t="str">
        <f>TEXT(HR_Data[[#This Row],[Joining Date]],"mmmm")</f>
        <v>December</v>
      </c>
      <c r="Q996">
        <f t="array" ref="Q996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996">
        <f>HR_Data[[#This Row],[Salary]]*HR_Data[[#This Row],[Bonus %]]</f>
        <v>23191.4</v>
      </c>
      <c r="S996">
        <f>HR_Data[[#This Row],[Salary]]+HR_Data[[#This Row],[Bonus Amount]]</f>
        <v>139148.4</v>
      </c>
      <c r="T996" t="str">
        <f>IF(HR_Data[[#This Row],[Attrition]]="Yes","Inactive","Active")</f>
        <v>Active</v>
      </c>
      <c r="U996" t="str">
        <f t="array" ref="U996">_xlfn.IFS(HR_Data[[#This Row],[Salary]]&gt;=100000,"A",HR_Data[[#This Row],[Salary]]&gt;=70000,"B",HR_Data[[#This Row],[Salary]]&gt;=50000,"C",TRUE(),"D")</f>
        <v>A</v>
      </c>
      <c r="V996" t="str">
        <f t="array" ref="V996">_xlfn.IFS(HR_Data[[#This Row],[Experience]]&gt;=15,"Expert",HR_Data[[#This Row],[Experience]]&gt;=8,"Senior",HR_Data[[#This Row],[Experience]]&gt;=3,"Mid-Level",TRUE(),"Junior")</f>
        <v>Expert</v>
      </c>
    </row>
    <row r="997" spans="1:22" ht="14.25" customHeight="1" x14ac:dyDescent="0.3">
      <c r="A997" t="s">
        <v>2146</v>
      </c>
      <c r="B997" t="s">
        <v>915</v>
      </c>
      <c r="C997" t="s">
        <v>93</v>
      </c>
      <c r="D997" t="s">
        <v>33</v>
      </c>
      <c r="E997">
        <v>58</v>
      </c>
      <c r="F997">
        <v>114846</v>
      </c>
      <c r="G997">
        <v>29</v>
      </c>
      <c r="H997" t="s">
        <v>2147</v>
      </c>
      <c r="I997" t="s">
        <v>62</v>
      </c>
      <c r="J997" t="s">
        <v>63</v>
      </c>
      <c r="K997" t="s">
        <v>29</v>
      </c>
      <c r="L997" t="str">
        <f t="array" ref="L997">_xlfn.IFS(HR_Data[[#This Row],[Experience]]&lt;2,"0-2 Years",HR_Data[[#This Row],[Experience]]&lt;5,"2-5 Years",HR_Data[[#This Row],[Experience]]&lt;10,"5-10 Years",TRUE(),"10+ Years")</f>
        <v>10+ Years</v>
      </c>
      <c r="M997" t="str">
        <f t="array" ref="M997">_xlfn.IFS(HR_Data[[#This Row],[Salary]]&lt;40000,"Low",HR_Data[[#This Row],[Salary]]&lt;70000,"Medium",HR_Data[[#This Row],[Salary]]&lt;100000,"High",TRUE(),"Very High")</f>
        <v>Very High</v>
      </c>
      <c r="N997" t="str">
        <f t="array" ref="N997">_xlfn.IFS(HR_Data[[#This Row],[Age]]&lt;25,"18-24",HR_Data[[#This Row],[Age]]&lt;35,"25-34",HR_Data[[#This Row],[Age]]&lt;45,"35-44",TRUE(),"45+")</f>
        <v>45+</v>
      </c>
      <c r="O997">
        <f>YEAR(HR_Data[[#This Row],[Joining Date]])</f>
        <v>2026</v>
      </c>
      <c r="P997" t="str">
        <f>TEXT(HR_Data[[#This Row],[Joining Date]],"mmmm")</f>
        <v>April</v>
      </c>
      <c r="Q997">
        <f t="array" ref="Q997">_xlfn.IFS(HR_Data[[#This Row],[Performance Rating]]="Excellent",20%,HR_Data[[#This Row],[Performance Rating]]="Very Good",15%,HR_Data[[#This Row],[Performance Rating]]="Good",10%,HR_Data[[#This Row],[Performance Rating]]="Average",5%,TRUE(),0%)</f>
        <v>0.2</v>
      </c>
      <c r="R997">
        <f>HR_Data[[#This Row],[Salary]]*HR_Data[[#This Row],[Bonus %]]</f>
        <v>22969.200000000001</v>
      </c>
      <c r="S997">
        <f>HR_Data[[#This Row],[Salary]]+HR_Data[[#This Row],[Bonus Amount]]</f>
        <v>137815.20000000001</v>
      </c>
      <c r="T997" t="str">
        <f>IF(HR_Data[[#This Row],[Attrition]]="Yes","Inactive","Active")</f>
        <v>Active</v>
      </c>
      <c r="U997" t="str">
        <f t="array" ref="U997">_xlfn.IFS(HR_Data[[#This Row],[Salary]]&gt;=100000,"A",HR_Data[[#This Row],[Salary]]&gt;=70000,"B",HR_Data[[#This Row],[Salary]]&gt;=50000,"C",TRUE(),"D")</f>
        <v>A</v>
      </c>
      <c r="V997" t="str">
        <f t="array" ref="V997">_xlfn.IFS(HR_Data[[#This Row],[Experience]]&gt;=15,"Expert",HR_Data[[#This Row],[Experience]]&gt;=8,"Senior",HR_Data[[#This Row],[Experience]]&gt;=3,"Mid-Level",TRUE(),"Junior")</f>
        <v>Expert</v>
      </c>
    </row>
    <row r="998" spans="1:22" ht="14.25" customHeight="1" x14ac:dyDescent="0.3">
      <c r="A998" t="s">
        <v>2148</v>
      </c>
      <c r="B998" t="s">
        <v>85</v>
      </c>
      <c r="C998" t="s">
        <v>70</v>
      </c>
      <c r="D998" t="s">
        <v>25</v>
      </c>
      <c r="E998">
        <v>32</v>
      </c>
      <c r="F998">
        <v>64504</v>
      </c>
      <c r="G998">
        <v>12</v>
      </c>
      <c r="H998" t="s">
        <v>684</v>
      </c>
      <c r="I998" t="s">
        <v>42</v>
      </c>
      <c r="J998" t="s">
        <v>28</v>
      </c>
      <c r="K998" t="s">
        <v>29</v>
      </c>
      <c r="L998" t="str">
        <f t="array" ref="L998">_xlfn.IFS(HR_Data[[#This Row],[Experience]]&lt;2,"0-2 Years",HR_Data[[#This Row],[Experience]]&lt;5,"2-5 Years",HR_Data[[#This Row],[Experience]]&lt;10,"5-10 Years",TRUE(),"10+ Years")</f>
        <v>10+ Years</v>
      </c>
      <c r="M998" t="str">
        <f t="array" ref="M998">_xlfn.IFS(HR_Data[[#This Row],[Salary]]&lt;40000,"Low",HR_Data[[#This Row],[Salary]]&lt;70000,"Medium",HR_Data[[#This Row],[Salary]]&lt;100000,"High",TRUE(),"Very High")</f>
        <v>Medium</v>
      </c>
      <c r="N998" t="str">
        <f t="array" ref="N998">_xlfn.IFS(HR_Data[[#This Row],[Age]]&lt;25,"18-24",HR_Data[[#This Row],[Age]]&lt;35,"25-34",HR_Data[[#This Row],[Age]]&lt;45,"35-44",TRUE(),"45+")</f>
        <v>25-34</v>
      </c>
      <c r="O998">
        <f>YEAR(HR_Data[[#This Row],[Joining Date]])</f>
        <v>2024</v>
      </c>
      <c r="P998" t="str">
        <f>TEXT(HR_Data[[#This Row],[Joining Date]],"mmmm")</f>
        <v>June</v>
      </c>
      <c r="Q998">
        <f t="array" ref="Q998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98">
        <f>HR_Data[[#This Row],[Salary]]*HR_Data[[#This Row],[Bonus %]]</f>
        <v>9675.6</v>
      </c>
      <c r="S998">
        <f>HR_Data[[#This Row],[Salary]]+HR_Data[[#This Row],[Bonus Amount]]</f>
        <v>74179.600000000006</v>
      </c>
      <c r="T998" t="str">
        <f>IF(HR_Data[[#This Row],[Attrition]]="Yes","Inactive","Active")</f>
        <v>Active</v>
      </c>
      <c r="U998" t="str">
        <f t="array" ref="U998">_xlfn.IFS(HR_Data[[#This Row],[Salary]]&gt;=100000,"A",HR_Data[[#This Row],[Salary]]&gt;=70000,"B",HR_Data[[#This Row],[Salary]]&gt;=50000,"C",TRUE(),"D")</f>
        <v>C</v>
      </c>
      <c r="V998" t="str">
        <f t="array" ref="V998">_xlfn.IFS(HR_Data[[#This Row],[Experience]]&gt;=15,"Expert",HR_Data[[#This Row],[Experience]]&gt;=8,"Senior",HR_Data[[#This Row],[Experience]]&gt;=3,"Mid-Level",TRUE(),"Junior")</f>
        <v>Senior</v>
      </c>
    </row>
    <row r="999" spans="1:22" ht="14.25" customHeight="1" x14ac:dyDescent="0.3">
      <c r="A999" t="s">
        <v>2149</v>
      </c>
      <c r="B999" t="s">
        <v>506</v>
      </c>
      <c r="C999" t="s">
        <v>55</v>
      </c>
      <c r="D999" t="s">
        <v>25</v>
      </c>
      <c r="E999">
        <v>29</v>
      </c>
      <c r="F999">
        <v>39943</v>
      </c>
      <c r="G999">
        <v>7</v>
      </c>
      <c r="H999" t="s">
        <v>2150</v>
      </c>
      <c r="I999" t="s">
        <v>42</v>
      </c>
      <c r="J999" t="s">
        <v>28</v>
      </c>
      <c r="K999" t="s">
        <v>37</v>
      </c>
      <c r="L999" t="str">
        <f t="array" ref="L999">_xlfn.IFS(HR_Data[[#This Row],[Experience]]&lt;2,"0-2 Years",HR_Data[[#This Row],[Experience]]&lt;5,"2-5 Years",HR_Data[[#This Row],[Experience]]&lt;10,"5-10 Years",TRUE(),"10+ Years")</f>
        <v>5-10 Years</v>
      </c>
      <c r="M999" t="str">
        <f t="array" ref="M999">_xlfn.IFS(HR_Data[[#This Row],[Salary]]&lt;40000,"Low",HR_Data[[#This Row],[Salary]]&lt;70000,"Medium",HR_Data[[#This Row],[Salary]]&lt;100000,"High",TRUE(),"Very High")</f>
        <v>Low</v>
      </c>
      <c r="N999" t="str">
        <f t="array" ref="N999">_xlfn.IFS(HR_Data[[#This Row],[Age]]&lt;25,"18-24",HR_Data[[#This Row],[Age]]&lt;35,"25-34",HR_Data[[#This Row],[Age]]&lt;45,"35-44",TRUE(),"45+")</f>
        <v>25-34</v>
      </c>
      <c r="O999">
        <f>YEAR(HR_Data[[#This Row],[Joining Date]])</f>
        <v>2025</v>
      </c>
      <c r="P999" t="str">
        <f>TEXT(HR_Data[[#This Row],[Joining Date]],"mmmm")</f>
        <v>May</v>
      </c>
      <c r="Q999">
        <f t="array" ref="Q999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999">
        <f>HR_Data[[#This Row],[Salary]]*HR_Data[[#This Row],[Bonus %]]</f>
        <v>5991.45</v>
      </c>
      <c r="S999">
        <f>HR_Data[[#This Row],[Salary]]+HR_Data[[#This Row],[Bonus Amount]]</f>
        <v>45934.45</v>
      </c>
      <c r="T999" t="str">
        <f>IF(HR_Data[[#This Row],[Attrition]]="Yes","Inactive","Active")</f>
        <v>Inactive</v>
      </c>
      <c r="U999" t="str">
        <f t="array" ref="U999">_xlfn.IFS(HR_Data[[#This Row],[Salary]]&gt;=100000,"A",HR_Data[[#This Row],[Salary]]&gt;=70000,"B",HR_Data[[#This Row],[Salary]]&gt;=50000,"C",TRUE(),"D")</f>
        <v>D</v>
      </c>
      <c r="V999" t="str">
        <f t="array" ref="V999">_xlfn.IFS(HR_Data[[#This Row],[Experience]]&gt;=15,"Expert",HR_Data[[#This Row],[Experience]]&gt;=8,"Senior",HR_Data[[#This Row],[Experience]]&gt;=3,"Mid-Level",TRUE(),"Junior")</f>
        <v>Mid-Level</v>
      </c>
    </row>
    <row r="1000" spans="1:22" ht="14.25" customHeight="1" x14ac:dyDescent="0.3">
      <c r="A1000" t="s">
        <v>2151</v>
      </c>
      <c r="B1000" t="s">
        <v>196</v>
      </c>
      <c r="C1000" t="s">
        <v>55</v>
      </c>
      <c r="D1000" t="s">
        <v>33</v>
      </c>
      <c r="E1000">
        <v>55</v>
      </c>
      <c r="F1000">
        <v>140613</v>
      </c>
      <c r="G1000">
        <v>35</v>
      </c>
      <c r="H1000" t="s">
        <v>2152</v>
      </c>
      <c r="I1000" t="s">
        <v>35</v>
      </c>
      <c r="J1000" t="s">
        <v>28</v>
      </c>
      <c r="K1000" t="s">
        <v>29</v>
      </c>
      <c r="L1000" t="str">
        <f t="array" ref="L1000">_xlfn.IFS(HR_Data[[#This Row],[Experience]]&lt;2,"0-2 Years",HR_Data[[#This Row],[Experience]]&lt;5,"2-5 Years",HR_Data[[#This Row],[Experience]]&lt;10,"5-10 Years",TRUE(),"10+ Years")</f>
        <v>10+ Years</v>
      </c>
      <c r="M1000" t="str">
        <f t="array" ref="M1000">_xlfn.IFS(HR_Data[[#This Row],[Salary]]&lt;40000,"Low",HR_Data[[#This Row],[Salary]]&lt;70000,"Medium",HR_Data[[#This Row],[Salary]]&lt;100000,"High",TRUE(),"Very High")</f>
        <v>Very High</v>
      </c>
      <c r="N1000" t="str">
        <f t="array" ref="N1000">_xlfn.IFS(HR_Data[[#This Row],[Age]]&lt;25,"18-24",HR_Data[[#This Row],[Age]]&lt;35,"25-34",HR_Data[[#This Row],[Age]]&lt;45,"35-44",TRUE(),"45+")</f>
        <v>45+</v>
      </c>
      <c r="O1000">
        <f>YEAR(HR_Data[[#This Row],[Joining Date]])</f>
        <v>2024</v>
      </c>
      <c r="P1000" t="str">
        <f>TEXT(HR_Data[[#This Row],[Joining Date]],"mmmm")</f>
        <v>September</v>
      </c>
      <c r="Q1000">
        <f t="array" ref="Q1000">_xlfn.IFS(HR_Data[[#This Row],[Performance Rating]]="Excellent",20%,HR_Data[[#This Row],[Performance Rating]]="Very Good",15%,HR_Data[[#This Row],[Performance Rating]]="Good",10%,HR_Data[[#This Row],[Performance Rating]]="Average",5%,TRUE(),0%)</f>
        <v>0.15</v>
      </c>
      <c r="R1000">
        <f>HR_Data[[#This Row],[Salary]]*HR_Data[[#This Row],[Bonus %]]</f>
        <v>21091.95</v>
      </c>
      <c r="S1000">
        <f>HR_Data[[#This Row],[Salary]]+HR_Data[[#This Row],[Bonus Amount]]</f>
        <v>161704.95000000001</v>
      </c>
      <c r="T1000" t="str">
        <f>IF(HR_Data[[#This Row],[Attrition]]="Yes","Inactive","Active")</f>
        <v>Active</v>
      </c>
      <c r="U1000" t="str">
        <f t="array" ref="U1000">_xlfn.IFS(HR_Data[[#This Row],[Salary]]&gt;=100000,"A",HR_Data[[#This Row],[Salary]]&gt;=70000,"B",HR_Data[[#This Row],[Salary]]&gt;=50000,"C",TRUE(),"D")</f>
        <v>A</v>
      </c>
      <c r="V1000" t="str">
        <f t="array" ref="V1000">_xlfn.IFS(HR_Data[[#This Row],[Experience]]&gt;=15,"Expert",HR_Data[[#This Row],[Experience]]&gt;=8,"Senior",HR_Data[[#This Row],[Experience]]&gt;=3,"Mid-Level",TRUE(),"Junior")</f>
        <v>Expert</v>
      </c>
    </row>
    <row r="1001" spans="1:22" ht="14.25" customHeight="1" x14ac:dyDescent="0.3">
      <c r="A1001" t="s">
        <v>2153</v>
      </c>
      <c r="B1001" t="s">
        <v>748</v>
      </c>
      <c r="C1001" t="s">
        <v>134</v>
      </c>
      <c r="D1001" t="s">
        <v>33</v>
      </c>
      <c r="E1001">
        <v>41</v>
      </c>
      <c r="F1001">
        <v>74605</v>
      </c>
      <c r="G1001">
        <v>17</v>
      </c>
      <c r="H1001" t="s">
        <v>2154</v>
      </c>
      <c r="I1001" t="s">
        <v>62</v>
      </c>
      <c r="J1001" t="s">
        <v>36</v>
      </c>
      <c r="K1001" t="s">
        <v>29</v>
      </c>
      <c r="L1001" t="str">
        <f t="array" ref="L1001">_xlfn.IFS(HR_Data[[#This Row],[Experience]]&lt;2,"0-2 Years",HR_Data[[#This Row],[Experience]]&lt;5,"2-5 Years",HR_Data[[#This Row],[Experience]]&lt;10,"5-10 Years",TRUE(),"10+ Years")</f>
        <v>10+ Years</v>
      </c>
      <c r="M1001" t="str">
        <f t="array" ref="M1001">_xlfn.IFS(HR_Data[[#This Row],[Salary]]&lt;40000,"Low",HR_Data[[#This Row],[Salary]]&lt;70000,"Medium",HR_Data[[#This Row],[Salary]]&lt;100000,"High",TRUE(),"Very High")</f>
        <v>High</v>
      </c>
      <c r="N1001" t="str">
        <f t="array" ref="N1001">_xlfn.IFS(HR_Data[[#This Row],[Age]]&lt;25,"18-24",HR_Data[[#This Row],[Age]]&lt;35,"25-34",HR_Data[[#This Row],[Age]]&lt;45,"35-44",TRUE(),"45+")</f>
        <v>35-44</v>
      </c>
      <c r="O1001">
        <f>YEAR(HR_Data[[#This Row],[Joining Date]])</f>
        <v>2016</v>
      </c>
      <c r="P1001" t="str">
        <f>TEXT(HR_Data[[#This Row],[Joining Date]],"mmmm")</f>
        <v>February</v>
      </c>
      <c r="Q1001">
        <f t="array" ref="Q1001">_xlfn.IFS(HR_Data[[#This Row],[Performance Rating]]="Excellent",20%,HR_Data[[#This Row],[Performance Rating]]="Very Good",15%,HR_Data[[#This Row],[Performance Rating]]="Good",10%,HR_Data[[#This Row],[Performance Rating]]="Average",5%,TRUE(),0%)</f>
        <v>0.1</v>
      </c>
      <c r="R1001">
        <f>HR_Data[[#This Row],[Salary]]*HR_Data[[#This Row],[Bonus %]]</f>
        <v>7460.5</v>
      </c>
      <c r="S1001">
        <f>HR_Data[[#This Row],[Salary]]+HR_Data[[#This Row],[Bonus Amount]]</f>
        <v>82065.5</v>
      </c>
      <c r="T1001" t="str">
        <f>IF(HR_Data[[#This Row],[Attrition]]="Yes","Inactive","Active")</f>
        <v>Active</v>
      </c>
      <c r="U1001" t="str">
        <f t="array" ref="U1001">_xlfn.IFS(HR_Data[[#This Row],[Salary]]&gt;=100000,"A",HR_Data[[#This Row],[Salary]]&gt;=70000,"B",HR_Data[[#This Row],[Salary]]&gt;=50000,"C",TRUE(),"D")</f>
        <v>B</v>
      </c>
      <c r="V1001" t="str">
        <f t="array" ref="V1001">_xlfn.IFS(HR_Data[[#This Row],[Experience]]&gt;=15,"Expert",HR_Data[[#This Row],[Experience]]&gt;=8,"Senior",HR_Data[[#This Row],[Experience]]&gt;=3,"Mid-Level",TRUE(),"Junior")</f>
        <v>Expert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L61"/>
  <sheetViews>
    <sheetView topLeftCell="A23" zoomScaleNormal="100" workbookViewId="0">
      <selection activeCell="G40" sqref="G40"/>
    </sheetView>
  </sheetViews>
  <sheetFormatPr defaultColWidth="8.6640625" defaultRowHeight="14.4" x14ac:dyDescent="0.3"/>
  <cols>
    <col min="1" max="1" width="12.5546875" customWidth="1"/>
    <col min="2" max="2" width="19.5546875" customWidth="1"/>
    <col min="3" max="3" width="4" customWidth="1"/>
    <col min="4" max="4" width="10.77734375" customWidth="1"/>
    <col min="6" max="6" width="12.5546875" customWidth="1"/>
    <col min="7" max="7" width="19.5546875" customWidth="1"/>
    <col min="11" max="11" width="12.5546875" customWidth="1"/>
    <col min="12" max="12" width="19.5546875" customWidth="1"/>
  </cols>
  <sheetData>
    <row r="3" spans="1:12" ht="14.25" customHeight="1" x14ac:dyDescent="0.3">
      <c r="A3" s="16" t="s">
        <v>2</v>
      </c>
      <c r="B3" s="17" t="s">
        <v>2155</v>
      </c>
      <c r="F3" s="16" t="s">
        <v>2</v>
      </c>
      <c r="G3" s="17" t="s">
        <v>2156</v>
      </c>
      <c r="K3" s="16" t="s">
        <v>3</v>
      </c>
      <c r="L3" s="17" t="s">
        <v>2157</v>
      </c>
    </row>
    <row r="4" spans="1:12" ht="14.25" customHeight="1" x14ac:dyDescent="0.3">
      <c r="A4" s="18" t="s">
        <v>32</v>
      </c>
      <c r="B4" s="19">
        <v>99</v>
      </c>
      <c r="F4" s="18" t="s">
        <v>32</v>
      </c>
      <c r="G4" s="19">
        <v>80473.424242424197</v>
      </c>
      <c r="K4" s="18" t="s">
        <v>25</v>
      </c>
      <c r="L4" s="19">
        <v>512</v>
      </c>
    </row>
    <row r="5" spans="1:12" ht="14.25" customHeight="1" x14ac:dyDescent="0.3">
      <c r="A5" s="20" t="s">
        <v>93</v>
      </c>
      <c r="B5" s="21">
        <v>111</v>
      </c>
      <c r="F5" s="20" t="s">
        <v>93</v>
      </c>
      <c r="G5" s="21">
        <v>80001.486486486494</v>
      </c>
      <c r="K5" s="20" t="s">
        <v>33</v>
      </c>
      <c r="L5" s="22">
        <v>488</v>
      </c>
    </row>
    <row r="6" spans="1:12" ht="14.25" customHeight="1" x14ac:dyDescent="0.3">
      <c r="A6" s="20" t="s">
        <v>70</v>
      </c>
      <c r="B6" s="21">
        <v>119</v>
      </c>
      <c r="F6" s="20" t="s">
        <v>70</v>
      </c>
      <c r="G6" s="21">
        <v>82280.705882352893</v>
      </c>
      <c r="K6" s="23" t="s">
        <v>2158</v>
      </c>
      <c r="L6" s="24">
        <v>1000</v>
      </c>
    </row>
    <row r="7" spans="1:12" ht="14.25" customHeight="1" x14ac:dyDescent="0.3">
      <c r="A7" s="20" t="s">
        <v>112</v>
      </c>
      <c r="B7" s="21">
        <v>85</v>
      </c>
      <c r="F7" s="20" t="s">
        <v>112</v>
      </c>
      <c r="G7" s="21">
        <v>90334.917647058799</v>
      </c>
    </row>
    <row r="8" spans="1:12" ht="14.25" customHeight="1" x14ac:dyDescent="0.3">
      <c r="A8" s="20" t="s">
        <v>40</v>
      </c>
      <c r="B8" s="21">
        <v>91</v>
      </c>
      <c r="F8" s="20" t="s">
        <v>40</v>
      </c>
      <c r="G8" s="21">
        <v>84813.659340659404</v>
      </c>
    </row>
    <row r="9" spans="1:12" ht="14.25" customHeight="1" x14ac:dyDescent="0.3">
      <c r="A9" s="20" t="s">
        <v>75</v>
      </c>
      <c r="B9" s="21">
        <v>101</v>
      </c>
      <c r="F9" s="20" t="s">
        <v>75</v>
      </c>
      <c r="G9" s="21">
        <v>80563.277227722807</v>
      </c>
    </row>
    <row r="10" spans="1:12" ht="14.25" customHeight="1" x14ac:dyDescent="0.3">
      <c r="A10" s="20" t="s">
        <v>134</v>
      </c>
      <c r="B10" s="21">
        <v>84</v>
      </c>
      <c r="F10" s="20" t="s">
        <v>134</v>
      </c>
      <c r="G10" s="21">
        <v>89179.119047619097</v>
      </c>
    </row>
    <row r="11" spans="1:12" ht="14.25" customHeight="1" x14ac:dyDescent="0.3">
      <c r="A11" s="20" t="s">
        <v>55</v>
      </c>
      <c r="B11" s="21">
        <v>111</v>
      </c>
      <c r="F11" s="20" t="s">
        <v>55</v>
      </c>
      <c r="G11" s="21">
        <v>83387.5495495496</v>
      </c>
    </row>
    <row r="12" spans="1:12" ht="14.25" customHeight="1" x14ac:dyDescent="0.3">
      <c r="A12" s="20" t="s">
        <v>24</v>
      </c>
      <c r="B12" s="21">
        <v>94</v>
      </c>
      <c r="F12" s="20" t="s">
        <v>24</v>
      </c>
      <c r="G12" s="21">
        <v>84956.085106383005</v>
      </c>
    </row>
    <row r="13" spans="1:12" ht="14.25" customHeight="1" x14ac:dyDescent="0.3">
      <c r="A13" s="20" t="s">
        <v>60</v>
      </c>
      <c r="B13" s="22">
        <v>105</v>
      </c>
      <c r="F13" s="20" t="s">
        <v>60</v>
      </c>
      <c r="G13" s="22">
        <v>77163.704761904795</v>
      </c>
    </row>
    <row r="14" spans="1:12" ht="14.25" customHeight="1" x14ac:dyDescent="0.3">
      <c r="A14" s="23" t="s">
        <v>2158</v>
      </c>
      <c r="B14" s="24">
        <v>1000</v>
      </c>
      <c r="F14" s="23" t="s">
        <v>2158</v>
      </c>
      <c r="G14" s="24">
        <v>83006.964999999997</v>
      </c>
    </row>
    <row r="20" spans="1:12" ht="14.25" customHeight="1" x14ac:dyDescent="0.3">
      <c r="A20" s="25" t="s">
        <v>2157</v>
      </c>
      <c r="B20" s="26" t="s">
        <v>10</v>
      </c>
      <c r="C20" s="27"/>
      <c r="D20" s="28"/>
      <c r="F20" s="16" t="s">
        <v>9</v>
      </c>
      <c r="G20" s="17" t="s">
        <v>2157</v>
      </c>
      <c r="K20" s="16" t="s">
        <v>8</v>
      </c>
      <c r="L20" s="17" t="s">
        <v>2157</v>
      </c>
    </row>
    <row r="21" spans="1:12" ht="14.25" customHeight="1" x14ac:dyDescent="0.3">
      <c r="A21" s="29" t="s">
        <v>2</v>
      </c>
      <c r="B21" s="30" t="s">
        <v>29</v>
      </c>
      <c r="C21" s="31" t="s">
        <v>37</v>
      </c>
      <c r="D21" s="32" t="s">
        <v>2158</v>
      </c>
      <c r="F21" s="18" t="s">
        <v>46</v>
      </c>
      <c r="G21" s="19">
        <v>178</v>
      </c>
      <c r="K21" s="18" t="s">
        <v>72</v>
      </c>
      <c r="L21" s="19">
        <v>106</v>
      </c>
    </row>
    <row r="22" spans="1:12" ht="14.25" customHeight="1" x14ac:dyDescent="0.3">
      <c r="A22" s="18" t="s">
        <v>32</v>
      </c>
      <c r="B22" s="33">
        <v>89</v>
      </c>
      <c r="C22" s="34">
        <v>10</v>
      </c>
      <c r="D22" s="35">
        <v>99</v>
      </c>
      <c r="F22" s="20" t="s">
        <v>63</v>
      </c>
      <c r="G22" s="21">
        <v>173</v>
      </c>
      <c r="K22" s="20" t="s">
        <v>132</v>
      </c>
      <c r="L22" s="21">
        <v>101</v>
      </c>
    </row>
    <row r="23" spans="1:12" ht="14.25" customHeight="1" x14ac:dyDescent="0.3">
      <c r="A23" s="20" t="s">
        <v>93</v>
      </c>
      <c r="B23" s="36">
        <v>94</v>
      </c>
      <c r="C23" s="37">
        <v>17</v>
      </c>
      <c r="D23" s="38">
        <v>111</v>
      </c>
      <c r="F23" s="20" t="s">
        <v>36</v>
      </c>
      <c r="G23" s="21">
        <v>312</v>
      </c>
      <c r="K23" s="20" t="s">
        <v>67</v>
      </c>
      <c r="L23" s="21">
        <v>96</v>
      </c>
    </row>
    <row r="24" spans="1:12" ht="14.25" customHeight="1" x14ac:dyDescent="0.3">
      <c r="A24" s="20" t="s">
        <v>70</v>
      </c>
      <c r="B24" s="36">
        <v>102</v>
      </c>
      <c r="C24" s="37">
        <v>17</v>
      </c>
      <c r="D24" s="38">
        <v>119</v>
      </c>
      <c r="F24" s="20" t="s">
        <v>90</v>
      </c>
      <c r="G24" s="21">
        <v>69</v>
      </c>
      <c r="K24" s="20" t="s">
        <v>27</v>
      </c>
      <c r="L24" s="21">
        <v>74</v>
      </c>
    </row>
    <row r="25" spans="1:12" ht="14.25" customHeight="1" x14ac:dyDescent="0.3">
      <c r="A25" s="20" t="s">
        <v>112</v>
      </c>
      <c r="B25" s="36">
        <v>75</v>
      </c>
      <c r="C25" s="37">
        <v>10</v>
      </c>
      <c r="D25" s="38">
        <v>85</v>
      </c>
      <c r="F25" s="20" t="s">
        <v>28</v>
      </c>
      <c r="G25" s="22">
        <v>268</v>
      </c>
      <c r="K25" s="20" t="s">
        <v>80</v>
      </c>
      <c r="L25" s="21">
        <v>124</v>
      </c>
    </row>
    <row r="26" spans="1:12" ht="14.25" customHeight="1" x14ac:dyDescent="0.3">
      <c r="A26" s="20" t="s">
        <v>40</v>
      </c>
      <c r="B26" s="36">
        <v>81</v>
      </c>
      <c r="C26" s="37">
        <v>10</v>
      </c>
      <c r="D26" s="38">
        <v>91</v>
      </c>
      <c r="F26" s="23" t="s">
        <v>2158</v>
      </c>
      <c r="G26" s="24">
        <v>1000</v>
      </c>
      <c r="K26" s="20" t="s">
        <v>62</v>
      </c>
      <c r="L26" s="21">
        <v>104</v>
      </c>
    </row>
    <row r="27" spans="1:12" ht="14.25" customHeight="1" x14ac:dyDescent="0.3">
      <c r="A27" s="20" t="s">
        <v>75</v>
      </c>
      <c r="B27" s="36">
        <v>90</v>
      </c>
      <c r="C27" s="37">
        <v>11</v>
      </c>
      <c r="D27" s="38">
        <v>101</v>
      </c>
      <c r="K27" s="20" t="s">
        <v>45</v>
      </c>
      <c r="L27" s="21">
        <v>80</v>
      </c>
    </row>
    <row r="28" spans="1:12" ht="14.25" customHeight="1" x14ac:dyDescent="0.3">
      <c r="A28" s="20" t="s">
        <v>134</v>
      </c>
      <c r="B28" s="36">
        <v>73</v>
      </c>
      <c r="C28" s="37">
        <v>11</v>
      </c>
      <c r="D28" s="38">
        <v>84</v>
      </c>
      <c r="K28" s="20" t="s">
        <v>35</v>
      </c>
      <c r="L28" s="21">
        <v>108</v>
      </c>
    </row>
    <row r="29" spans="1:12" ht="14.25" customHeight="1" x14ac:dyDescent="0.3">
      <c r="A29" s="20" t="s">
        <v>55</v>
      </c>
      <c r="B29" s="36">
        <v>100</v>
      </c>
      <c r="C29" s="37">
        <v>11</v>
      </c>
      <c r="D29" s="38">
        <v>111</v>
      </c>
      <c r="K29" s="20" t="s">
        <v>42</v>
      </c>
      <c r="L29" s="21">
        <v>122</v>
      </c>
    </row>
    <row r="30" spans="1:12" ht="14.25" customHeight="1" x14ac:dyDescent="0.3">
      <c r="A30" s="20" t="s">
        <v>24</v>
      </c>
      <c r="B30" s="36">
        <v>82</v>
      </c>
      <c r="C30" s="37">
        <v>12</v>
      </c>
      <c r="D30" s="38">
        <v>94</v>
      </c>
      <c r="K30" s="20" t="s">
        <v>57</v>
      </c>
      <c r="L30" s="22">
        <v>85</v>
      </c>
    </row>
    <row r="31" spans="1:12" ht="14.25" customHeight="1" x14ac:dyDescent="0.3">
      <c r="A31" s="20" t="s">
        <v>60</v>
      </c>
      <c r="B31" s="39">
        <v>89</v>
      </c>
      <c r="C31" s="40">
        <v>16</v>
      </c>
      <c r="D31" s="41">
        <v>105</v>
      </c>
      <c r="K31" s="23" t="s">
        <v>2158</v>
      </c>
      <c r="L31" s="24">
        <v>1000</v>
      </c>
    </row>
    <row r="32" spans="1:12" ht="14.25" customHeight="1" x14ac:dyDescent="0.3">
      <c r="A32" s="23" t="s">
        <v>2158</v>
      </c>
      <c r="B32" s="42">
        <v>875</v>
      </c>
      <c r="C32" s="43">
        <v>125</v>
      </c>
      <c r="D32" s="24">
        <v>1000</v>
      </c>
    </row>
    <row r="38" spans="1:12" ht="14.25" customHeight="1" x14ac:dyDescent="0.3">
      <c r="A38" s="16" t="s">
        <v>11</v>
      </c>
      <c r="B38" s="17" t="s">
        <v>2157</v>
      </c>
      <c r="F38" s="16" t="s">
        <v>12</v>
      </c>
      <c r="G38" s="17" t="s">
        <v>2157</v>
      </c>
      <c r="K38" s="16" t="s">
        <v>14</v>
      </c>
      <c r="L38" s="17" t="s">
        <v>2157</v>
      </c>
    </row>
    <row r="39" spans="1:12" ht="14.25" customHeight="1" x14ac:dyDescent="0.3">
      <c r="A39" s="18" t="s">
        <v>2159</v>
      </c>
      <c r="B39" s="19">
        <v>60</v>
      </c>
      <c r="F39" s="18" t="s">
        <v>2160</v>
      </c>
      <c r="G39" s="19">
        <v>225</v>
      </c>
      <c r="K39" s="18">
        <v>2015</v>
      </c>
      <c r="L39" s="19">
        <v>68</v>
      </c>
    </row>
    <row r="40" spans="1:12" ht="14.25" customHeight="1" x14ac:dyDescent="0.3">
      <c r="A40" s="20" t="s">
        <v>2161</v>
      </c>
      <c r="B40" s="21">
        <v>702</v>
      </c>
      <c r="F40" s="20" t="s">
        <v>2162</v>
      </c>
      <c r="G40" s="21">
        <v>130</v>
      </c>
      <c r="K40" s="20">
        <v>2016</v>
      </c>
      <c r="L40" s="21">
        <v>92</v>
      </c>
    </row>
    <row r="41" spans="1:12" ht="14.25" customHeight="1" x14ac:dyDescent="0.3">
      <c r="A41" s="20" t="s">
        <v>2163</v>
      </c>
      <c r="B41" s="21">
        <v>76</v>
      </c>
      <c r="F41" s="20" t="s">
        <v>2164</v>
      </c>
      <c r="G41" s="21">
        <v>278</v>
      </c>
      <c r="K41" s="20">
        <v>2017</v>
      </c>
      <c r="L41" s="21">
        <v>89</v>
      </c>
    </row>
    <row r="42" spans="1:12" ht="14.25" customHeight="1" x14ac:dyDescent="0.3">
      <c r="A42" s="20" t="s">
        <v>2165</v>
      </c>
      <c r="B42" s="22">
        <v>162</v>
      </c>
      <c r="F42" s="20" t="s">
        <v>2166</v>
      </c>
      <c r="G42" s="22">
        <v>367</v>
      </c>
      <c r="K42" s="20">
        <v>2018</v>
      </c>
      <c r="L42" s="21">
        <v>86</v>
      </c>
    </row>
    <row r="43" spans="1:12" ht="14.25" customHeight="1" x14ac:dyDescent="0.3">
      <c r="A43" s="23" t="s">
        <v>2158</v>
      </c>
      <c r="B43" s="24">
        <v>1000</v>
      </c>
      <c r="F43" s="23" t="s">
        <v>2158</v>
      </c>
      <c r="G43" s="24">
        <v>1000</v>
      </c>
      <c r="K43" s="20">
        <v>2019</v>
      </c>
      <c r="L43" s="21">
        <v>76</v>
      </c>
    </row>
    <row r="44" spans="1:12" ht="14.25" customHeight="1" x14ac:dyDescent="0.3">
      <c r="K44" s="20">
        <v>2020</v>
      </c>
      <c r="L44" s="21">
        <v>101</v>
      </c>
    </row>
    <row r="45" spans="1:12" ht="14.25" customHeight="1" x14ac:dyDescent="0.3">
      <c r="K45" s="20">
        <v>2021</v>
      </c>
      <c r="L45" s="21">
        <v>86</v>
      </c>
    </row>
    <row r="46" spans="1:12" ht="14.25" customHeight="1" x14ac:dyDescent="0.3">
      <c r="K46" s="20">
        <v>2022</v>
      </c>
      <c r="L46" s="21">
        <v>70</v>
      </c>
    </row>
    <row r="47" spans="1:12" ht="14.25" customHeight="1" x14ac:dyDescent="0.3">
      <c r="K47" s="20">
        <v>2023</v>
      </c>
      <c r="L47" s="21">
        <v>99</v>
      </c>
    </row>
    <row r="48" spans="1:12" ht="14.25" customHeight="1" x14ac:dyDescent="0.3">
      <c r="K48" s="20">
        <v>2024</v>
      </c>
      <c r="L48" s="21">
        <v>102</v>
      </c>
    </row>
    <row r="49" spans="1:12" ht="14.25" customHeight="1" x14ac:dyDescent="0.3">
      <c r="K49" s="20">
        <v>2025</v>
      </c>
      <c r="L49" s="21">
        <v>88</v>
      </c>
    </row>
    <row r="50" spans="1:12" ht="14.25" customHeight="1" x14ac:dyDescent="0.3">
      <c r="K50" s="20">
        <v>2026</v>
      </c>
      <c r="L50" s="22">
        <v>43</v>
      </c>
    </row>
    <row r="51" spans="1:12" ht="14.25" customHeight="1" x14ac:dyDescent="0.3">
      <c r="K51" s="23" t="s">
        <v>2158</v>
      </c>
      <c r="L51" s="24">
        <v>1000</v>
      </c>
    </row>
    <row r="56" spans="1:12" ht="14.25" customHeight="1" x14ac:dyDescent="0.3">
      <c r="A56" s="16" t="s">
        <v>13</v>
      </c>
      <c r="B56" s="17" t="s">
        <v>2157</v>
      </c>
    </row>
    <row r="57" spans="1:12" ht="14.25" customHeight="1" x14ac:dyDescent="0.3">
      <c r="A57" s="18" t="s">
        <v>2167</v>
      </c>
      <c r="B57" s="19">
        <v>53</v>
      </c>
    </row>
    <row r="58" spans="1:12" ht="14.25" customHeight="1" x14ac:dyDescent="0.3">
      <c r="A58" s="20" t="s">
        <v>2168</v>
      </c>
      <c r="B58" s="21">
        <v>256</v>
      </c>
    </row>
    <row r="59" spans="1:12" ht="14.25" customHeight="1" x14ac:dyDescent="0.3">
      <c r="A59" s="20" t="s">
        <v>2169</v>
      </c>
      <c r="B59" s="21">
        <v>255</v>
      </c>
    </row>
    <row r="60" spans="1:12" ht="14.25" customHeight="1" x14ac:dyDescent="0.3">
      <c r="A60" s="20" t="s">
        <v>2170</v>
      </c>
      <c r="B60" s="22">
        <v>436</v>
      </c>
    </row>
    <row r="61" spans="1:12" ht="14.25" customHeight="1" x14ac:dyDescent="0.3">
      <c r="A61" s="23" t="s">
        <v>2158</v>
      </c>
      <c r="B61" s="24">
        <v>1000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D9B5"/>
  </sheetPr>
  <dimension ref="A1:AD100"/>
  <sheetViews>
    <sheetView showGridLines="0" tabSelected="1" topLeftCell="A41" zoomScale="90" zoomScaleNormal="90" workbookViewId="0">
      <selection activeCell="S10" sqref="S10:X11"/>
    </sheetView>
  </sheetViews>
  <sheetFormatPr defaultColWidth="8.6640625" defaultRowHeight="14.4" x14ac:dyDescent="0.3"/>
  <cols>
    <col min="1" max="24" width="12.44140625" customWidth="1"/>
  </cols>
  <sheetData>
    <row r="1" spans="1:30" ht="30" customHeight="1" x14ac:dyDescent="0.3">
      <c r="A1" s="14" t="s">
        <v>2171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44"/>
      <c r="Z1" s="44"/>
      <c r="AA1" s="44"/>
      <c r="AB1" s="44"/>
      <c r="AC1" s="44"/>
      <c r="AD1" s="44"/>
    </row>
    <row r="2" spans="1:30" ht="30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44"/>
      <c r="Z2" s="44"/>
      <c r="AA2" s="44"/>
      <c r="AB2" s="44"/>
      <c r="AC2" s="44"/>
      <c r="AD2" s="44"/>
    </row>
    <row r="3" spans="1:30" ht="21.75" customHeight="1" x14ac:dyDescent="0.3">
      <c r="A3" s="13" t="str">
        <f ca="1">"Executive Workforce Intelligence Overview   •   Report Date: "&amp;TEXT(TODAY(),"dd mmm yyyy")</f>
        <v>Executive Workforce Intelligence Overview   •   Report Date: 06 Aug 2026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44"/>
      <c r="Z3" s="44"/>
      <c r="AA3" s="44"/>
      <c r="AB3" s="44"/>
      <c r="AC3" s="44"/>
      <c r="AD3" s="44"/>
    </row>
    <row r="4" spans="1:30" ht="7.5" customHeight="1" x14ac:dyDescent="0.3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4"/>
      <c r="Z4" s="44"/>
      <c r="AA4" s="44"/>
      <c r="AB4" s="44"/>
      <c r="AC4" s="44"/>
      <c r="AD4" s="44"/>
    </row>
    <row r="5" spans="1:30" ht="21.75" customHeight="1" x14ac:dyDescent="0.3">
      <c r="A5" s="12" t="s">
        <v>2172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1" t="s">
        <v>2173</v>
      </c>
      <c r="T5" s="11"/>
      <c r="U5" s="11"/>
      <c r="V5" s="11"/>
      <c r="W5" s="11"/>
      <c r="X5" s="11"/>
      <c r="Y5" s="44"/>
      <c r="Z5" s="44"/>
      <c r="AA5" s="44"/>
      <c r="AB5" s="44"/>
      <c r="AC5" s="44"/>
      <c r="AD5" s="44"/>
    </row>
    <row r="6" spans="1:30" ht="15.75" customHeight="1" x14ac:dyDescent="0.3">
      <c r="A6" s="10" t="s">
        <v>2174</v>
      </c>
      <c r="B6" s="10"/>
      <c r="C6" s="10"/>
      <c r="D6" s="9" t="s">
        <v>2175</v>
      </c>
      <c r="E6" s="9"/>
      <c r="F6" s="9"/>
      <c r="G6" s="8" t="s">
        <v>2176</v>
      </c>
      <c r="H6" s="8"/>
      <c r="I6" s="8"/>
      <c r="J6" s="7" t="s">
        <v>2177</v>
      </c>
      <c r="K6" s="7"/>
      <c r="L6" s="7"/>
      <c r="M6" s="6" t="s">
        <v>2178</v>
      </c>
      <c r="N6" s="6"/>
      <c r="O6" s="6"/>
      <c r="P6" s="5" t="s">
        <v>2179</v>
      </c>
      <c r="Q6" s="5"/>
      <c r="R6" s="5"/>
      <c r="S6" s="4" t="s">
        <v>2</v>
      </c>
      <c r="T6" s="4"/>
      <c r="U6" s="4"/>
      <c r="V6" s="4"/>
      <c r="W6" s="4"/>
      <c r="X6" s="4"/>
      <c r="Y6" s="44"/>
      <c r="Z6" s="44"/>
      <c r="AA6" s="44"/>
      <c r="AB6" s="44"/>
      <c r="AC6" s="44"/>
      <c r="AD6" s="44"/>
    </row>
    <row r="7" spans="1:30" ht="19.5" customHeight="1" x14ac:dyDescent="0.3">
      <c r="A7" s="10"/>
      <c r="B7" s="10"/>
      <c r="C7" s="10"/>
      <c r="D7" s="9"/>
      <c r="E7" s="9"/>
      <c r="F7" s="9"/>
      <c r="G7" s="8"/>
      <c r="H7" s="8"/>
      <c r="I7" s="8"/>
      <c r="J7" s="7"/>
      <c r="K7" s="7"/>
      <c r="L7" s="7"/>
      <c r="M7" s="6"/>
      <c r="N7" s="6"/>
      <c r="O7" s="6"/>
      <c r="P7" s="5"/>
      <c r="Q7" s="5"/>
      <c r="R7" s="5"/>
      <c r="S7" s="3" t="s">
        <v>2180</v>
      </c>
      <c r="T7" s="3"/>
      <c r="U7" s="3"/>
      <c r="V7" s="3"/>
      <c r="W7" s="3"/>
      <c r="X7" s="3"/>
      <c r="Y7" s="44"/>
      <c r="Z7" s="44"/>
      <c r="AA7" s="44"/>
      <c r="AB7" s="44"/>
      <c r="AC7" s="44"/>
      <c r="AD7" s="44"/>
    </row>
    <row r="8" spans="1:30" ht="19.5" customHeight="1" x14ac:dyDescent="0.3">
      <c r="A8" s="2">
        <f>COUNTA(HR_Data[Employee ID])</f>
        <v>1000</v>
      </c>
      <c r="B8" s="2"/>
      <c r="C8" s="2"/>
      <c r="D8" s="2">
        <f>_Helpers!D15</f>
        <v>875</v>
      </c>
      <c r="E8" s="2"/>
      <c r="F8" s="2"/>
      <c r="G8" s="1">
        <f>_Helpers!D12</f>
        <v>92539200.199999973</v>
      </c>
      <c r="H8" s="1"/>
      <c r="I8" s="1"/>
      <c r="J8" s="46">
        <f>AVERAGE(HR_Data[Salary])</f>
        <v>83006.964999999997</v>
      </c>
      <c r="K8" s="46"/>
      <c r="L8" s="46"/>
      <c r="M8" s="47">
        <f>ROUND(AVERAGE(HR_Data[Experience]),1)</f>
        <v>17.399999999999999</v>
      </c>
      <c r="N8" s="47"/>
      <c r="O8" s="47"/>
      <c r="P8" s="48">
        <f>COUNTIF(HR_Data[Attrition],"Yes")/COUNTA(HR_Data[Employee ID])</f>
        <v>0.125</v>
      </c>
      <c r="Q8" s="48"/>
      <c r="R8" s="48"/>
      <c r="S8" s="3"/>
      <c r="T8" s="3"/>
      <c r="U8" s="3"/>
      <c r="V8" s="3"/>
      <c r="W8" s="3"/>
      <c r="X8" s="3"/>
      <c r="Y8" s="44"/>
      <c r="Z8" s="44"/>
      <c r="AA8" s="44"/>
      <c r="AB8" s="44"/>
      <c r="AC8" s="44"/>
      <c r="AD8" s="44"/>
    </row>
    <row r="9" spans="1:30" ht="15.75" customHeight="1" x14ac:dyDescent="0.3">
      <c r="A9" s="2"/>
      <c r="B9" s="2"/>
      <c r="C9" s="2"/>
      <c r="D9" s="2"/>
      <c r="E9" s="2"/>
      <c r="F9" s="2"/>
      <c r="G9" s="1"/>
      <c r="H9" s="1"/>
      <c r="I9" s="1"/>
      <c r="J9" s="46"/>
      <c r="K9" s="46"/>
      <c r="L9" s="46"/>
      <c r="M9" s="47"/>
      <c r="N9" s="47"/>
      <c r="O9" s="47"/>
      <c r="P9" s="48"/>
      <c r="Q9" s="48"/>
      <c r="R9" s="48"/>
      <c r="S9" s="4" t="s">
        <v>3</v>
      </c>
      <c r="T9" s="4"/>
      <c r="U9" s="4"/>
      <c r="V9" s="4"/>
      <c r="W9" s="4"/>
      <c r="X9" s="4"/>
      <c r="Y9" s="44"/>
      <c r="Z9" s="44"/>
      <c r="AA9" s="44"/>
      <c r="AB9" s="44"/>
      <c r="AC9" s="44"/>
      <c r="AD9" s="44"/>
    </row>
    <row r="10" spans="1:30" ht="19.5" customHeight="1" x14ac:dyDescent="0.3">
      <c r="A10" s="2"/>
      <c r="B10" s="2"/>
      <c r="C10" s="2"/>
      <c r="D10" s="2"/>
      <c r="E10" s="2"/>
      <c r="F10" s="2"/>
      <c r="G10" s="1"/>
      <c r="H10" s="1"/>
      <c r="I10" s="1"/>
      <c r="J10" s="46"/>
      <c r="K10" s="46"/>
      <c r="L10" s="46"/>
      <c r="M10" s="47"/>
      <c r="N10" s="47"/>
      <c r="O10" s="47"/>
      <c r="P10" s="48"/>
      <c r="Q10" s="48"/>
      <c r="R10" s="48"/>
      <c r="S10" s="3" t="s">
        <v>2180</v>
      </c>
      <c r="T10" s="3"/>
      <c r="U10" s="3"/>
      <c r="V10" s="3"/>
      <c r="W10" s="3"/>
      <c r="X10" s="3"/>
      <c r="Y10" s="44"/>
      <c r="Z10" s="44"/>
      <c r="AA10" s="44"/>
      <c r="AB10" s="44"/>
      <c r="AC10" s="44"/>
      <c r="AD10" s="44"/>
    </row>
    <row r="11" spans="1:30" ht="7.5" customHeight="1" x14ac:dyDescent="0.3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3"/>
      <c r="T11" s="3"/>
      <c r="U11" s="3"/>
      <c r="V11" s="3"/>
      <c r="W11" s="3"/>
      <c r="X11" s="3"/>
      <c r="Y11" s="44"/>
      <c r="Z11" s="44"/>
      <c r="AA11" s="44"/>
      <c r="AB11" s="44"/>
      <c r="AC11" s="44"/>
      <c r="AD11" s="44"/>
    </row>
    <row r="12" spans="1:30" ht="21.75" customHeight="1" x14ac:dyDescent="0.3">
      <c r="A12" s="11" t="s">
        <v>2181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2" t="s">
        <v>2182</v>
      </c>
      <c r="T12" s="12"/>
      <c r="U12" s="12"/>
      <c r="V12" s="12"/>
      <c r="W12" s="12"/>
      <c r="X12" s="12"/>
      <c r="Y12" s="44"/>
      <c r="Z12" s="44"/>
      <c r="AA12" s="44"/>
      <c r="AB12" s="44"/>
      <c r="AC12" s="44"/>
      <c r="AD12" s="44"/>
    </row>
    <row r="13" spans="1:30" ht="15" customHeight="1" x14ac:dyDescent="0.3">
      <c r="A13" s="49" t="s">
        <v>2183</v>
      </c>
      <c r="B13" s="49"/>
      <c r="C13" s="49"/>
      <c r="D13" s="50" t="s">
        <v>2184</v>
      </c>
      <c r="E13" s="50"/>
      <c r="F13" s="50"/>
      <c r="G13" s="51" t="s">
        <v>2185</v>
      </c>
      <c r="H13" s="51"/>
      <c r="I13" s="51"/>
      <c r="J13" s="52" t="s">
        <v>2186</v>
      </c>
      <c r="K13" s="52"/>
      <c r="L13" s="52"/>
      <c r="M13" s="53" t="s">
        <v>2187</v>
      </c>
      <c r="N13" s="53"/>
      <c r="O13" s="53"/>
      <c r="P13" s="45"/>
      <c r="Q13" s="45"/>
      <c r="R13" s="45"/>
      <c r="S13" s="54">
        <v>2015</v>
      </c>
      <c r="T13" s="54"/>
      <c r="U13" s="54"/>
      <c r="V13" s="55">
        <f>Pivot!L39</f>
        <v>68</v>
      </c>
      <c r="W13" s="55"/>
      <c r="X13" s="55"/>
      <c r="Y13" s="44"/>
      <c r="Z13" s="44"/>
      <c r="AA13" s="44"/>
      <c r="AB13" s="44"/>
      <c r="AC13" s="44"/>
      <c r="AD13" s="44"/>
    </row>
    <row r="14" spans="1:30" ht="15" customHeight="1" x14ac:dyDescent="0.3">
      <c r="A14" s="49"/>
      <c r="B14" s="49"/>
      <c r="C14" s="49"/>
      <c r="D14" s="50"/>
      <c r="E14" s="50"/>
      <c r="F14" s="50"/>
      <c r="G14" s="51"/>
      <c r="H14" s="51"/>
      <c r="I14" s="51"/>
      <c r="J14" s="52"/>
      <c r="K14" s="52"/>
      <c r="L14" s="52"/>
      <c r="M14" s="53"/>
      <c r="N14" s="53"/>
      <c r="O14" s="53"/>
      <c r="P14" s="45"/>
      <c r="Q14" s="45"/>
      <c r="R14" s="45"/>
      <c r="S14" s="54">
        <v>2016</v>
      </c>
      <c r="T14" s="54"/>
      <c r="U14" s="54"/>
      <c r="V14" s="55">
        <f>Pivot!L40</f>
        <v>92</v>
      </c>
      <c r="W14" s="55"/>
      <c r="X14" s="55"/>
      <c r="Y14" s="44"/>
      <c r="Z14" s="44"/>
      <c r="AA14" s="44"/>
      <c r="AB14" s="44"/>
      <c r="AC14" s="44"/>
      <c r="AD14" s="44"/>
    </row>
    <row r="15" spans="1:30" ht="15" customHeight="1" x14ac:dyDescent="0.3">
      <c r="A15" s="56" t="str">
        <f>_Helpers!D9</f>
        <v>Sneha Yadav</v>
      </c>
      <c r="B15" s="56"/>
      <c r="C15" s="56"/>
      <c r="D15" s="57">
        <f>MAX(HR_Data[Salary])</f>
        <v>148955</v>
      </c>
      <c r="E15" s="57"/>
      <c r="F15" s="57"/>
      <c r="G15" s="56" t="str">
        <f>_Helpers!D2</f>
        <v>Customer Support</v>
      </c>
      <c r="H15" s="56"/>
      <c r="I15" s="56"/>
      <c r="J15" s="58">
        <f>COUNTIF(HR_Data[Gender],"Male")</f>
        <v>488</v>
      </c>
      <c r="K15" s="58"/>
      <c r="L15" s="58"/>
      <c r="M15" s="58">
        <f>COUNTIF(HR_Data[Gender],"Female")</f>
        <v>512</v>
      </c>
      <c r="N15" s="58"/>
      <c r="O15" s="58"/>
      <c r="P15" s="45"/>
      <c r="Q15" s="45"/>
      <c r="R15" s="45"/>
      <c r="S15" s="54">
        <v>2017</v>
      </c>
      <c r="T15" s="54"/>
      <c r="U15" s="54"/>
      <c r="V15" s="55">
        <f>Pivot!L41</f>
        <v>89</v>
      </c>
      <c r="W15" s="55"/>
      <c r="X15" s="55"/>
      <c r="Y15" s="44"/>
      <c r="Z15" s="44"/>
      <c r="AA15" s="44"/>
      <c r="AB15" s="44"/>
      <c r="AC15" s="44"/>
      <c r="AD15" s="44"/>
    </row>
    <row r="16" spans="1:30" ht="15" customHeight="1" x14ac:dyDescent="0.3">
      <c r="A16" s="56"/>
      <c r="B16" s="56"/>
      <c r="C16" s="56"/>
      <c r="D16" s="57"/>
      <c r="E16" s="57"/>
      <c r="F16" s="57"/>
      <c r="G16" s="56"/>
      <c r="H16" s="56"/>
      <c r="I16" s="56"/>
      <c r="J16" s="58"/>
      <c r="K16" s="58"/>
      <c r="L16" s="58"/>
      <c r="M16" s="58"/>
      <c r="N16" s="58"/>
      <c r="O16" s="58"/>
      <c r="P16" s="45"/>
      <c r="Q16" s="45"/>
      <c r="R16" s="45"/>
      <c r="S16" s="54">
        <v>2018</v>
      </c>
      <c r="T16" s="54"/>
      <c r="U16" s="54"/>
      <c r="V16" s="55">
        <f>Pivot!L42</f>
        <v>86</v>
      </c>
      <c r="W16" s="55"/>
      <c r="X16" s="55"/>
      <c r="Y16" s="44"/>
      <c r="Z16" s="44"/>
      <c r="AA16" s="44"/>
      <c r="AB16" s="44"/>
      <c r="AC16" s="44"/>
      <c r="AD16" s="44"/>
    </row>
    <row r="17" spans="1:30" ht="15" customHeight="1" x14ac:dyDescent="0.3">
      <c r="A17" s="56"/>
      <c r="B17" s="56"/>
      <c r="C17" s="56"/>
      <c r="D17" s="57"/>
      <c r="E17" s="57"/>
      <c r="F17" s="57"/>
      <c r="G17" s="56"/>
      <c r="H17" s="56"/>
      <c r="I17" s="56"/>
      <c r="J17" s="58"/>
      <c r="K17" s="58"/>
      <c r="L17" s="58"/>
      <c r="M17" s="58"/>
      <c r="N17" s="58"/>
      <c r="O17" s="58"/>
      <c r="P17" s="45"/>
      <c r="Q17" s="45"/>
      <c r="R17" s="45"/>
      <c r="S17" s="54">
        <v>2019</v>
      </c>
      <c r="T17" s="54"/>
      <c r="U17" s="54"/>
      <c r="V17" s="55">
        <f>Pivot!L43</f>
        <v>76</v>
      </c>
      <c r="W17" s="55"/>
      <c r="X17" s="55"/>
      <c r="Y17" s="44"/>
      <c r="Z17" s="44"/>
      <c r="AA17" s="44"/>
      <c r="AB17" s="44"/>
      <c r="AC17" s="44"/>
      <c r="AD17" s="44"/>
    </row>
    <row r="18" spans="1:30" ht="15" customHeight="1" x14ac:dyDescent="0.3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54">
        <v>2020</v>
      </c>
      <c r="T18" s="54"/>
      <c r="U18" s="54"/>
      <c r="V18" s="55">
        <f>Pivot!L44</f>
        <v>101</v>
      </c>
      <c r="W18" s="55"/>
      <c r="X18" s="55"/>
      <c r="Y18" s="44"/>
      <c r="Z18" s="44"/>
      <c r="AA18" s="44"/>
      <c r="AB18" s="44"/>
      <c r="AC18" s="44"/>
      <c r="AD18" s="44"/>
    </row>
    <row r="19" spans="1:30" ht="15" customHeight="1" x14ac:dyDescent="0.3">
      <c r="A19" s="12" t="s">
        <v>2188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54">
        <v>2021</v>
      </c>
      <c r="T19" s="54"/>
      <c r="U19" s="54"/>
      <c r="V19" s="55">
        <f>Pivot!L45</f>
        <v>86</v>
      </c>
      <c r="W19" s="55"/>
      <c r="X19" s="55"/>
      <c r="Y19" s="44"/>
      <c r="Z19" s="44"/>
      <c r="AA19" s="44"/>
      <c r="AB19" s="44"/>
      <c r="AC19" s="44"/>
      <c r="AD19" s="44"/>
    </row>
    <row r="20" spans="1:30" ht="15" customHeight="1" x14ac:dyDescent="0.3">
      <c r="A20" s="59" t="str">
        <f>"🏆  Top Performer: "&amp;_Helpers!D9&amp;"  (₹"&amp;TEXT(_Helpers!D7,"#,##0")&amp;")"&amp;CHAR(10)&amp;"⚠️  Highest Attrition: "&amp;_Helpers!D2&amp;"  at "&amp;TEXT(_Helpers!D4,"0.0%")&amp;" of department headcount"&amp;CHAR(10)&amp;"💰  Total Payroll: ₹"&amp;TEXT(_Helpers!D12,"#,##0")&amp;"   |   Active Employees: "&amp;TEXT(_Helpers!D15,"#,##0")&amp;CHAR(10)&amp;"⚖️  Gender Mix: "&amp;TEXT(Pivot!L5/Pivot!L6,"0.0%")&amp;" Male  /  "&amp;TEXT(Pivot!L4/Pivot!L6,"0.0%")&amp;" Female"</f>
        <v>🏆  Top Performer: Sneha Yadav  (₹1,48,955)
⚠️  Highest Attrition: Customer Support  at 15.3% of department headcount
💰  Total Payroll: ₹9,25,39,200   |   Active Employees: 875
⚖️  Gender Mix: 48.8% Male  /  51.2% Female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4">
        <v>2022</v>
      </c>
      <c r="T20" s="54"/>
      <c r="U20" s="54"/>
      <c r="V20" s="55">
        <f>Pivot!L46</f>
        <v>70</v>
      </c>
      <c r="W20" s="55"/>
      <c r="X20" s="55"/>
      <c r="Y20" s="44"/>
      <c r="Z20" s="44"/>
      <c r="AA20" s="44"/>
      <c r="AB20" s="44"/>
      <c r="AC20" s="44"/>
      <c r="AD20" s="44"/>
    </row>
    <row r="21" spans="1:30" ht="15" customHeight="1" x14ac:dyDescent="0.3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4">
        <v>2023</v>
      </c>
      <c r="T21" s="54"/>
      <c r="U21" s="54"/>
      <c r="V21" s="55">
        <f>Pivot!L47</f>
        <v>99</v>
      </c>
      <c r="W21" s="55"/>
      <c r="X21" s="55"/>
      <c r="Y21" s="44"/>
      <c r="Z21" s="44"/>
      <c r="AA21" s="44"/>
      <c r="AB21" s="44"/>
      <c r="AC21" s="44"/>
      <c r="AD21" s="44"/>
    </row>
    <row r="22" spans="1:30" ht="15" customHeight="1" x14ac:dyDescent="0.3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4">
        <v>2024</v>
      </c>
      <c r="T22" s="54"/>
      <c r="U22" s="54"/>
      <c r="V22" s="55">
        <f>Pivot!L48</f>
        <v>102</v>
      </c>
      <c r="W22" s="55"/>
      <c r="X22" s="55"/>
      <c r="Y22" s="44"/>
      <c r="Z22" s="44"/>
      <c r="AA22" s="44"/>
      <c r="AB22" s="44"/>
      <c r="AC22" s="44"/>
      <c r="AD22" s="44"/>
    </row>
    <row r="23" spans="1:30" ht="15" customHeight="1" x14ac:dyDescent="0.3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4">
        <v>2025</v>
      </c>
      <c r="T23" s="54"/>
      <c r="U23" s="54"/>
      <c r="V23" s="55">
        <f>Pivot!L49</f>
        <v>88</v>
      </c>
      <c r="W23" s="55"/>
      <c r="X23" s="55"/>
      <c r="Y23" s="44"/>
      <c r="Z23" s="44"/>
      <c r="AA23" s="44"/>
      <c r="AB23" s="44"/>
      <c r="AC23" s="44"/>
      <c r="AD23" s="44"/>
    </row>
    <row r="24" spans="1:30" ht="15" customHeight="1" x14ac:dyDescent="0.3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4">
        <v>2026</v>
      </c>
      <c r="T24" s="54"/>
      <c r="U24" s="54"/>
      <c r="V24" s="55">
        <f>Pivot!L50</f>
        <v>43</v>
      </c>
      <c r="W24" s="55"/>
      <c r="X24" s="55"/>
      <c r="Y24" s="44"/>
      <c r="Z24" s="44"/>
      <c r="AA24" s="44"/>
      <c r="AB24" s="44"/>
      <c r="AC24" s="44"/>
      <c r="AD24" s="44"/>
    </row>
    <row r="25" spans="1:30" ht="24.75" customHeight="1" x14ac:dyDescent="0.3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4"/>
      <c r="Z25" s="44"/>
      <c r="AA25" s="44"/>
      <c r="AB25" s="44"/>
      <c r="AC25" s="44"/>
      <c r="AD25" s="44"/>
    </row>
    <row r="26" spans="1:30" ht="21.75" customHeight="1" x14ac:dyDescent="0.3">
      <c r="A26" s="12" t="s">
        <v>2189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44"/>
      <c r="Z26" s="44"/>
      <c r="AA26" s="44"/>
      <c r="AB26" s="44"/>
      <c r="AC26" s="44"/>
      <c r="AD26" s="44"/>
    </row>
    <row r="27" spans="1:30" ht="15" customHeight="1" x14ac:dyDescent="0.3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4"/>
      <c r="Z27" s="44"/>
      <c r="AA27" s="44"/>
      <c r="AB27" s="44"/>
      <c r="AC27" s="44"/>
      <c r="AD27" s="44"/>
    </row>
    <row r="28" spans="1:30" ht="15" customHeight="1" x14ac:dyDescent="0.3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4"/>
      <c r="Z28" s="44"/>
      <c r="AA28" s="44"/>
      <c r="AB28" s="44"/>
      <c r="AC28" s="44"/>
      <c r="AD28" s="44"/>
    </row>
    <row r="29" spans="1:30" ht="15" customHeight="1" x14ac:dyDescent="0.3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4"/>
      <c r="Z29" s="44"/>
      <c r="AA29" s="44"/>
      <c r="AB29" s="44"/>
      <c r="AC29" s="44"/>
      <c r="AD29" s="44"/>
    </row>
    <row r="30" spans="1:30" ht="15" customHeight="1" x14ac:dyDescent="0.3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4"/>
      <c r="Z30" s="44"/>
      <c r="AA30" s="44"/>
      <c r="AB30" s="44"/>
      <c r="AC30" s="44"/>
      <c r="AD30" s="44"/>
    </row>
    <row r="31" spans="1:30" ht="15" customHeight="1" x14ac:dyDescent="0.3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4"/>
      <c r="Z31" s="44"/>
      <c r="AA31" s="44"/>
      <c r="AB31" s="44"/>
      <c r="AC31" s="44"/>
      <c r="AD31" s="44"/>
    </row>
    <row r="32" spans="1:30" ht="15" customHeight="1" x14ac:dyDescent="0.3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4"/>
      <c r="Z32" s="44"/>
      <c r="AA32" s="44"/>
      <c r="AB32" s="44"/>
      <c r="AC32" s="44"/>
      <c r="AD32" s="44"/>
    </row>
    <row r="33" spans="1:30" ht="15" customHeight="1" x14ac:dyDescent="0.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4"/>
      <c r="Z33" s="44"/>
      <c r="AA33" s="44"/>
      <c r="AB33" s="44"/>
      <c r="AC33" s="44"/>
      <c r="AD33" s="44"/>
    </row>
    <row r="34" spans="1:30" ht="15" customHeight="1" x14ac:dyDescent="0.3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4"/>
      <c r="Z34" s="44"/>
      <c r="AA34" s="44"/>
      <c r="AB34" s="44"/>
      <c r="AC34" s="44"/>
      <c r="AD34" s="44"/>
    </row>
    <row r="35" spans="1:30" ht="15" customHeight="1" x14ac:dyDescent="0.3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4"/>
      <c r="Z35" s="44"/>
      <c r="AA35" s="44"/>
      <c r="AB35" s="44"/>
      <c r="AC35" s="44"/>
      <c r="AD35" s="44"/>
    </row>
    <row r="36" spans="1:30" ht="15" customHeight="1" x14ac:dyDescent="0.3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4"/>
      <c r="Z36" s="44"/>
      <c r="AA36" s="44"/>
      <c r="AB36" s="44"/>
      <c r="AC36" s="44"/>
      <c r="AD36" s="44"/>
    </row>
    <row r="37" spans="1:30" ht="15" customHeight="1" x14ac:dyDescent="0.3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4"/>
      <c r="Z37" s="44"/>
      <c r="AA37" s="44"/>
      <c r="AB37" s="44"/>
      <c r="AC37" s="44"/>
      <c r="AD37" s="44"/>
    </row>
    <row r="38" spans="1:30" ht="15" customHeight="1" x14ac:dyDescent="0.3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4"/>
      <c r="Z38" s="44"/>
      <c r="AA38" s="44"/>
      <c r="AB38" s="44"/>
      <c r="AC38" s="44"/>
      <c r="AD38" s="44"/>
    </row>
    <row r="39" spans="1:30" ht="15" customHeight="1" x14ac:dyDescent="0.3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4"/>
      <c r="Z39" s="44"/>
      <c r="AA39" s="44"/>
      <c r="AB39" s="44"/>
      <c r="AC39" s="44"/>
      <c r="AD39" s="44"/>
    </row>
    <row r="40" spans="1:30" ht="15" customHeight="1" x14ac:dyDescent="0.3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4"/>
      <c r="Z40" s="44"/>
      <c r="AA40" s="44"/>
      <c r="AB40" s="44"/>
      <c r="AC40" s="44"/>
      <c r="AD40" s="44"/>
    </row>
    <row r="41" spans="1:30" ht="15" customHeight="1" x14ac:dyDescent="0.3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4"/>
      <c r="Z41" s="44"/>
      <c r="AA41" s="44"/>
      <c r="AB41" s="44"/>
      <c r="AC41" s="44"/>
      <c r="AD41" s="44"/>
    </row>
    <row r="42" spans="1:30" ht="15" customHeight="1" x14ac:dyDescent="0.3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4"/>
      <c r="Z42" s="44"/>
      <c r="AA42" s="44"/>
      <c r="AB42" s="44"/>
      <c r="AC42" s="44"/>
      <c r="AD42" s="44"/>
    </row>
    <row r="43" spans="1:30" ht="15" customHeight="1" x14ac:dyDescent="0.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4"/>
      <c r="Z43" s="44"/>
      <c r="AA43" s="44"/>
      <c r="AB43" s="44"/>
      <c r="AC43" s="44"/>
      <c r="AD43" s="44"/>
    </row>
    <row r="44" spans="1:30" ht="15" customHeight="1" x14ac:dyDescent="0.3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4"/>
      <c r="Z44" s="44"/>
      <c r="AA44" s="44"/>
      <c r="AB44" s="44"/>
      <c r="AC44" s="44"/>
      <c r="AD44" s="44"/>
    </row>
    <row r="45" spans="1:30" ht="9.75" customHeight="1" x14ac:dyDescent="0.3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4"/>
      <c r="Z45" s="44"/>
      <c r="AA45" s="44"/>
      <c r="AB45" s="44"/>
      <c r="AC45" s="44"/>
      <c r="AD45" s="44"/>
    </row>
    <row r="46" spans="1:30" ht="9.75" customHeight="1" x14ac:dyDescent="0.3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4"/>
      <c r="Z46" s="44"/>
      <c r="AA46" s="44"/>
      <c r="AB46" s="44"/>
      <c r="AC46" s="44"/>
      <c r="AD46" s="44"/>
    </row>
    <row r="47" spans="1:30" ht="15" customHeight="1" x14ac:dyDescent="0.3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4"/>
      <c r="Z47" s="44"/>
      <c r="AA47" s="44"/>
      <c r="AB47" s="44"/>
      <c r="AC47" s="44"/>
      <c r="AD47" s="44"/>
    </row>
    <row r="48" spans="1:30" ht="15" customHeight="1" x14ac:dyDescent="0.3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4"/>
      <c r="Z48" s="44"/>
      <c r="AA48" s="44"/>
      <c r="AB48" s="44"/>
      <c r="AC48" s="44"/>
      <c r="AD48" s="44"/>
    </row>
    <row r="49" spans="1:30" ht="15" customHeight="1" x14ac:dyDescent="0.3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4"/>
      <c r="Z49" s="44"/>
      <c r="AA49" s="44"/>
      <c r="AB49" s="44"/>
      <c r="AC49" s="44"/>
      <c r="AD49" s="44"/>
    </row>
    <row r="50" spans="1:30" ht="15" customHeight="1" x14ac:dyDescent="0.3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4"/>
      <c r="Z50" s="44"/>
      <c r="AA50" s="44"/>
      <c r="AB50" s="44"/>
      <c r="AC50" s="44"/>
      <c r="AD50" s="44"/>
    </row>
    <row r="51" spans="1:30" ht="15" customHeight="1" x14ac:dyDescent="0.3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4"/>
      <c r="Z51" s="44"/>
      <c r="AA51" s="44"/>
      <c r="AB51" s="44"/>
      <c r="AC51" s="44"/>
      <c r="AD51" s="44"/>
    </row>
    <row r="52" spans="1:30" ht="15" customHeight="1" x14ac:dyDescent="0.3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4"/>
      <c r="Z52" s="44"/>
      <c r="AA52" s="44"/>
      <c r="AB52" s="44"/>
      <c r="AC52" s="44"/>
      <c r="AD52" s="44"/>
    </row>
    <row r="53" spans="1:30" ht="15" customHeight="1" x14ac:dyDescent="0.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4"/>
      <c r="Z53" s="44"/>
      <c r="AA53" s="44"/>
      <c r="AB53" s="44"/>
      <c r="AC53" s="44"/>
      <c r="AD53" s="44"/>
    </row>
    <row r="54" spans="1:30" ht="15" customHeight="1" x14ac:dyDescent="0.3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4"/>
      <c r="Z54" s="44"/>
      <c r="AA54" s="44"/>
      <c r="AB54" s="44"/>
      <c r="AC54" s="44"/>
      <c r="AD54" s="44"/>
    </row>
    <row r="55" spans="1:30" ht="15" customHeight="1" x14ac:dyDescent="0.3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4"/>
      <c r="Z55" s="44"/>
      <c r="AA55" s="44"/>
      <c r="AB55" s="44"/>
      <c r="AC55" s="44"/>
      <c r="AD55" s="44"/>
    </row>
    <row r="56" spans="1:30" ht="15" customHeight="1" x14ac:dyDescent="0.3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4"/>
      <c r="Z56" s="44"/>
      <c r="AA56" s="44"/>
      <c r="AB56" s="44"/>
      <c r="AC56" s="44"/>
      <c r="AD56" s="44"/>
    </row>
    <row r="57" spans="1:30" ht="15" customHeight="1" x14ac:dyDescent="0.3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4"/>
      <c r="Z57" s="44"/>
      <c r="AA57" s="44"/>
      <c r="AB57" s="44"/>
      <c r="AC57" s="44"/>
      <c r="AD57" s="44"/>
    </row>
    <row r="58" spans="1:30" ht="15" customHeight="1" x14ac:dyDescent="0.3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4"/>
      <c r="Z58" s="44"/>
      <c r="AA58" s="44"/>
      <c r="AB58" s="44"/>
      <c r="AC58" s="44"/>
      <c r="AD58" s="44"/>
    </row>
    <row r="59" spans="1:30" ht="15" customHeight="1" x14ac:dyDescent="0.3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4"/>
      <c r="Z59" s="44"/>
      <c r="AA59" s="44"/>
      <c r="AB59" s="44"/>
      <c r="AC59" s="44"/>
      <c r="AD59" s="44"/>
    </row>
    <row r="60" spans="1:30" ht="15" customHeight="1" x14ac:dyDescent="0.3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4"/>
      <c r="Z60" s="44"/>
      <c r="AA60" s="44"/>
      <c r="AB60" s="44"/>
      <c r="AC60" s="44"/>
      <c r="AD60" s="44"/>
    </row>
    <row r="61" spans="1:30" ht="15" customHeight="1" x14ac:dyDescent="0.3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4"/>
      <c r="Z61" s="44"/>
      <c r="AA61" s="44"/>
      <c r="AB61" s="44"/>
      <c r="AC61" s="44"/>
      <c r="AD61" s="44"/>
    </row>
    <row r="62" spans="1:30" ht="15" customHeight="1" x14ac:dyDescent="0.3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4"/>
      <c r="Z62" s="44"/>
      <c r="AA62" s="44"/>
      <c r="AB62" s="44"/>
      <c r="AC62" s="44"/>
      <c r="AD62" s="44"/>
    </row>
    <row r="63" spans="1:30" ht="15" customHeight="1" x14ac:dyDescent="0.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4"/>
      <c r="Z63" s="44"/>
      <c r="AA63" s="44"/>
      <c r="AB63" s="44"/>
      <c r="AC63" s="44"/>
      <c r="AD63" s="44"/>
    </row>
    <row r="64" spans="1:30" ht="15" customHeight="1" x14ac:dyDescent="0.3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4"/>
      <c r="Z64" s="44"/>
      <c r="AA64" s="44"/>
      <c r="AB64" s="44"/>
      <c r="AC64" s="44"/>
      <c r="AD64" s="44"/>
    </row>
    <row r="65" spans="1:30" ht="15" customHeight="1" x14ac:dyDescent="0.3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4"/>
      <c r="Z65" s="44"/>
      <c r="AA65" s="44"/>
      <c r="AB65" s="44"/>
      <c r="AC65" s="44"/>
      <c r="AD65" s="44"/>
    </row>
    <row r="66" spans="1:30" ht="15" customHeight="1" x14ac:dyDescent="0.3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4"/>
      <c r="Z66" s="44"/>
      <c r="AA66" s="44"/>
      <c r="AB66" s="44"/>
      <c r="AC66" s="44"/>
      <c r="AD66" s="44"/>
    </row>
    <row r="67" spans="1:30" ht="13.5" customHeight="1" x14ac:dyDescent="0.3">
      <c r="A67" s="60" t="str">
        <f ca="1">"HR Analytics Dashboard  •  Data refreshed as of "&amp;TEXT(TODAY(),"dd mmm yyyy")&amp;"  •  Source: HR_Data ("&amp;COUNTA(HR_Data[Employee ID])&amp;" records)"</f>
        <v>HR Analytics Dashboard  •  Data refreshed as of 06 Aug 2026  •  Source: HR_Data (1000 records)</v>
      </c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44"/>
      <c r="Z67" s="44"/>
      <c r="AA67" s="44"/>
      <c r="AB67" s="44"/>
      <c r="AC67" s="44"/>
      <c r="AD67" s="44"/>
    </row>
    <row r="68" spans="1:30" ht="13.5" customHeight="1" x14ac:dyDescent="0.3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44"/>
      <c r="Z68" s="44"/>
      <c r="AA68" s="44"/>
      <c r="AB68" s="44"/>
      <c r="AC68" s="44"/>
      <c r="AD68" s="44"/>
    </row>
    <row r="69" spans="1:30" ht="14.25" customHeight="1" x14ac:dyDescent="0.3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</row>
    <row r="70" spans="1:30" ht="14.25" customHeight="1" x14ac:dyDescent="0.3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</row>
    <row r="71" spans="1:30" ht="14.25" customHeight="1" x14ac:dyDescent="0.3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</row>
    <row r="72" spans="1:30" ht="14.25" customHeight="1" x14ac:dyDescent="0.3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</row>
    <row r="73" spans="1:30" ht="14.25" customHeight="1" x14ac:dyDescent="0.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</row>
    <row r="74" spans="1:30" ht="14.25" customHeight="1" x14ac:dyDescent="0.3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</row>
    <row r="75" spans="1:30" ht="14.25" customHeight="1" x14ac:dyDescent="0.3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</row>
    <row r="76" spans="1:30" ht="14.25" customHeight="1" x14ac:dyDescent="0.3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</row>
    <row r="77" spans="1:30" ht="14.25" customHeight="1" x14ac:dyDescent="0.3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</row>
    <row r="78" spans="1:30" ht="14.25" customHeight="1" x14ac:dyDescent="0.3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</row>
    <row r="79" spans="1:30" ht="14.25" customHeight="1" x14ac:dyDescent="0.3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</row>
    <row r="80" spans="1:30" ht="14.25" customHeight="1" x14ac:dyDescent="0.3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</row>
    <row r="81" spans="1:30" ht="14.25" customHeight="1" x14ac:dyDescent="0.3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</row>
    <row r="82" spans="1:30" ht="14.25" customHeight="1" x14ac:dyDescent="0.3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</row>
    <row r="83" spans="1:30" ht="14.25" customHeight="1" x14ac:dyDescent="0.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</row>
    <row r="84" spans="1:30" ht="14.25" customHeight="1" x14ac:dyDescent="0.3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</row>
    <row r="85" spans="1:30" ht="14.25" customHeight="1" x14ac:dyDescent="0.3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</row>
    <row r="86" spans="1:30" ht="14.25" customHeight="1" x14ac:dyDescent="0.3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</row>
    <row r="87" spans="1:30" ht="14.25" customHeight="1" x14ac:dyDescent="0.3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</row>
    <row r="88" spans="1:30" ht="14.25" customHeight="1" x14ac:dyDescent="0.3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</row>
    <row r="89" spans="1:30" ht="14.25" customHeight="1" x14ac:dyDescent="0.3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</row>
    <row r="90" spans="1:30" ht="14.25" customHeight="1" x14ac:dyDescent="0.3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</row>
    <row r="91" spans="1:30" ht="14.25" customHeight="1" x14ac:dyDescent="0.3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</row>
    <row r="92" spans="1:30" ht="14.25" customHeight="1" x14ac:dyDescent="0.3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</row>
    <row r="93" spans="1:30" ht="14.25" customHeight="1" x14ac:dyDescent="0.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</row>
    <row r="94" spans="1:30" ht="14.25" customHeight="1" x14ac:dyDescent="0.3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</row>
    <row r="95" spans="1:30" ht="14.25" customHeight="1" x14ac:dyDescent="0.3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</row>
    <row r="96" spans="1:30" ht="14.25" customHeight="1" x14ac:dyDescent="0.3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</row>
    <row r="97" spans="1:30" ht="14.25" customHeight="1" x14ac:dyDescent="0.3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</row>
    <row r="98" spans="1:30" ht="14.25" customHeight="1" x14ac:dyDescent="0.3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</row>
    <row r="99" spans="1:30" ht="14.25" customHeight="1" x14ac:dyDescent="0.3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</row>
    <row r="100" spans="1:30" ht="14.25" customHeight="1" x14ac:dyDescent="0.3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</row>
  </sheetData>
  <mergeCells count="60">
    <mergeCell ref="A26:X26"/>
    <mergeCell ref="A67:X68"/>
    <mergeCell ref="A20:R24"/>
    <mergeCell ref="S20:U20"/>
    <mergeCell ref="V20:X20"/>
    <mergeCell ref="S21:U21"/>
    <mergeCell ref="V21:X21"/>
    <mergeCell ref="S22:U22"/>
    <mergeCell ref="V22:X22"/>
    <mergeCell ref="S23:U23"/>
    <mergeCell ref="V23:X23"/>
    <mergeCell ref="S24:U24"/>
    <mergeCell ref="V24:X24"/>
    <mergeCell ref="S18:U18"/>
    <mergeCell ref="V18:X18"/>
    <mergeCell ref="A19:R19"/>
    <mergeCell ref="S19:U19"/>
    <mergeCell ref="V19:X19"/>
    <mergeCell ref="S13:U13"/>
    <mergeCell ref="V13:X13"/>
    <mergeCell ref="S14:U14"/>
    <mergeCell ref="V14:X14"/>
    <mergeCell ref="A15:C17"/>
    <mergeCell ref="D15:F17"/>
    <mergeCell ref="G15:I17"/>
    <mergeCell ref="J15:L17"/>
    <mergeCell ref="M15:O17"/>
    <mergeCell ref="S15:U15"/>
    <mergeCell ref="V15:X15"/>
    <mergeCell ref="S16:U16"/>
    <mergeCell ref="V16:X16"/>
    <mergeCell ref="S17:U17"/>
    <mergeCell ref="V17:X17"/>
    <mergeCell ref="A13:C14"/>
    <mergeCell ref="D13:F14"/>
    <mergeCell ref="G13:I14"/>
    <mergeCell ref="J13:L14"/>
    <mergeCell ref="M13:O14"/>
    <mergeCell ref="M8:O10"/>
    <mergeCell ref="P8:R10"/>
    <mergeCell ref="S9:X9"/>
    <mergeCell ref="S10:X11"/>
    <mergeCell ref="A12:R12"/>
    <mergeCell ref="S12:X12"/>
    <mergeCell ref="A1:X2"/>
    <mergeCell ref="A3:X3"/>
    <mergeCell ref="A5:R5"/>
    <mergeCell ref="S5:X5"/>
    <mergeCell ref="A6:C7"/>
    <mergeCell ref="D6:F7"/>
    <mergeCell ref="G6:I7"/>
    <mergeCell ref="J6:L7"/>
    <mergeCell ref="M6:O7"/>
    <mergeCell ref="P6:R7"/>
    <mergeCell ref="S6:X6"/>
    <mergeCell ref="S7:X8"/>
    <mergeCell ref="A8:C10"/>
    <mergeCell ref="D8:F10"/>
    <mergeCell ref="G8:I10"/>
    <mergeCell ref="J8:L10"/>
  </mergeCells>
  <conditionalFormatting sqref="V13:X24">
    <cfRule type="dataBar" priority="2">
      <dataBar>
        <cfvo type="min"/>
        <cfvo type="max"/>
        <color rgb="FF00D9B5"/>
      </dataBar>
      <extLst>
        <ext xmlns:x14="http://schemas.microsoft.com/office/spreadsheetml/2009/9/main" uri="{B025F937-C7B1-47D3-B67F-A62EFF666E3E}">
          <x14:id>{649DE21C-4094-4B8F-9BCE-434E3A90E523}</x14:id>
        </ext>
      </extLst>
    </cfRule>
  </conditionalFormatting>
  <dataValidations count="2">
    <dataValidation type="list" sqref="S7" xr:uid="{00000000-0002-0000-0200-000000000000}">
      <formula1>"All,Admin,Customer Support,Finance,HR,IT,Legal,Marketing,Operations,R&amp;D,Sales"</formula1>
      <formula2>0</formula2>
    </dataValidation>
    <dataValidation type="list" sqref="S10" xr:uid="{00000000-0002-0000-0200-000001000000}">
      <formula1>"All,Male,Female"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9DE21C-4094-4B8F-9BCE-434E3A90E523}">
            <x14:dataBar axisPosition="none">
              <x14:cfvo type="min"/>
              <x14:cfvo type="max"/>
              <x14:negativeFillColor rgb="FF00D9B5"/>
            </x14:dataBar>
          </x14:cfRule>
          <xm:sqref>V13:X24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zoomScaleNormal="100" workbookViewId="0"/>
  </sheetViews>
  <sheetFormatPr defaultColWidth="8.6640625" defaultRowHeight="14.4" x14ac:dyDescent="0.3"/>
  <sheetData>
    <row r="1" spans="1:4" ht="15" customHeight="1" x14ac:dyDescent="0.3">
      <c r="A1" t="s">
        <v>2</v>
      </c>
      <c r="B1" t="s">
        <v>2190</v>
      </c>
      <c r="D1" t="s">
        <v>2191</v>
      </c>
    </row>
    <row r="2" spans="1:4" ht="15" customHeight="1" x14ac:dyDescent="0.3">
      <c r="A2" t="str">
        <f>Pivot!A22</f>
        <v>Admin</v>
      </c>
      <c r="B2">
        <f>Pivot!C22/Pivot!D22</f>
        <v>0.10101010101010101</v>
      </c>
      <c r="D2" t="str">
        <f>INDEX(A2:A11,MATCH(MAX(B2:B11),B2:B11,0))</f>
        <v>Customer Support</v>
      </c>
    </row>
    <row r="3" spans="1:4" ht="15" customHeight="1" x14ac:dyDescent="0.3">
      <c r="A3" t="str">
        <f>Pivot!A23</f>
        <v>Customer Support</v>
      </c>
      <c r="B3">
        <f>Pivot!C23/Pivot!D23</f>
        <v>0.15315315315315314</v>
      </c>
      <c r="D3" t="s">
        <v>2192</v>
      </c>
    </row>
    <row r="4" spans="1:4" ht="15" customHeight="1" x14ac:dyDescent="0.3">
      <c r="A4" t="str">
        <f>Pivot!A24</f>
        <v>Finance</v>
      </c>
      <c r="B4">
        <f>Pivot!C24/Pivot!D24</f>
        <v>0.14285714285714285</v>
      </c>
      <c r="D4">
        <f>MAX(B2:B11)</f>
        <v>0.15315315315315314</v>
      </c>
    </row>
    <row r="5" spans="1:4" ht="15" customHeight="1" x14ac:dyDescent="0.3">
      <c r="A5" t="str">
        <f>Pivot!A25</f>
        <v>HR</v>
      </c>
      <c r="B5">
        <f>Pivot!C25/Pivot!D25</f>
        <v>0.11764705882352941</v>
      </c>
    </row>
    <row r="6" spans="1:4" ht="15" customHeight="1" x14ac:dyDescent="0.3">
      <c r="A6" t="str">
        <f>Pivot!A26</f>
        <v>IT</v>
      </c>
      <c r="B6">
        <f>Pivot!C26/Pivot!D26</f>
        <v>0.10989010989010989</v>
      </c>
      <c r="D6" t="s">
        <v>2193</v>
      </c>
    </row>
    <row r="7" spans="1:4" ht="15" customHeight="1" x14ac:dyDescent="0.3">
      <c r="A7" t="str">
        <f>Pivot!A27</f>
        <v>Legal</v>
      </c>
      <c r="B7">
        <f>Pivot!C27/Pivot!D27</f>
        <v>0.10891089108910891</v>
      </c>
      <c r="D7">
        <f>_xlfn.MAXIFS(HR_Data[Salary],HR_Data[Performance Rating],"Excellent")</f>
        <v>148955</v>
      </c>
    </row>
    <row r="8" spans="1:4" ht="15" customHeight="1" x14ac:dyDescent="0.3">
      <c r="A8" t="str">
        <f>Pivot!A28</f>
        <v>Marketing</v>
      </c>
      <c r="B8">
        <f>Pivot!C28/Pivot!D28</f>
        <v>0.13095238095238096</v>
      </c>
      <c r="D8" t="s">
        <v>2194</v>
      </c>
    </row>
    <row r="9" spans="1:4" ht="15" customHeight="1" x14ac:dyDescent="0.3">
      <c r="A9" t="str">
        <f>Pivot!A29</f>
        <v>Operations</v>
      </c>
      <c r="B9">
        <f>Pivot!C29/Pivot!D29</f>
        <v>9.90990990990991E-2</v>
      </c>
      <c r="D9" t="str">
        <f>INDEX(HR_Data[Employee Name],MATCH(D7,HR_Data[Salary],0))</f>
        <v>Sneha Yadav</v>
      </c>
    </row>
    <row r="10" spans="1:4" ht="15" customHeight="1" x14ac:dyDescent="0.3">
      <c r="A10" t="str">
        <f>Pivot!A30</f>
        <v>R&amp;D</v>
      </c>
      <c r="B10">
        <f>Pivot!C30/Pivot!D30</f>
        <v>0.1276595744680851</v>
      </c>
    </row>
    <row r="11" spans="1:4" ht="15" customHeight="1" x14ac:dyDescent="0.3">
      <c r="A11" t="str">
        <f>Pivot!A31</f>
        <v>Sales</v>
      </c>
      <c r="B11">
        <f>Pivot!C31/Pivot!D31</f>
        <v>0.15238095238095239</v>
      </c>
      <c r="D11" t="s">
        <v>2195</v>
      </c>
    </row>
    <row r="12" spans="1:4" ht="15" customHeight="1" x14ac:dyDescent="0.3">
      <c r="D12">
        <f>SUM(HR_Data[Total Salary])</f>
        <v>92539200.199999973</v>
      </c>
    </row>
    <row r="14" spans="1:4" ht="15" customHeight="1" x14ac:dyDescent="0.3">
      <c r="D14" t="s">
        <v>2196</v>
      </c>
    </row>
    <row r="15" spans="1:4" ht="15" customHeight="1" x14ac:dyDescent="0.3">
      <c r="D15">
        <f>COUNTIF(HR_Data[Employee Status],"Active")</f>
        <v>875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Pivot</vt:lpstr>
      <vt:lpstr>Dashboard</vt:lpstr>
      <vt:lpstr>_Helpers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yuvraj singh tanwar</cp:lastModifiedBy>
  <cp:revision>7</cp:revision>
  <dcterms:created xsi:type="dcterms:W3CDTF">2026-08-06T07:05:57Z</dcterms:created>
  <dcterms:modified xsi:type="dcterms:W3CDTF">2026-08-06T11:03:07Z</dcterms:modified>
  <dc:language>en-US</dc:language>
</cp:coreProperties>
</file>